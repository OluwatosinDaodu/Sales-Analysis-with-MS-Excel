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10Alytics Training\"/>
    </mc:Choice>
  </mc:AlternateContent>
  <xr:revisionPtr revIDLastSave="0" documentId="13_ncr:1_{E8408F53-D203-4618-A88C-2A540A28570B}" xr6:coauthVersionLast="47" xr6:coauthVersionMax="47" xr10:uidLastSave="{00000000-0000-0000-0000-000000000000}"/>
  <bookViews>
    <workbookView xWindow="-120" yWindow="-120" windowWidth="20730" windowHeight="11160" xr2:uid="{E0A0B0D2-A58F-4DEC-B3D0-FD15399D2EA2}"/>
  </bookViews>
  <sheets>
    <sheet name="Orders" sheetId="1" r:id="rId1"/>
    <sheet name="Customers" sheetId="2" r:id="rId2"/>
    <sheet name="Products" sheetId="3" r:id="rId3"/>
  </sheets>
  <definedNames>
    <definedName name="_xlnm._FilterDatabase" localSheetId="1" hidden="1">'Customers'!$A$1:$E$151</definedName>
    <definedName name="Expense">#REF!</definedName>
    <definedName name="Expenses">#REF!</definedName>
    <definedName name="Product">#REF!</definedName>
    <definedName name="Profit">#REF!</definedName>
    <definedName name="Profits">#REF!</definedName>
    <definedName name="Revenue">#REF!</definedName>
    <definedName name="Revenues">#REF!</definedName>
    <definedName name="TotalProduct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001" i="1" l="1"/>
  <c r="S2001" i="1"/>
  <c r="Q2001" i="1"/>
  <c r="R2001" i="1" s="1"/>
  <c r="P2001" i="1"/>
  <c r="O2001" i="1"/>
  <c r="N2001" i="1"/>
  <c r="K2001" i="1"/>
  <c r="J2001" i="1"/>
  <c r="D2001" i="1"/>
  <c r="C2001" i="1"/>
  <c r="T2000" i="1"/>
  <c r="S2000" i="1"/>
  <c r="R2000" i="1"/>
  <c r="Q2000" i="1"/>
  <c r="P2000" i="1"/>
  <c r="O2000" i="1"/>
  <c r="N2000" i="1"/>
  <c r="K2000" i="1"/>
  <c r="J2000" i="1"/>
  <c r="D2000" i="1"/>
  <c r="C2000" i="1"/>
  <c r="T1999" i="1"/>
  <c r="S1999" i="1"/>
  <c r="Q1999" i="1"/>
  <c r="R1999" i="1" s="1"/>
  <c r="P1999" i="1"/>
  <c r="O1999" i="1"/>
  <c r="N1999" i="1"/>
  <c r="L1999" i="1"/>
  <c r="K1999" i="1"/>
  <c r="J1999" i="1"/>
  <c r="D1999" i="1"/>
  <c r="C1999" i="1"/>
  <c r="T1998" i="1"/>
  <c r="S1998" i="1"/>
  <c r="Q1998" i="1"/>
  <c r="R1998" i="1" s="1"/>
  <c r="P1998" i="1"/>
  <c r="O1998" i="1"/>
  <c r="N1998" i="1"/>
  <c r="K1998" i="1"/>
  <c r="J1998" i="1"/>
  <c r="L1998" i="1" s="1"/>
  <c r="D1998" i="1"/>
  <c r="C1998" i="1"/>
  <c r="T1997" i="1"/>
  <c r="S1997" i="1"/>
  <c r="Q1997" i="1"/>
  <c r="R1997" i="1" s="1"/>
  <c r="P1997" i="1"/>
  <c r="O1997" i="1"/>
  <c r="N1997" i="1"/>
  <c r="K1997" i="1"/>
  <c r="L1997" i="1" s="1"/>
  <c r="J1997" i="1"/>
  <c r="D1997" i="1"/>
  <c r="C1997" i="1"/>
  <c r="T1996" i="1"/>
  <c r="S1996" i="1"/>
  <c r="Q1996" i="1"/>
  <c r="R1996" i="1" s="1"/>
  <c r="P1996" i="1"/>
  <c r="O1996" i="1"/>
  <c r="N1996" i="1"/>
  <c r="K1996" i="1"/>
  <c r="J1996" i="1"/>
  <c r="D1996" i="1"/>
  <c r="C1996" i="1"/>
  <c r="T1995" i="1"/>
  <c r="S1995" i="1"/>
  <c r="Q1995" i="1"/>
  <c r="R1995" i="1" s="1"/>
  <c r="P1995" i="1"/>
  <c r="O1995" i="1"/>
  <c r="N1995" i="1"/>
  <c r="K1995" i="1"/>
  <c r="L1995" i="1" s="1"/>
  <c r="J1995" i="1"/>
  <c r="D1995" i="1"/>
  <c r="C1995" i="1"/>
  <c r="T1994" i="1"/>
  <c r="S1994" i="1"/>
  <c r="Q1994" i="1"/>
  <c r="R1994" i="1" s="1"/>
  <c r="P1994" i="1"/>
  <c r="O1994" i="1"/>
  <c r="N1994" i="1"/>
  <c r="K1994" i="1"/>
  <c r="J1994" i="1"/>
  <c r="D1994" i="1"/>
  <c r="C1994" i="1"/>
  <c r="T1993" i="1"/>
  <c r="S1993" i="1"/>
  <c r="Q1993" i="1"/>
  <c r="R1993" i="1" s="1"/>
  <c r="P1993" i="1"/>
  <c r="O1993" i="1"/>
  <c r="N1993" i="1"/>
  <c r="K1993" i="1"/>
  <c r="J1993" i="1"/>
  <c r="D1993" i="1"/>
  <c r="C1993" i="1"/>
  <c r="T1992" i="1"/>
  <c r="S1992" i="1"/>
  <c r="Q1992" i="1"/>
  <c r="R1992" i="1" s="1"/>
  <c r="P1992" i="1"/>
  <c r="O1992" i="1"/>
  <c r="N1992" i="1"/>
  <c r="K1992" i="1"/>
  <c r="J1992" i="1"/>
  <c r="D1992" i="1"/>
  <c r="C1992" i="1"/>
  <c r="T1991" i="1"/>
  <c r="S1991" i="1"/>
  <c r="Q1991" i="1"/>
  <c r="R1991" i="1" s="1"/>
  <c r="P1991" i="1"/>
  <c r="O1991" i="1"/>
  <c r="N1991" i="1"/>
  <c r="K1991" i="1"/>
  <c r="J1991" i="1"/>
  <c r="D1991" i="1"/>
  <c r="C1991" i="1"/>
  <c r="T1990" i="1"/>
  <c r="S1990" i="1"/>
  <c r="Q1990" i="1"/>
  <c r="R1990" i="1" s="1"/>
  <c r="P1990" i="1"/>
  <c r="O1990" i="1"/>
  <c r="N1990" i="1"/>
  <c r="K1990" i="1"/>
  <c r="J1990" i="1"/>
  <c r="D1990" i="1"/>
  <c r="C1990" i="1"/>
  <c r="T1989" i="1"/>
  <c r="S1989" i="1"/>
  <c r="Q1989" i="1"/>
  <c r="R1989" i="1" s="1"/>
  <c r="P1989" i="1"/>
  <c r="O1989" i="1"/>
  <c r="N1989" i="1"/>
  <c r="K1989" i="1"/>
  <c r="J1989" i="1"/>
  <c r="D1989" i="1"/>
  <c r="C1989" i="1"/>
  <c r="T1988" i="1"/>
  <c r="S1988" i="1"/>
  <c r="Q1988" i="1"/>
  <c r="R1988" i="1" s="1"/>
  <c r="P1988" i="1"/>
  <c r="O1988" i="1"/>
  <c r="N1988" i="1"/>
  <c r="K1988" i="1"/>
  <c r="J1988" i="1"/>
  <c r="D1988" i="1"/>
  <c r="C1988" i="1"/>
  <c r="T1987" i="1"/>
  <c r="S1987" i="1"/>
  <c r="Q1987" i="1"/>
  <c r="R1987" i="1" s="1"/>
  <c r="P1987" i="1"/>
  <c r="O1987" i="1"/>
  <c r="N1987" i="1"/>
  <c r="K1987" i="1"/>
  <c r="J1987" i="1"/>
  <c r="D1987" i="1"/>
  <c r="C1987" i="1"/>
  <c r="T1986" i="1"/>
  <c r="S1986" i="1"/>
  <c r="Q1986" i="1"/>
  <c r="R1986" i="1" s="1"/>
  <c r="P1986" i="1"/>
  <c r="O1986" i="1"/>
  <c r="N1986" i="1"/>
  <c r="K1986" i="1"/>
  <c r="J1986" i="1"/>
  <c r="D1986" i="1"/>
  <c r="C1986" i="1"/>
  <c r="T1985" i="1"/>
  <c r="S1985" i="1"/>
  <c r="Q1985" i="1"/>
  <c r="R1985" i="1" s="1"/>
  <c r="P1985" i="1"/>
  <c r="O1985" i="1"/>
  <c r="N1985" i="1"/>
  <c r="K1985" i="1"/>
  <c r="J1985" i="1"/>
  <c r="D1985" i="1"/>
  <c r="C1985" i="1"/>
  <c r="T1984" i="1"/>
  <c r="S1984" i="1"/>
  <c r="Q1984" i="1"/>
  <c r="R1984" i="1" s="1"/>
  <c r="P1984" i="1"/>
  <c r="O1984" i="1"/>
  <c r="N1984" i="1"/>
  <c r="K1984" i="1"/>
  <c r="J1984" i="1"/>
  <c r="D1984" i="1"/>
  <c r="C1984" i="1"/>
  <c r="T1983" i="1"/>
  <c r="S1983" i="1"/>
  <c r="Q1983" i="1"/>
  <c r="R1983" i="1" s="1"/>
  <c r="P1983" i="1"/>
  <c r="O1983" i="1"/>
  <c r="N1983" i="1"/>
  <c r="K1983" i="1"/>
  <c r="J1983" i="1"/>
  <c r="D1983" i="1"/>
  <c r="C1983" i="1"/>
  <c r="T1982" i="1"/>
  <c r="S1982" i="1"/>
  <c r="Q1982" i="1"/>
  <c r="R1982" i="1" s="1"/>
  <c r="P1982" i="1"/>
  <c r="O1982" i="1"/>
  <c r="N1982" i="1"/>
  <c r="K1982" i="1"/>
  <c r="J1982" i="1"/>
  <c r="L1982" i="1" s="1"/>
  <c r="D1982" i="1"/>
  <c r="C1982" i="1"/>
  <c r="T1981" i="1"/>
  <c r="S1981" i="1"/>
  <c r="R1981" i="1"/>
  <c r="Q1981" i="1"/>
  <c r="P1981" i="1"/>
  <c r="O1981" i="1"/>
  <c r="N1981" i="1"/>
  <c r="K1981" i="1"/>
  <c r="J1981" i="1"/>
  <c r="L1981" i="1" s="1"/>
  <c r="D1981" i="1"/>
  <c r="C1981" i="1"/>
  <c r="T1980" i="1"/>
  <c r="S1980" i="1"/>
  <c r="Q1980" i="1"/>
  <c r="R1980" i="1" s="1"/>
  <c r="P1980" i="1"/>
  <c r="O1980" i="1"/>
  <c r="N1980" i="1"/>
  <c r="K1980" i="1"/>
  <c r="J1980" i="1"/>
  <c r="D1980" i="1"/>
  <c r="C1980" i="1"/>
  <c r="T1979" i="1"/>
  <c r="S1979" i="1"/>
  <c r="Q1979" i="1"/>
  <c r="R1979" i="1" s="1"/>
  <c r="P1979" i="1"/>
  <c r="O1979" i="1"/>
  <c r="N1979" i="1"/>
  <c r="K1979" i="1"/>
  <c r="J1979" i="1"/>
  <c r="D1979" i="1"/>
  <c r="C1979" i="1"/>
  <c r="T1978" i="1"/>
  <c r="S1978" i="1"/>
  <c r="Q1978" i="1"/>
  <c r="R1978" i="1" s="1"/>
  <c r="P1978" i="1"/>
  <c r="O1978" i="1"/>
  <c r="N1978" i="1"/>
  <c r="K1978" i="1"/>
  <c r="J1978" i="1"/>
  <c r="D1978" i="1"/>
  <c r="C1978" i="1"/>
  <c r="T1977" i="1"/>
  <c r="S1977" i="1"/>
  <c r="Q1977" i="1"/>
  <c r="R1977" i="1" s="1"/>
  <c r="P1977" i="1"/>
  <c r="O1977" i="1"/>
  <c r="N1977" i="1"/>
  <c r="K1977" i="1"/>
  <c r="J1977" i="1"/>
  <c r="L1977" i="1" s="1"/>
  <c r="D1977" i="1"/>
  <c r="C1977" i="1"/>
  <c r="T1976" i="1"/>
  <c r="S1976" i="1"/>
  <c r="Q1976" i="1"/>
  <c r="R1976" i="1" s="1"/>
  <c r="P1976" i="1"/>
  <c r="O1976" i="1"/>
  <c r="N1976" i="1"/>
  <c r="K1976" i="1"/>
  <c r="J1976" i="1"/>
  <c r="D1976" i="1"/>
  <c r="C1976" i="1"/>
  <c r="T1975" i="1"/>
  <c r="S1975" i="1"/>
  <c r="Q1975" i="1"/>
  <c r="R1975" i="1" s="1"/>
  <c r="P1975" i="1"/>
  <c r="O1975" i="1"/>
  <c r="N1975" i="1"/>
  <c r="K1975" i="1"/>
  <c r="J1975" i="1"/>
  <c r="D1975" i="1"/>
  <c r="C1975" i="1"/>
  <c r="T1974" i="1"/>
  <c r="S1974" i="1"/>
  <c r="Q1974" i="1"/>
  <c r="R1974" i="1" s="1"/>
  <c r="P1974" i="1"/>
  <c r="O1974" i="1"/>
  <c r="N1974" i="1"/>
  <c r="K1974" i="1"/>
  <c r="J1974" i="1"/>
  <c r="D1974" i="1"/>
  <c r="C1974" i="1"/>
  <c r="T1973" i="1"/>
  <c r="S1973" i="1"/>
  <c r="Q1973" i="1"/>
  <c r="R1973" i="1" s="1"/>
  <c r="P1973" i="1"/>
  <c r="O1973" i="1"/>
  <c r="N1973" i="1"/>
  <c r="K1973" i="1"/>
  <c r="J1973" i="1"/>
  <c r="D1973" i="1"/>
  <c r="C1973" i="1"/>
  <c r="T1972" i="1"/>
  <c r="S1972" i="1"/>
  <c r="Q1972" i="1"/>
  <c r="R1972" i="1" s="1"/>
  <c r="P1972" i="1"/>
  <c r="O1972" i="1"/>
  <c r="N1972" i="1"/>
  <c r="K1972" i="1"/>
  <c r="J1972" i="1"/>
  <c r="D1972" i="1"/>
  <c r="C1972" i="1"/>
  <c r="T1971" i="1"/>
  <c r="S1971" i="1"/>
  <c r="Q1971" i="1"/>
  <c r="R1971" i="1" s="1"/>
  <c r="P1971" i="1"/>
  <c r="O1971" i="1"/>
  <c r="N1971" i="1"/>
  <c r="K1971" i="1"/>
  <c r="J1971" i="1"/>
  <c r="D1971" i="1"/>
  <c r="C1971" i="1"/>
  <c r="T1970" i="1"/>
  <c r="S1970" i="1"/>
  <c r="Q1970" i="1"/>
  <c r="R1970" i="1" s="1"/>
  <c r="P1970" i="1"/>
  <c r="O1970" i="1"/>
  <c r="N1970" i="1"/>
  <c r="K1970" i="1"/>
  <c r="J1970" i="1"/>
  <c r="D1970" i="1"/>
  <c r="C1970" i="1"/>
  <c r="T1969" i="1"/>
  <c r="S1969" i="1"/>
  <c r="Q1969" i="1"/>
  <c r="R1969" i="1" s="1"/>
  <c r="P1969" i="1"/>
  <c r="O1969" i="1"/>
  <c r="N1969" i="1"/>
  <c r="K1969" i="1"/>
  <c r="J1969" i="1"/>
  <c r="D1969" i="1"/>
  <c r="C1969" i="1"/>
  <c r="T1968" i="1"/>
  <c r="S1968" i="1"/>
  <c r="Q1968" i="1"/>
  <c r="R1968" i="1" s="1"/>
  <c r="P1968" i="1"/>
  <c r="O1968" i="1"/>
  <c r="N1968" i="1"/>
  <c r="K1968" i="1"/>
  <c r="J1968" i="1"/>
  <c r="D1968" i="1"/>
  <c r="C1968" i="1"/>
  <c r="T1967" i="1"/>
  <c r="S1967" i="1"/>
  <c r="Q1967" i="1"/>
  <c r="R1967" i="1" s="1"/>
  <c r="P1967" i="1"/>
  <c r="O1967" i="1"/>
  <c r="N1967" i="1"/>
  <c r="K1967" i="1"/>
  <c r="J1967" i="1"/>
  <c r="D1967" i="1"/>
  <c r="C1967" i="1"/>
  <c r="T1966" i="1"/>
  <c r="S1966" i="1"/>
  <c r="Q1966" i="1"/>
  <c r="R1966" i="1" s="1"/>
  <c r="P1966" i="1"/>
  <c r="O1966" i="1"/>
  <c r="N1966" i="1"/>
  <c r="K1966" i="1"/>
  <c r="J1966" i="1"/>
  <c r="D1966" i="1"/>
  <c r="C1966" i="1"/>
  <c r="T1965" i="1"/>
  <c r="S1965" i="1"/>
  <c r="Q1965" i="1"/>
  <c r="R1965" i="1" s="1"/>
  <c r="P1965" i="1"/>
  <c r="O1965" i="1"/>
  <c r="N1965" i="1"/>
  <c r="K1965" i="1"/>
  <c r="J1965" i="1"/>
  <c r="D1965" i="1"/>
  <c r="C1965" i="1"/>
  <c r="T1964" i="1"/>
  <c r="S1964" i="1"/>
  <c r="R1964" i="1"/>
  <c r="Q1964" i="1"/>
  <c r="P1964" i="1"/>
  <c r="O1964" i="1"/>
  <c r="N1964" i="1"/>
  <c r="K1964" i="1"/>
  <c r="J1964" i="1"/>
  <c r="D1964" i="1"/>
  <c r="C1964" i="1"/>
  <c r="T1963" i="1"/>
  <c r="S1963" i="1"/>
  <c r="Q1963" i="1"/>
  <c r="R1963" i="1" s="1"/>
  <c r="P1963" i="1"/>
  <c r="O1963" i="1"/>
  <c r="N1963" i="1"/>
  <c r="K1963" i="1"/>
  <c r="J1963" i="1"/>
  <c r="D1963" i="1"/>
  <c r="C1963" i="1"/>
  <c r="T1962" i="1"/>
  <c r="S1962" i="1"/>
  <c r="Q1962" i="1"/>
  <c r="R1962" i="1" s="1"/>
  <c r="P1962" i="1"/>
  <c r="O1962" i="1"/>
  <c r="N1962" i="1"/>
  <c r="K1962" i="1"/>
  <c r="J1962" i="1"/>
  <c r="D1962" i="1"/>
  <c r="C1962" i="1"/>
  <c r="T1961" i="1"/>
  <c r="S1961" i="1"/>
  <c r="Q1961" i="1"/>
  <c r="R1961" i="1" s="1"/>
  <c r="P1961" i="1"/>
  <c r="O1961" i="1"/>
  <c r="N1961" i="1"/>
  <c r="K1961" i="1"/>
  <c r="J1961" i="1"/>
  <c r="L1961" i="1" s="1"/>
  <c r="D1961" i="1"/>
  <c r="C1961" i="1"/>
  <c r="T1960" i="1"/>
  <c r="S1960" i="1"/>
  <c r="Q1960" i="1"/>
  <c r="R1960" i="1" s="1"/>
  <c r="P1960" i="1"/>
  <c r="O1960" i="1"/>
  <c r="N1960" i="1"/>
  <c r="K1960" i="1"/>
  <c r="J1960" i="1"/>
  <c r="D1960" i="1"/>
  <c r="C1960" i="1"/>
  <c r="T1959" i="1"/>
  <c r="S1959" i="1"/>
  <c r="Q1959" i="1"/>
  <c r="R1959" i="1" s="1"/>
  <c r="P1959" i="1"/>
  <c r="O1959" i="1"/>
  <c r="N1959" i="1"/>
  <c r="K1959" i="1"/>
  <c r="J1959" i="1"/>
  <c r="D1959" i="1"/>
  <c r="C1959" i="1"/>
  <c r="T1958" i="1"/>
  <c r="S1958" i="1"/>
  <c r="Q1958" i="1"/>
  <c r="R1958" i="1" s="1"/>
  <c r="P1958" i="1"/>
  <c r="O1958" i="1"/>
  <c r="N1958" i="1"/>
  <c r="K1958" i="1"/>
  <c r="J1958" i="1"/>
  <c r="D1958" i="1"/>
  <c r="C1958" i="1"/>
  <c r="T1957" i="1"/>
  <c r="S1957" i="1"/>
  <c r="Q1957" i="1"/>
  <c r="R1957" i="1" s="1"/>
  <c r="P1957" i="1"/>
  <c r="O1957" i="1"/>
  <c r="N1957" i="1"/>
  <c r="K1957" i="1"/>
  <c r="J1957" i="1"/>
  <c r="D1957" i="1"/>
  <c r="C1957" i="1"/>
  <c r="T1956" i="1"/>
  <c r="S1956" i="1"/>
  <c r="Q1956" i="1"/>
  <c r="R1956" i="1" s="1"/>
  <c r="P1956" i="1"/>
  <c r="O1956" i="1"/>
  <c r="N1956" i="1"/>
  <c r="K1956" i="1"/>
  <c r="J1956" i="1"/>
  <c r="D1956" i="1"/>
  <c r="C1956" i="1"/>
  <c r="T1955" i="1"/>
  <c r="S1955" i="1"/>
  <c r="Q1955" i="1"/>
  <c r="R1955" i="1" s="1"/>
  <c r="P1955" i="1"/>
  <c r="O1955" i="1"/>
  <c r="N1955" i="1"/>
  <c r="K1955" i="1"/>
  <c r="J1955" i="1"/>
  <c r="D1955" i="1"/>
  <c r="C1955" i="1"/>
  <c r="T1954" i="1"/>
  <c r="S1954" i="1"/>
  <c r="Q1954" i="1"/>
  <c r="R1954" i="1" s="1"/>
  <c r="P1954" i="1"/>
  <c r="O1954" i="1"/>
  <c r="N1954" i="1"/>
  <c r="K1954" i="1"/>
  <c r="J1954" i="1"/>
  <c r="D1954" i="1"/>
  <c r="C1954" i="1"/>
  <c r="T1953" i="1"/>
  <c r="S1953" i="1"/>
  <c r="Q1953" i="1"/>
  <c r="R1953" i="1" s="1"/>
  <c r="P1953" i="1"/>
  <c r="O1953" i="1"/>
  <c r="N1953" i="1"/>
  <c r="K1953" i="1"/>
  <c r="J1953" i="1"/>
  <c r="D1953" i="1"/>
  <c r="C1953" i="1"/>
  <c r="T1952" i="1"/>
  <c r="S1952" i="1"/>
  <c r="R1952" i="1"/>
  <c r="Q1952" i="1"/>
  <c r="P1952" i="1"/>
  <c r="O1952" i="1"/>
  <c r="N1952" i="1"/>
  <c r="K1952" i="1"/>
  <c r="J1952" i="1"/>
  <c r="L1952" i="1" s="1"/>
  <c r="D1952" i="1"/>
  <c r="C1952" i="1"/>
  <c r="T1951" i="1"/>
  <c r="S1951" i="1"/>
  <c r="Q1951" i="1"/>
  <c r="R1951" i="1" s="1"/>
  <c r="P1951" i="1"/>
  <c r="O1951" i="1"/>
  <c r="N1951" i="1"/>
  <c r="K1951" i="1"/>
  <c r="J1951" i="1"/>
  <c r="D1951" i="1"/>
  <c r="C1951" i="1"/>
  <c r="T1950" i="1"/>
  <c r="S1950" i="1"/>
  <c r="Q1950" i="1"/>
  <c r="R1950" i="1" s="1"/>
  <c r="P1950" i="1"/>
  <c r="O1950" i="1"/>
  <c r="N1950" i="1"/>
  <c r="K1950" i="1"/>
  <c r="J1950" i="1"/>
  <c r="L1950" i="1" s="1"/>
  <c r="D1950" i="1"/>
  <c r="C1950" i="1"/>
  <c r="T1949" i="1"/>
  <c r="S1949" i="1"/>
  <c r="Q1949" i="1"/>
  <c r="R1949" i="1" s="1"/>
  <c r="P1949" i="1"/>
  <c r="O1949" i="1"/>
  <c r="N1949" i="1"/>
  <c r="K1949" i="1"/>
  <c r="J1949" i="1"/>
  <c r="D1949" i="1"/>
  <c r="C1949" i="1"/>
  <c r="T1948" i="1"/>
  <c r="S1948" i="1"/>
  <c r="Q1948" i="1"/>
  <c r="R1948" i="1" s="1"/>
  <c r="P1948" i="1"/>
  <c r="O1948" i="1"/>
  <c r="N1948" i="1"/>
  <c r="K1948" i="1"/>
  <c r="J1948" i="1"/>
  <c r="D1948" i="1"/>
  <c r="C1948" i="1"/>
  <c r="T1947" i="1"/>
  <c r="S1947" i="1"/>
  <c r="Q1947" i="1"/>
  <c r="R1947" i="1" s="1"/>
  <c r="P1947" i="1"/>
  <c r="O1947" i="1"/>
  <c r="N1947" i="1"/>
  <c r="K1947" i="1"/>
  <c r="J1947" i="1"/>
  <c r="D1947" i="1"/>
  <c r="C1947" i="1"/>
  <c r="T1946" i="1"/>
  <c r="S1946" i="1"/>
  <c r="Q1946" i="1"/>
  <c r="R1946" i="1" s="1"/>
  <c r="P1946" i="1"/>
  <c r="O1946" i="1"/>
  <c r="N1946" i="1"/>
  <c r="K1946" i="1"/>
  <c r="J1946" i="1"/>
  <c r="D1946" i="1"/>
  <c r="C1946" i="1"/>
  <c r="T1945" i="1"/>
  <c r="S1945" i="1"/>
  <c r="Q1945" i="1"/>
  <c r="R1945" i="1" s="1"/>
  <c r="P1945" i="1"/>
  <c r="O1945" i="1"/>
  <c r="N1945" i="1"/>
  <c r="K1945" i="1"/>
  <c r="J1945" i="1"/>
  <c r="D1945" i="1"/>
  <c r="C1945" i="1"/>
  <c r="T1944" i="1"/>
  <c r="S1944" i="1"/>
  <c r="Q1944" i="1"/>
  <c r="R1944" i="1" s="1"/>
  <c r="P1944" i="1"/>
  <c r="O1944" i="1"/>
  <c r="N1944" i="1"/>
  <c r="K1944" i="1"/>
  <c r="J1944" i="1"/>
  <c r="D1944" i="1"/>
  <c r="C1944" i="1"/>
  <c r="T1943" i="1"/>
  <c r="S1943" i="1"/>
  <c r="Q1943" i="1"/>
  <c r="R1943" i="1" s="1"/>
  <c r="P1943" i="1"/>
  <c r="O1943" i="1"/>
  <c r="N1943" i="1"/>
  <c r="K1943" i="1"/>
  <c r="J1943" i="1"/>
  <c r="D1943" i="1"/>
  <c r="C1943" i="1"/>
  <c r="T1942" i="1"/>
  <c r="S1942" i="1"/>
  <c r="Q1942" i="1"/>
  <c r="R1942" i="1" s="1"/>
  <c r="P1942" i="1"/>
  <c r="O1942" i="1"/>
  <c r="N1942" i="1"/>
  <c r="K1942" i="1"/>
  <c r="J1942" i="1"/>
  <c r="L1942" i="1" s="1"/>
  <c r="D1942" i="1"/>
  <c r="C1942" i="1"/>
  <c r="T1941" i="1"/>
  <c r="S1941" i="1"/>
  <c r="Q1941" i="1"/>
  <c r="R1941" i="1" s="1"/>
  <c r="P1941" i="1"/>
  <c r="O1941" i="1"/>
  <c r="N1941" i="1"/>
  <c r="K1941" i="1"/>
  <c r="J1941" i="1"/>
  <c r="D1941" i="1"/>
  <c r="C1941" i="1"/>
  <c r="T1940" i="1"/>
  <c r="S1940" i="1"/>
  <c r="Q1940" i="1"/>
  <c r="R1940" i="1" s="1"/>
  <c r="P1940" i="1"/>
  <c r="O1940" i="1"/>
  <c r="N1940" i="1"/>
  <c r="K1940" i="1"/>
  <c r="J1940" i="1"/>
  <c r="D1940" i="1"/>
  <c r="C1940" i="1"/>
  <c r="T1939" i="1"/>
  <c r="S1939" i="1"/>
  <c r="Q1939" i="1"/>
  <c r="R1939" i="1" s="1"/>
  <c r="P1939" i="1"/>
  <c r="O1939" i="1"/>
  <c r="N1939" i="1"/>
  <c r="K1939" i="1"/>
  <c r="J1939" i="1"/>
  <c r="D1939" i="1"/>
  <c r="C1939" i="1"/>
  <c r="T1938" i="1"/>
  <c r="S1938" i="1"/>
  <c r="Q1938" i="1"/>
  <c r="R1938" i="1" s="1"/>
  <c r="P1938" i="1"/>
  <c r="O1938" i="1"/>
  <c r="N1938" i="1"/>
  <c r="K1938" i="1"/>
  <c r="J1938" i="1"/>
  <c r="D1938" i="1"/>
  <c r="C1938" i="1"/>
  <c r="T1937" i="1"/>
  <c r="S1937" i="1"/>
  <c r="Q1937" i="1"/>
  <c r="R1937" i="1" s="1"/>
  <c r="P1937" i="1"/>
  <c r="O1937" i="1"/>
  <c r="N1937" i="1"/>
  <c r="K1937" i="1"/>
  <c r="J1937" i="1"/>
  <c r="D1937" i="1"/>
  <c r="C1937" i="1"/>
  <c r="T1936" i="1"/>
  <c r="S1936" i="1"/>
  <c r="Q1936" i="1"/>
  <c r="R1936" i="1" s="1"/>
  <c r="P1936" i="1"/>
  <c r="O1936" i="1"/>
  <c r="N1936" i="1"/>
  <c r="K1936" i="1"/>
  <c r="J1936" i="1"/>
  <c r="D1936" i="1"/>
  <c r="C1936" i="1"/>
  <c r="T1935" i="1"/>
  <c r="S1935" i="1"/>
  <c r="Q1935" i="1"/>
  <c r="R1935" i="1" s="1"/>
  <c r="P1935" i="1"/>
  <c r="O1935" i="1"/>
  <c r="N1935" i="1"/>
  <c r="K1935" i="1"/>
  <c r="J1935" i="1"/>
  <c r="D1935" i="1"/>
  <c r="C1935" i="1"/>
  <c r="T1934" i="1"/>
  <c r="S1934" i="1"/>
  <c r="Q1934" i="1"/>
  <c r="R1934" i="1" s="1"/>
  <c r="P1934" i="1"/>
  <c r="O1934" i="1"/>
  <c r="N1934" i="1"/>
  <c r="K1934" i="1"/>
  <c r="J1934" i="1"/>
  <c r="D1934" i="1"/>
  <c r="C1934" i="1"/>
  <c r="T1933" i="1"/>
  <c r="S1933" i="1"/>
  <c r="Q1933" i="1"/>
  <c r="R1933" i="1" s="1"/>
  <c r="P1933" i="1"/>
  <c r="O1933" i="1"/>
  <c r="N1933" i="1"/>
  <c r="K1933" i="1"/>
  <c r="J1933" i="1"/>
  <c r="L1933" i="1" s="1"/>
  <c r="D1933" i="1"/>
  <c r="C1933" i="1"/>
  <c r="T1932" i="1"/>
  <c r="S1932" i="1"/>
  <c r="Q1932" i="1"/>
  <c r="R1932" i="1" s="1"/>
  <c r="P1932" i="1"/>
  <c r="O1932" i="1"/>
  <c r="N1932" i="1"/>
  <c r="K1932" i="1"/>
  <c r="J1932" i="1"/>
  <c r="D1932" i="1"/>
  <c r="C1932" i="1"/>
  <c r="T1931" i="1"/>
  <c r="S1931" i="1"/>
  <c r="Q1931" i="1"/>
  <c r="R1931" i="1" s="1"/>
  <c r="P1931" i="1"/>
  <c r="O1931" i="1"/>
  <c r="N1931" i="1"/>
  <c r="K1931" i="1"/>
  <c r="J1931" i="1"/>
  <c r="D1931" i="1"/>
  <c r="C1931" i="1"/>
  <c r="T1930" i="1"/>
  <c r="S1930" i="1"/>
  <c r="Q1930" i="1"/>
  <c r="R1930" i="1" s="1"/>
  <c r="P1930" i="1"/>
  <c r="O1930" i="1"/>
  <c r="N1930" i="1"/>
  <c r="K1930" i="1"/>
  <c r="J1930" i="1"/>
  <c r="D1930" i="1"/>
  <c r="C1930" i="1"/>
  <c r="T1929" i="1"/>
  <c r="S1929" i="1"/>
  <c r="Q1929" i="1"/>
  <c r="R1929" i="1" s="1"/>
  <c r="P1929" i="1"/>
  <c r="O1929" i="1"/>
  <c r="N1929" i="1"/>
  <c r="K1929" i="1"/>
  <c r="J1929" i="1"/>
  <c r="D1929" i="1"/>
  <c r="C1929" i="1"/>
  <c r="T1928" i="1"/>
  <c r="S1928" i="1"/>
  <c r="R1928" i="1"/>
  <c r="Q1928" i="1"/>
  <c r="P1928" i="1"/>
  <c r="O1928" i="1"/>
  <c r="N1928" i="1"/>
  <c r="K1928" i="1"/>
  <c r="J1928" i="1"/>
  <c r="D1928" i="1"/>
  <c r="C1928" i="1"/>
  <c r="T1927" i="1"/>
  <c r="S1927" i="1"/>
  <c r="Q1927" i="1"/>
  <c r="R1927" i="1" s="1"/>
  <c r="P1927" i="1"/>
  <c r="O1927" i="1"/>
  <c r="N1927" i="1"/>
  <c r="K1927" i="1"/>
  <c r="J1927" i="1"/>
  <c r="D1927" i="1"/>
  <c r="C1927" i="1"/>
  <c r="T1926" i="1"/>
  <c r="S1926" i="1"/>
  <c r="Q1926" i="1"/>
  <c r="R1926" i="1" s="1"/>
  <c r="P1926" i="1"/>
  <c r="O1926" i="1"/>
  <c r="N1926" i="1"/>
  <c r="K1926" i="1"/>
  <c r="J1926" i="1"/>
  <c r="D1926" i="1"/>
  <c r="C1926" i="1"/>
  <c r="T1925" i="1"/>
  <c r="S1925" i="1"/>
  <c r="Q1925" i="1"/>
  <c r="R1925" i="1" s="1"/>
  <c r="P1925" i="1"/>
  <c r="O1925" i="1"/>
  <c r="N1925" i="1"/>
  <c r="K1925" i="1"/>
  <c r="J1925" i="1"/>
  <c r="L1925" i="1" s="1"/>
  <c r="D1925" i="1"/>
  <c r="C1925" i="1"/>
  <c r="T1924" i="1"/>
  <c r="S1924" i="1"/>
  <c r="Q1924" i="1"/>
  <c r="R1924" i="1" s="1"/>
  <c r="P1924" i="1"/>
  <c r="O1924" i="1"/>
  <c r="N1924" i="1"/>
  <c r="K1924" i="1"/>
  <c r="J1924" i="1"/>
  <c r="D1924" i="1"/>
  <c r="C1924" i="1"/>
  <c r="T1923" i="1"/>
  <c r="S1923" i="1"/>
  <c r="Q1923" i="1"/>
  <c r="R1923" i="1" s="1"/>
  <c r="P1923" i="1"/>
  <c r="O1923" i="1"/>
  <c r="N1923" i="1"/>
  <c r="K1923" i="1"/>
  <c r="J1923" i="1"/>
  <c r="D1923" i="1"/>
  <c r="C1923" i="1"/>
  <c r="T1922" i="1"/>
  <c r="S1922" i="1"/>
  <c r="Q1922" i="1"/>
  <c r="R1922" i="1" s="1"/>
  <c r="P1922" i="1"/>
  <c r="O1922" i="1"/>
  <c r="N1922" i="1"/>
  <c r="K1922" i="1"/>
  <c r="J1922" i="1"/>
  <c r="D1922" i="1"/>
  <c r="C1922" i="1"/>
  <c r="T1921" i="1"/>
  <c r="S1921" i="1"/>
  <c r="Q1921" i="1"/>
  <c r="R1921" i="1" s="1"/>
  <c r="P1921" i="1"/>
  <c r="O1921" i="1"/>
  <c r="N1921" i="1"/>
  <c r="K1921" i="1"/>
  <c r="J1921" i="1"/>
  <c r="D1921" i="1"/>
  <c r="C1921" i="1"/>
  <c r="T1920" i="1"/>
  <c r="S1920" i="1"/>
  <c r="R1920" i="1"/>
  <c r="Q1920" i="1"/>
  <c r="P1920" i="1"/>
  <c r="O1920" i="1"/>
  <c r="N1920" i="1"/>
  <c r="K1920" i="1"/>
  <c r="J1920" i="1"/>
  <c r="L1920" i="1" s="1"/>
  <c r="D1920" i="1"/>
  <c r="C1920" i="1"/>
  <c r="T1919" i="1"/>
  <c r="S1919" i="1"/>
  <c r="Q1919" i="1"/>
  <c r="R1919" i="1" s="1"/>
  <c r="P1919" i="1"/>
  <c r="O1919" i="1"/>
  <c r="N1919" i="1"/>
  <c r="K1919" i="1"/>
  <c r="J1919" i="1"/>
  <c r="D1919" i="1"/>
  <c r="C1919" i="1"/>
  <c r="T1918" i="1"/>
  <c r="S1918" i="1"/>
  <c r="Q1918" i="1"/>
  <c r="R1918" i="1" s="1"/>
  <c r="P1918" i="1"/>
  <c r="O1918" i="1"/>
  <c r="N1918" i="1"/>
  <c r="K1918" i="1"/>
  <c r="J1918" i="1"/>
  <c r="D1918" i="1"/>
  <c r="C1918" i="1"/>
  <c r="T1917" i="1"/>
  <c r="S1917" i="1"/>
  <c r="Q1917" i="1"/>
  <c r="R1917" i="1" s="1"/>
  <c r="P1917" i="1"/>
  <c r="O1917" i="1"/>
  <c r="N1917" i="1"/>
  <c r="K1917" i="1"/>
  <c r="J1917" i="1"/>
  <c r="D1917" i="1"/>
  <c r="C1917" i="1"/>
  <c r="T1916" i="1"/>
  <c r="S1916" i="1"/>
  <c r="Q1916" i="1"/>
  <c r="R1916" i="1" s="1"/>
  <c r="P1916" i="1"/>
  <c r="O1916" i="1"/>
  <c r="N1916" i="1"/>
  <c r="K1916" i="1"/>
  <c r="J1916" i="1"/>
  <c r="D1916" i="1"/>
  <c r="C1916" i="1"/>
  <c r="T1915" i="1"/>
  <c r="S1915" i="1"/>
  <c r="Q1915" i="1"/>
  <c r="R1915" i="1" s="1"/>
  <c r="P1915" i="1"/>
  <c r="O1915" i="1"/>
  <c r="N1915" i="1"/>
  <c r="K1915" i="1"/>
  <c r="J1915" i="1"/>
  <c r="D1915" i="1"/>
  <c r="C1915" i="1"/>
  <c r="T1914" i="1"/>
  <c r="S1914" i="1"/>
  <c r="Q1914" i="1"/>
  <c r="R1914" i="1" s="1"/>
  <c r="P1914" i="1"/>
  <c r="O1914" i="1"/>
  <c r="N1914" i="1"/>
  <c r="K1914" i="1"/>
  <c r="J1914" i="1"/>
  <c r="D1914" i="1"/>
  <c r="C1914" i="1"/>
  <c r="T1913" i="1"/>
  <c r="S1913" i="1"/>
  <c r="Q1913" i="1"/>
  <c r="R1913" i="1" s="1"/>
  <c r="P1913" i="1"/>
  <c r="O1913" i="1"/>
  <c r="N1913" i="1"/>
  <c r="K1913" i="1"/>
  <c r="J1913" i="1"/>
  <c r="D1913" i="1"/>
  <c r="C1913" i="1"/>
  <c r="T1912" i="1"/>
  <c r="S1912" i="1"/>
  <c r="Q1912" i="1"/>
  <c r="R1912" i="1" s="1"/>
  <c r="P1912" i="1"/>
  <c r="O1912" i="1"/>
  <c r="N1912" i="1"/>
  <c r="K1912" i="1"/>
  <c r="J1912" i="1"/>
  <c r="D1912" i="1"/>
  <c r="C1912" i="1"/>
  <c r="T1911" i="1"/>
  <c r="S1911" i="1"/>
  <c r="Q1911" i="1"/>
  <c r="R1911" i="1" s="1"/>
  <c r="P1911" i="1"/>
  <c r="O1911" i="1"/>
  <c r="N1911" i="1"/>
  <c r="K1911" i="1"/>
  <c r="J1911" i="1"/>
  <c r="D1911" i="1"/>
  <c r="C1911" i="1"/>
  <c r="T1910" i="1"/>
  <c r="S1910" i="1"/>
  <c r="Q1910" i="1"/>
  <c r="R1910" i="1" s="1"/>
  <c r="P1910" i="1"/>
  <c r="O1910" i="1"/>
  <c r="N1910" i="1"/>
  <c r="K1910" i="1"/>
  <c r="J1910" i="1"/>
  <c r="D1910" i="1"/>
  <c r="C1910" i="1"/>
  <c r="T1909" i="1"/>
  <c r="S1909" i="1"/>
  <c r="Q1909" i="1"/>
  <c r="R1909" i="1" s="1"/>
  <c r="P1909" i="1"/>
  <c r="O1909" i="1"/>
  <c r="N1909" i="1"/>
  <c r="K1909" i="1"/>
  <c r="J1909" i="1"/>
  <c r="D1909" i="1"/>
  <c r="C1909" i="1"/>
  <c r="T1908" i="1"/>
  <c r="S1908" i="1"/>
  <c r="Q1908" i="1"/>
  <c r="R1908" i="1" s="1"/>
  <c r="P1908" i="1"/>
  <c r="O1908" i="1"/>
  <c r="N1908" i="1"/>
  <c r="K1908" i="1"/>
  <c r="J1908" i="1"/>
  <c r="D1908" i="1"/>
  <c r="C1908" i="1"/>
  <c r="T1907" i="1"/>
  <c r="S1907" i="1"/>
  <c r="Q1907" i="1"/>
  <c r="R1907" i="1" s="1"/>
  <c r="P1907" i="1"/>
  <c r="O1907" i="1"/>
  <c r="N1907" i="1"/>
  <c r="K1907" i="1"/>
  <c r="J1907" i="1"/>
  <c r="D1907" i="1"/>
  <c r="C1907" i="1"/>
  <c r="T1906" i="1"/>
  <c r="S1906" i="1"/>
  <c r="Q1906" i="1"/>
  <c r="R1906" i="1" s="1"/>
  <c r="P1906" i="1"/>
  <c r="O1906" i="1"/>
  <c r="N1906" i="1"/>
  <c r="K1906" i="1"/>
  <c r="J1906" i="1"/>
  <c r="D1906" i="1"/>
  <c r="C1906" i="1"/>
  <c r="T1905" i="1"/>
  <c r="S1905" i="1"/>
  <c r="Q1905" i="1"/>
  <c r="R1905" i="1" s="1"/>
  <c r="P1905" i="1"/>
  <c r="O1905" i="1"/>
  <c r="N1905" i="1"/>
  <c r="K1905" i="1"/>
  <c r="J1905" i="1"/>
  <c r="D1905" i="1"/>
  <c r="C1905" i="1"/>
  <c r="T1904" i="1"/>
  <c r="S1904" i="1"/>
  <c r="Q1904" i="1"/>
  <c r="R1904" i="1" s="1"/>
  <c r="P1904" i="1"/>
  <c r="O1904" i="1"/>
  <c r="N1904" i="1"/>
  <c r="K1904" i="1"/>
  <c r="J1904" i="1"/>
  <c r="D1904" i="1"/>
  <c r="C1904" i="1"/>
  <c r="T1903" i="1"/>
  <c r="S1903" i="1"/>
  <c r="Q1903" i="1"/>
  <c r="R1903" i="1" s="1"/>
  <c r="P1903" i="1"/>
  <c r="O1903" i="1"/>
  <c r="N1903" i="1"/>
  <c r="K1903" i="1"/>
  <c r="J1903" i="1"/>
  <c r="D1903" i="1"/>
  <c r="C1903" i="1"/>
  <c r="T1902" i="1"/>
  <c r="S1902" i="1"/>
  <c r="Q1902" i="1"/>
  <c r="R1902" i="1" s="1"/>
  <c r="P1902" i="1"/>
  <c r="O1902" i="1"/>
  <c r="N1902" i="1"/>
  <c r="K1902" i="1"/>
  <c r="J1902" i="1"/>
  <c r="D1902" i="1"/>
  <c r="C1902" i="1"/>
  <c r="T1901" i="1"/>
  <c r="S1901" i="1"/>
  <c r="Q1901" i="1"/>
  <c r="R1901" i="1" s="1"/>
  <c r="P1901" i="1"/>
  <c r="O1901" i="1"/>
  <c r="N1901" i="1"/>
  <c r="K1901" i="1"/>
  <c r="J1901" i="1"/>
  <c r="D1901" i="1"/>
  <c r="C1901" i="1"/>
  <c r="T1900" i="1"/>
  <c r="S1900" i="1"/>
  <c r="Q1900" i="1"/>
  <c r="R1900" i="1" s="1"/>
  <c r="P1900" i="1"/>
  <c r="O1900" i="1"/>
  <c r="N1900" i="1"/>
  <c r="K1900" i="1"/>
  <c r="J1900" i="1"/>
  <c r="D1900" i="1"/>
  <c r="C1900" i="1"/>
  <c r="T1899" i="1"/>
  <c r="S1899" i="1"/>
  <c r="Q1899" i="1"/>
  <c r="R1899" i="1" s="1"/>
  <c r="P1899" i="1"/>
  <c r="O1899" i="1"/>
  <c r="N1899" i="1"/>
  <c r="K1899" i="1"/>
  <c r="J1899" i="1"/>
  <c r="D1899" i="1"/>
  <c r="C1899" i="1"/>
  <c r="T1898" i="1"/>
  <c r="S1898" i="1"/>
  <c r="Q1898" i="1"/>
  <c r="R1898" i="1" s="1"/>
  <c r="P1898" i="1"/>
  <c r="O1898" i="1"/>
  <c r="N1898" i="1"/>
  <c r="K1898" i="1"/>
  <c r="J1898" i="1"/>
  <c r="D1898" i="1"/>
  <c r="C1898" i="1"/>
  <c r="T1897" i="1"/>
  <c r="S1897" i="1"/>
  <c r="Q1897" i="1"/>
  <c r="R1897" i="1" s="1"/>
  <c r="P1897" i="1"/>
  <c r="O1897" i="1"/>
  <c r="N1897" i="1"/>
  <c r="K1897" i="1"/>
  <c r="J1897" i="1"/>
  <c r="D1897" i="1"/>
  <c r="C1897" i="1"/>
  <c r="T1896" i="1"/>
  <c r="S1896" i="1"/>
  <c r="Q1896" i="1"/>
  <c r="R1896" i="1" s="1"/>
  <c r="P1896" i="1"/>
  <c r="O1896" i="1"/>
  <c r="N1896" i="1"/>
  <c r="K1896" i="1"/>
  <c r="J1896" i="1"/>
  <c r="D1896" i="1"/>
  <c r="C1896" i="1"/>
  <c r="T1895" i="1"/>
  <c r="S1895" i="1"/>
  <c r="Q1895" i="1"/>
  <c r="R1895" i="1" s="1"/>
  <c r="P1895" i="1"/>
  <c r="O1895" i="1"/>
  <c r="N1895" i="1"/>
  <c r="K1895" i="1"/>
  <c r="J1895" i="1"/>
  <c r="D1895" i="1"/>
  <c r="C1895" i="1"/>
  <c r="T1894" i="1"/>
  <c r="S1894" i="1"/>
  <c r="Q1894" i="1"/>
  <c r="R1894" i="1" s="1"/>
  <c r="P1894" i="1"/>
  <c r="O1894" i="1"/>
  <c r="N1894" i="1"/>
  <c r="K1894" i="1"/>
  <c r="J1894" i="1"/>
  <c r="D1894" i="1"/>
  <c r="C1894" i="1"/>
  <c r="T1893" i="1"/>
  <c r="S1893" i="1"/>
  <c r="Q1893" i="1"/>
  <c r="R1893" i="1" s="1"/>
  <c r="P1893" i="1"/>
  <c r="O1893" i="1"/>
  <c r="N1893" i="1"/>
  <c r="K1893" i="1"/>
  <c r="J1893" i="1"/>
  <c r="D1893" i="1"/>
  <c r="C1893" i="1"/>
  <c r="T1892" i="1"/>
  <c r="S1892" i="1"/>
  <c r="Q1892" i="1"/>
  <c r="R1892" i="1" s="1"/>
  <c r="P1892" i="1"/>
  <c r="O1892" i="1"/>
  <c r="N1892" i="1"/>
  <c r="K1892" i="1"/>
  <c r="J1892" i="1"/>
  <c r="D1892" i="1"/>
  <c r="C1892" i="1"/>
  <c r="T1891" i="1"/>
  <c r="S1891" i="1"/>
  <c r="Q1891" i="1"/>
  <c r="R1891" i="1" s="1"/>
  <c r="P1891" i="1"/>
  <c r="O1891" i="1"/>
  <c r="N1891" i="1"/>
  <c r="K1891" i="1"/>
  <c r="J1891" i="1"/>
  <c r="D1891" i="1"/>
  <c r="C1891" i="1"/>
  <c r="T1890" i="1"/>
  <c r="S1890" i="1"/>
  <c r="Q1890" i="1"/>
  <c r="R1890" i="1" s="1"/>
  <c r="P1890" i="1"/>
  <c r="O1890" i="1"/>
  <c r="N1890" i="1"/>
  <c r="K1890" i="1"/>
  <c r="J1890" i="1"/>
  <c r="D1890" i="1"/>
  <c r="C1890" i="1"/>
  <c r="T1889" i="1"/>
  <c r="S1889" i="1"/>
  <c r="Q1889" i="1"/>
  <c r="R1889" i="1" s="1"/>
  <c r="P1889" i="1"/>
  <c r="O1889" i="1"/>
  <c r="N1889" i="1"/>
  <c r="K1889" i="1"/>
  <c r="J1889" i="1"/>
  <c r="L1889" i="1" s="1"/>
  <c r="D1889" i="1"/>
  <c r="C1889" i="1"/>
  <c r="T1888" i="1"/>
  <c r="S1888" i="1"/>
  <c r="Q1888" i="1"/>
  <c r="R1888" i="1" s="1"/>
  <c r="P1888" i="1"/>
  <c r="O1888" i="1"/>
  <c r="N1888" i="1"/>
  <c r="K1888" i="1"/>
  <c r="J1888" i="1"/>
  <c r="D1888" i="1"/>
  <c r="C1888" i="1"/>
  <c r="T1887" i="1"/>
  <c r="S1887" i="1"/>
  <c r="Q1887" i="1"/>
  <c r="R1887" i="1" s="1"/>
  <c r="P1887" i="1"/>
  <c r="O1887" i="1"/>
  <c r="N1887" i="1"/>
  <c r="K1887" i="1"/>
  <c r="J1887" i="1"/>
  <c r="L1887" i="1" s="1"/>
  <c r="D1887" i="1"/>
  <c r="C1887" i="1"/>
  <c r="T1886" i="1"/>
  <c r="S1886" i="1"/>
  <c r="Q1886" i="1"/>
  <c r="R1886" i="1" s="1"/>
  <c r="P1886" i="1"/>
  <c r="O1886" i="1"/>
  <c r="N1886" i="1"/>
  <c r="K1886" i="1"/>
  <c r="J1886" i="1"/>
  <c r="D1886" i="1"/>
  <c r="C1886" i="1"/>
  <c r="T1885" i="1"/>
  <c r="S1885" i="1"/>
  <c r="Q1885" i="1"/>
  <c r="R1885" i="1" s="1"/>
  <c r="P1885" i="1"/>
  <c r="O1885" i="1"/>
  <c r="N1885" i="1"/>
  <c r="K1885" i="1"/>
  <c r="J1885" i="1"/>
  <c r="L1885" i="1" s="1"/>
  <c r="D1885" i="1"/>
  <c r="C1885" i="1"/>
  <c r="T1884" i="1"/>
  <c r="S1884" i="1"/>
  <c r="Q1884" i="1"/>
  <c r="R1884" i="1" s="1"/>
  <c r="P1884" i="1"/>
  <c r="O1884" i="1"/>
  <c r="N1884" i="1"/>
  <c r="K1884" i="1"/>
  <c r="J1884" i="1"/>
  <c r="D1884" i="1"/>
  <c r="C1884" i="1"/>
  <c r="T1883" i="1"/>
  <c r="S1883" i="1"/>
  <c r="Q1883" i="1"/>
  <c r="R1883" i="1" s="1"/>
  <c r="P1883" i="1"/>
  <c r="O1883" i="1"/>
  <c r="N1883" i="1"/>
  <c r="K1883" i="1"/>
  <c r="J1883" i="1"/>
  <c r="D1883" i="1"/>
  <c r="C1883" i="1"/>
  <c r="T1882" i="1"/>
  <c r="S1882" i="1"/>
  <c r="Q1882" i="1"/>
  <c r="R1882" i="1" s="1"/>
  <c r="P1882" i="1"/>
  <c r="O1882" i="1"/>
  <c r="N1882" i="1"/>
  <c r="K1882" i="1"/>
  <c r="J1882" i="1"/>
  <c r="D1882" i="1"/>
  <c r="C1882" i="1"/>
  <c r="T1881" i="1"/>
  <c r="S1881" i="1"/>
  <c r="Q1881" i="1"/>
  <c r="R1881" i="1" s="1"/>
  <c r="P1881" i="1"/>
  <c r="O1881" i="1"/>
  <c r="N1881" i="1"/>
  <c r="K1881" i="1"/>
  <c r="J1881" i="1"/>
  <c r="D1881" i="1"/>
  <c r="C1881" i="1"/>
  <c r="T1880" i="1"/>
  <c r="S1880" i="1"/>
  <c r="Q1880" i="1"/>
  <c r="R1880" i="1" s="1"/>
  <c r="P1880" i="1"/>
  <c r="O1880" i="1"/>
  <c r="N1880" i="1"/>
  <c r="K1880" i="1"/>
  <c r="J1880" i="1"/>
  <c r="D1880" i="1"/>
  <c r="C1880" i="1"/>
  <c r="T1879" i="1"/>
  <c r="S1879" i="1"/>
  <c r="Q1879" i="1"/>
  <c r="R1879" i="1" s="1"/>
  <c r="P1879" i="1"/>
  <c r="O1879" i="1"/>
  <c r="N1879" i="1"/>
  <c r="K1879" i="1"/>
  <c r="J1879" i="1"/>
  <c r="L1879" i="1" s="1"/>
  <c r="D1879" i="1"/>
  <c r="C1879" i="1"/>
  <c r="T1878" i="1"/>
  <c r="S1878" i="1"/>
  <c r="Q1878" i="1"/>
  <c r="R1878" i="1" s="1"/>
  <c r="P1878" i="1"/>
  <c r="O1878" i="1"/>
  <c r="N1878" i="1"/>
  <c r="K1878" i="1"/>
  <c r="J1878" i="1"/>
  <c r="D1878" i="1"/>
  <c r="C1878" i="1"/>
  <c r="T1877" i="1"/>
  <c r="S1877" i="1"/>
  <c r="Q1877" i="1"/>
  <c r="R1877" i="1" s="1"/>
  <c r="P1877" i="1"/>
  <c r="O1877" i="1"/>
  <c r="N1877" i="1"/>
  <c r="K1877" i="1"/>
  <c r="J1877" i="1"/>
  <c r="L1877" i="1" s="1"/>
  <c r="D1877" i="1"/>
  <c r="C1877" i="1"/>
  <c r="T1876" i="1"/>
  <c r="S1876" i="1"/>
  <c r="Q1876" i="1"/>
  <c r="R1876" i="1" s="1"/>
  <c r="P1876" i="1"/>
  <c r="O1876" i="1"/>
  <c r="N1876" i="1"/>
  <c r="K1876" i="1"/>
  <c r="J1876" i="1"/>
  <c r="D1876" i="1"/>
  <c r="C1876" i="1"/>
  <c r="T1875" i="1"/>
  <c r="S1875" i="1"/>
  <c r="Q1875" i="1"/>
  <c r="R1875" i="1" s="1"/>
  <c r="P1875" i="1"/>
  <c r="O1875" i="1"/>
  <c r="N1875" i="1"/>
  <c r="K1875" i="1"/>
  <c r="J1875" i="1"/>
  <c r="D1875" i="1"/>
  <c r="C1875" i="1"/>
  <c r="T1874" i="1"/>
  <c r="S1874" i="1"/>
  <c r="Q1874" i="1"/>
  <c r="R1874" i="1" s="1"/>
  <c r="P1874" i="1"/>
  <c r="O1874" i="1"/>
  <c r="N1874" i="1"/>
  <c r="K1874" i="1"/>
  <c r="J1874" i="1"/>
  <c r="D1874" i="1"/>
  <c r="C1874" i="1"/>
  <c r="T1873" i="1"/>
  <c r="S1873" i="1"/>
  <c r="Q1873" i="1"/>
  <c r="R1873" i="1" s="1"/>
  <c r="P1873" i="1"/>
  <c r="O1873" i="1"/>
  <c r="N1873" i="1"/>
  <c r="K1873" i="1"/>
  <c r="J1873" i="1"/>
  <c r="D1873" i="1"/>
  <c r="C1873" i="1"/>
  <c r="T1872" i="1"/>
  <c r="S1872" i="1"/>
  <c r="Q1872" i="1"/>
  <c r="R1872" i="1" s="1"/>
  <c r="P1872" i="1"/>
  <c r="O1872" i="1"/>
  <c r="N1872" i="1"/>
  <c r="K1872" i="1"/>
  <c r="J1872" i="1"/>
  <c r="D1872" i="1"/>
  <c r="C1872" i="1"/>
  <c r="T1871" i="1"/>
  <c r="S1871" i="1"/>
  <c r="Q1871" i="1"/>
  <c r="R1871" i="1" s="1"/>
  <c r="P1871" i="1"/>
  <c r="O1871" i="1"/>
  <c r="N1871" i="1"/>
  <c r="K1871" i="1"/>
  <c r="J1871" i="1"/>
  <c r="L1871" i="1" s="1"/>
  <c r="D1871" i="1"/>
  <c r="C1871" i="1"/>
  <c r="T1870" i="1"/>
  <c r="S1870" i="1"/>
  <c r="Q1870" i="1"/>
  <c r="R1870" i="1" s="1"/>
  <c r="P1870" i="1"/>
  <c r="O1870" i="1"/>
  <c r="N1870" i="1"/>
  <c r="K1870" i="1"/>
  <c r="J1870" i="1"/>
  <c r="D1870" i="1"/>
  <c r="C1870" i="1"/>
  <c r="T1869" i="1"/>
  <c r="S1869" i="1"/>
  <c r="Q1869" i="1"/>
  <c r="R1869" i="1" s="1"/>
  <c r="P1869" i="1"/>
  <c r="O1869" i="1"/>
  <c r="N1869" i="1"/>
  <c r="K1869" i="1"/>
  <c r="J1869" i="1"/>
  <c r="L1869" i="1" s="1"/>
  <c r="D1869" i="1"/>
  <c r="C1869" i="1"/>
  <c r="T1868" i="1"/>
  <c r="S1868" i="1"/>
  <c r="Q1868" i="1"/>
  <c r="R1868" i="1" s="1"/>
  <c r="P1868" i="1"/>
  <c r="O1868" i="1"/>
  <c r="N1868" i="1"/>
  <c r="K1868" i="1"/>
  <c r="J1868" i="1"/>
  <c r="D1868" i="1"/>
  <c r="C1868" i="1"/>
  <c r="T1867" i="1"/>
  <c r="S1867" i="1"/>
  <c r="Q1867" i="1"/>
  <c r="R1867" i="1" s="1"/>
  <c r="P1867" i="1"/>
  <c r="O1867" i="1"/>
  <c r="N1867" i="1"/>
  <c r="K1867" i="1"/>
  <c r="J1867" i="1"/>
  <c r="D1867" i="1"/>
  <c r="C1867" i="1"/>
  <c r="T1866" i="1"/>
  <c r="S1866" i="1"/>
  <c r="Q1866" i="1"/>
  <c r="R1866" i="1" s="1"/>
  <c r="P1866" i="1"/>
  <c r="O1866" i="1"/>
  <c r="N1866" i="1"/>
  <c r="K1866" i="1"/>
  <c r="J1866" i="1"/>
  <c r="D1866" i="1"/>
  <c r="C1866" i="1"/>
  <c r="T1865" i="1"/>
  <c r="S1865" i="1"/>
  <c r="Q1865" i="1"/>
  <c r="R1865" i="1" s="1"/>
  <c r="P1865" i="1"/>
  <c r="O1865" i="1"/>
  <c r="N1865" i="1"/>
  <c r="K1865" i="1"/>
  <c r="J1865" i="1"/>
  <c r="D1865" i="1"/>
  <c r="C1865" i="1"/>
  <c r="T1864" i="1"/>
  <c r="S1864" i="1"/>
  <c r="Q1864" i="1"/>
  <c r="R1864" i="1" s="1"/>
  <c r="P1864" i="1"/>
  <c r="O1864" i="1"/>
  <c r="N1864" i="1"/>
  <c r="K1864" i="1"/>
  <c r="J1864" i="1"/>
  <c r="D1864" i="1"/>
  <c r="C1864" i="1"/>
  <c r="T1863" i="1"/>
  <c r="S1863" i="1"/>
  <c r="Q1863" i="1"/>
  <c r="R1863" i="1" s="1"/>
  <c r="P1863" i="1"/>
  <c r="O1863" i="1"/>
  <c r="N1863" i="1"/>
  <c r="K1863" i="1"/>
  <c r="J1863" i="1"/>
  <c r="D1863" i="1"/>
  <c r="C1863" i="1"/>
  <c r="T1862" i="1"/>
  <c r="S1862" i="1"/>
  <c r="Q1862" i="1"/>
  <c r="R1862" i="1" s="1"/>
  <c r="P1862" i="1"/>
  <c r="O1862" i="1"/>
  <c r="N1862" i="1"/>
  <c r="K1862" i="1"/>
  <c r="J1862" i="1"/>
  <c r="D1862" i="1"/>
  <c r="C1862" i="1"/>
  <c r="T1861" i="1"/>
  <c r="S1861" i="1"/>
  <c r="Q1861" i="1"/>
  <c r="R1861" i="1" s="1"/>
  <c r="P1861" i="1"/>
  <c r="O1861" i="1"/>
  <c r="N1861" i="1"/>
  <c r="K1861" i="1"/>
  <c r="J1861" i="1"/>
  <c r="D1861" i="1"/>
  <c r="C1861" i="1"/>
  <c r="T1860" i="1"/>
  <c r="S1860" i="1"/>
  <c r="Q1860" i="1"/>
  <c r="R1860" i="1" s="1"/>
  <c r="P1860" i="1"/>
  <c r="O1860" i="1"/>
  <c r="N1860" i="1"/>
  <c r="K1860" i="1"/>
  <c r="J1860" i="1"/>
  <c r="D1860" i="1"/>
  <c r="C1860" i="1"/>
  <c r="T1859" i="1"/>
  <c r="S1859" i="1"/>
  <c r="Q1859" i="1"/>
  <c r="R1859" i="1" s="1"/>
  <c r="P1859" i="1"/>
  <c r="O1859" i="1"/>
  <c r="N1859" i="1"/>
  <c r="K1859" i="1"/>
  <c r="J1859" i="1"/>
  <c r="D1859" i="1"/>
  <c r="C1859" i="1"/>
  <c r="T1858" i="1"/>
  <c r="S1858" i="1"/>
  <c r="Q1858" i="1"/>
  <c r="R1858" i="1" s="1"/>
  <c r="P1858" i="1"/>
  <c r="O1858" i="1"/>
  <c r="N1858" i="1"/>
  <c r="K1858" i="1"/>
  <c r="J1858" i="1"/>
  <c r="D1858" i="1"/>
  <c r="C1858" i="1"/>
  <c r="T1857" i="1"/>
  <c r="S1857" i="1"/>
  <c r="Q1857" i="1"/>
  <c r="R1857" i="1" s="1"/>
  <c r="P1857" i="1"/>
  <c r="O1857" i="1"/>
  <c r="N1857" i="1"/>
  <c r="K1857" i="1"/>
  <c r="J1857" i="1"/>
  <c r="D1857" i="1"/>
  <c r="C1857" i="1"/>
  <c r="T1856" i="1"/>
  <c r="S1856" i="1"/>
  <c r="Q1856" i="1"/>
  <c r="R1856" i="1" s="1"/>
  <c r="P1856" i="1"/>
  <c r="O1856" i="1"/>
  <c r="N1856" i="1"/>
  <c r="K1856" i="1"/>
  <c r="J1856" i="1"/>
  <c r="D1856" i="1"/>
  <c r="C1856" i="1"/>
  <c r="T1855" i="1"/>
  <c r="S1855" i="1"/>
  <c r="Q1855" i="1"/>
  <c r="R1855" i="1" s="1"/>
  <c r="P1855" i="1"/>
  <c r="O1855" i="1"/>
  <c r="N1855" i="1"/>
  <c r="K1855" i="1"/>
  <c r="J1855" i="1"/>
  <c r="D1855" i="1"/>
  <c r="C1855" i="1"/>
  <c r="T1854" i="1"/>
  <c r="S1854" i="1"/>
  <c r="Q1854" i="1"/>
  <c r="R1854" i="1" s="1"/>
  <c r="P1854" i="1"/>
  <c r="O1854" i="1"/>
  <c r="N1854" i="1"/>
  <c r="K1854" i="1"/>
  <c r="J1854" i="1"/>
  <c r="D1854" i="1"/>
  <c r="C1854" i="1"/>
  <c r="T1853" i="1"/>
  <c r="S1853" i="1"/>
  <c r="Q1853" i="1"/>
  <c r="R1853" i="1" s="1"/>
  <c r="P1853" i="1"/>
  <c r="O1853" i="1"/>
  <c r="N1853" i="1"/>
  <c r="K1853" i="1"/>
  <c r="J1853" i="1"/>
  <c r="D1853" i="1"/>
  <c r="C1853" i="1"/>
  <c r="T1852" i="1"/>
  <c r="S1852" i="1"/>
  <c r="Q1852" i="1"/>
  <c r="R1852" i="1" s="1"/>
  <c r="P1852" i="1"/>
  <c r="O1852" i="1"/>
  <c r="N1852" i="1"/>
  <c r="K1852" i="1"/>
  <c r="J1852" i="1"/>
  <c r="D1852" i="1"/>
  <c r="C1852" i="1"/>
  <c r="T1851" i="1"/>
  <c r="S1851" i="1"/>
  <c r="Q1851" i="1"/>
  <c r="R1851" i="1" s="1"/>
  <c r="P1851" i="1"/>
  <c r="O1851" i="1"/>
  <c r="N1851" i="1"/>
  <c r="K1851" i="1"/>
  <c r="J1851" i="1"/>
  <c r="D1851" i="1"/>
  <c r="C1851" i="1"/>
  <c r="T1850" i="1"/>
  <c r="S1850" i="1"/>
  <c r="Q1850" i="1"/>
  <c r="R1850" i="1" s="1"/>
  <c r="P1850" i="1"/>
  <c r="O1850" i="1"/>
  <c r="N1850" i="1"/>
  <c r="K1850" i="1"/>
  <c r="J1850" i="1"/>
  <c r="D1850" i="1"/>
  <c r="C1850" i="1"/>
  <c r="T1849" i="1"/>
  <c r="S1849" i="1"/>
  <c r="Q1849" i="1"/>
  <c r="R1849" i="1" s="1"/>
  <c r="P1849" i="1"/>
  <c r="O1849" i="1"/>
  <c r="N1849" i="1"/>
  <c r="K1849" i="1"/>
  <c r="J1849" i="1"/>
  <c r="D1849" i="1"/>
  <c r="C1849" i="1"/>
  <c r="T1848" i="1"/>
  <c r="S1848" i="1"/>
  <c r="Q1848" i="1"/>
  <c r="R1848" i="1" s="1"/>
  <c r="P1848" i="1"/>
  <c r="O1848" i="1"/>
  <c r="N1848" i="1"/>
  <c r="K1848" i="1"/>
  <c r="J1848" i="1"/>
  <c r="D1848" i="1"/>
  <c r="C1848" i="1"/>
  <c r="T1847" i="1"/>
  <c r="S1847" i="1"/>
  <c r="R1847" i="1"/>
  <c r="Q1847" i="1"/>
  <c r="P1847" i="1"/>
  <c r="O1847" i="1"/>
  <c r="N1847" i="1"/>
  <c r="K1847" i="1"/>
  <c r="J1847" i="1"/>
  <c r="D1847" i="1"/>
  <c r="C1847" i="1"/>
  <c r="T1846" i="1"/>
  <c r="S1846" i="1"/>
  <c r="Q1846" i="1"/>
  <c r="R1846" i="1" s="1"/>
  <c r="P1846" i="1"/>
  <c r="O1846" i="1"/>
  <c r="N1846" i="1"/>
  <c r="K1846" i="1"/>
  <c r="J1846" i="1"/>
  <c r="D1846" i="1"/>
  <c r="C1846" i="1"/>
  <c r="T1845" i="1"/>
  <c r="S1845" i="1"/>
  <c r="Q1845" i="1"/>
  <c r="R1845" i="1" s="1"/>
  <c r="P1845" i="1"/>
  <c r="O1845" i="1"/>
  <c r="N1845" i="1"/>
  <c r="K1845" i="1"/>
  <c r="J1845" i="1"/>
  <c r="D1845" i="1"/>
  <c r="C1845" i="1"/>
  <c r="T1844" i="1"/>
  <c r="S1844" i="1"/>
  <c r="Q1844" i="1"/>
  <c r="R1844" i="1" s="1"/>
  <c r="P1844" i="1"/>
  <c r="O1844" i="1"/>
  <c r="N1844" i="1"/>
  <c r="K1844" i="1"/>
  <c r="J1844" i="1"/>
  <c r="L1844" i="1" s="1"/>
  <c r="D1844" i="1"/>
  <c r="C1844" i="1"/>
  <c r="T1843" i="1"/>
  <c r="S1843" i="1"/>
  <c r="Q1843" i="1"/>
  <c r="R1843" i="1" s="1"/>
  <c r="P1843" i="1"/>
  <c r="O1843" i="1"/>
  <c r="N1843" i="1"/>
  <c r="K1843" i="1"/>
  <c r="J1843" i="1"/>
  <c r="D1843" i="1"/>
  <c r="C1843" i="1"/>
  <c r="T1842" i="1"/>
  <c r="S1842" i="1"/>
  <c r="Q1842" i="1"/>
  <c r="R1842" i="1" s="1"/>
  <c r="P1842" i="1"/>
  <c r="O1842" i="1"/>
  <c r="N1842" i="1"/>
  <c r="K1842" i="1"/>
  <c r="J1842" i="1"/>
  <c r="D1842" i="1"/>
  <c r="C1842" i="1"/>
  <c r="T1841" i="1"/>
  <c r="S1841" i="1"/>
  <c r="Q1841" i="1"/>
  <c r="R1841" i="1" s="1"/>
  <c r="P1841" i="1"/>
  <c r="O1841" i="1"/>
  <c r="N1841" i="1"/>
  <c r="K1841" i="1"/>
  <c r="J1841" i="1"/>
  <c r="D1841" i="1"/>
  <c r="C1841" i="1"/>
  <c r="T1840" i="1"/>
  <c r="S1840" i="1"/>
  <c r="Q1840" i="1"/>
  <c r="R1840" i="1" s="1"/>
  <c r="P1840" i="1"/>
  <c r="O1840" i="1"/>
  <c r="N1840" i="1"/>
  <c r="K1840" i="1"/>
  <c r="J1840" i="1"/>
  <c r="D1840" i="1"/>
  <c r="C1840" i="1"/>
  <c r="T1839" i="1"/>
  <c r="S1839" i="1"/>
  <c r="R1839" i="1"/>
  <c r="Q1839" i="1"/>
  <c r="P1839" i="1"/>
  <c r="O1839" i="1"/>
  <c r="N1839" i="1"/>
  <c r="K1839" i="1"/>
  <c r="J1839" i="1"/>
  <c r="D1839" i="1"/>
  <c r="C1839" i="1"/>
  <c r="T1838" i="1"/>
  <c r="S1838" i="1"/>
  <c r="Q1838" i="1"/>
  <c r="R1838" i="1" s="1"/>
  <c r="P1838" i="1"/>
  <c r="O1838" i="1"/>
  <c r="N1838" i="1"/>
  <c r="K1838" i="1"/>
  <c r="J1838" i="1"/>
  <c r="D1838" i="1"/>
  <c r="C1838" i="1"/>
  <c r="T1837" i="1"/>
  <c r="S1837" i="1"/>
  <c r="Q1837" i="1"/>
  <c r="R1837" i="1" s="1"/>
  <c r="P1837" i="1"/>
  <c r="O1837" i="1"/>
  <c r="N1837" i="1"/>
  <c r="K1837" i="1"/>
  <c r="J1837" i="1"/>
  <c r="D1837" i="1"/>
  <c r="C1837" i="1"/>
  <c r="T1836" i="1"/>
  <c r="S1836" i="1"/>
  <c r="Q1836" i="1"/>
  <c r="R1836" i="1" s="1"/>
  <c r="P1836" i="1"/>
  <c r="O1836" i="1"/>
  <c r="N1836" i="1"/>
  <c r="K1836" i="1"/>
  <c r="J1836" i="1"/>
  <c r="D1836" i="1"/>
  <c r="C1836" i="1"/>
  <c r="T1835" i="1"/>
  <c r="S1835" i="1"/>
  <c r="R1835" i="1"/>
  <c r="Q1835" i="1"/>
  <c r="P1835" i="1"/>
  <c r="O1835" i="1"/>
  <c r="N1835" i="1"/>
  <c r="K1835" i="1"/>
  <c r="J1835" i="1"/>
  <c r="D1835" i="1"/>
  <c r="C1835" i="1"/>
  <c r="T1834" i="1"/>
  <c r="S1834" i="1"/>
  <c r="Q1834" i="1"/>
  <c r="R1834" i="1" s="1"/>
  <c r="P1834" i="1"/>
  <c r="O1834" i="1"/>
  <c r="N1834" i="1"/>
  <c r="K1834" i="1"/>
  <c r="J1834" i="1"/>
  <c r="D1834" i="1"/>
  <c r="C1834" i="1"/>
  <c r="T1833" i="1"/>
  <c r="S1833" i="1"/>
  <c r="Q1833" i="1"/>
  <c r="R1833" i="1" s="1"/>
  <c r="P1833" i="1"/>
  <c r="O1833" i="1"/>
  <c r="N1833" i="1"/>
  <c r="K1833" i="1"/>
  <c r="J1833" i="1"/>
  <c r="L1833" i="1" s="1"/>
  <c r="D1833" i="1"/>
  <c r="C1833" i="1"/>
  <c r="T1832" i="1"/>
  <c r="S1832" i="1"/>
  <c r="Q1832" i="1"/>
  <c r="R1832" i="1" s="1"/>
  <c r="P1832" i="1"/>
  <c r="O1832" i="1"/>
  <c r="N1832" i="1"/>
  <c r="K1832" i="1"/>
  <c r="J1832" i="1"/>
  <c r="D1832" i="1"/>
  <c r="C1832" i="1"/>
  <c r="T1831" i="1"/>
  <c r="S1831" i="1"/>
  <c r="Q1831" i="1"/>
  <c r="R1831" i="1" s="1"/>
  <c r="P1831" i="1"/>
  <c r="O1831" i="1"/>
  <c r="N1831" i="1"/>
  <c r="K1831" i="1"/>
  <c r="J1831" i="1"/>
  <c r="D1831" i="1"/>
  <c r="C1831" i="1"/>
  <c r="T1830" i="1"/>
  <c r="S1830" i="1"/>
  <c r="Q1830" i="1"/>
  <c r="R1830" i="1" s="1"/>
  <c r="P1830" i="1"/>
  <c r="O1830" i="1"/>
  <c r="N1830" i="1"/>
  <c r="K1830" i="1"/>
  <c r="J1830" i="1"/>
  <c r="D1830" i="1"/>
  <c r="C1830" i="1"/>
  <c r="T1829" i="1"/>
  <c r="S1829" i="1"/>
  <c r="Q1829" i="1"/>
  <c r="R1829" i="1" s="1"/>
  <c r="P1829" i="1"/>
  <c r="O1829" i="1"/>
  <c r="N1829" i="1"/>
  <c r="K1829" i="1"/>
  <c r="J1829" i="1"/>
  <c r="D1829" i="1"/>
  <c r="C1829" i="1"/>
  <c r="T1828" i="1"/>
  <c r="S1828" i="1"/>
  <c r="R1828" i="1"/>
  <c r="Q1828" i="1"/>
  <c r="P1828" i="1"/>
  <c r="O1828" i="1"/>
  <c r="N1828" i="1"/>
  <c r="K1828" i="1"/>
  <c r="J1828" i="1"/>
  <c r="D1828" i="1"/>
  <c r="C1828" i="1"/>
  <c r="T1827" i="1"/>
  <c r="S1827" i="1"/>
  <c r="Q1827" i="1"/>
  <c r="R1827" i="1" s="1"/>
  <c r="P1827" i="1"/>
  <c r="O1827" i="1"/>
  <c r="N1827" i="1"/>
  <c r="K1827" i="1"/>
  <c r="J1827" i="1"/>
  <c r="D1827" i="1"/>
  <c r="C1827" i="1"/>
  <c r="T1826" i="1"/>
  <c r="S1826" i="1"/>
  <c r="Q1826" i="1"/>
  <c r="R1826" i="1" s="1"/>
  <c r="P1826" i="1"/>
  <c r="O1826" i="1"/>
  <c r="N1826" i="1"/>
  <c r="K1826" i="1"/>
  <c r="J1826" i="1"/>
  <c r="D1826" i="1"/>
  <c r="C1826" i="1"/>
  <c r="T1825" i="1"/>
  <c r="S1825" i="1"/>
  <c r="Q1825" i="1"/>
  <c r="R1825" i="1" s="1"/>
  <c r="P1825" i="1"/>
  <c r="O1825" i="1"/>
  <c r="N1825" i="1"/>
  <c r="K1825" i="1"/>
  <c r="J1825" i="1"/>
  <c r="D1825" i="1"/>
  <c r="C1825" i="1"/>
  <c r="T1824" i="1"/>
  <c r="S1824" i="1"/>
  <c r="Q1824" i="1"/>
  <c r="R1824" i="1" s="1"/>
  <c r="P1824" i="1"/>
  <c r="O1824" i="1"/>
  <c r="N1824" i="1"/>
  <c r="K1824" i="1"/>
  <c r="J1824" i="1"/>
  <c r="D1824" i="1"/>
  <c r="C1824" i="1"/>
  <c r="T1823" i="1"/>
  <c r="S1823" i="1"/>
  <c r="R1823" i="1"/>
  <c r="Q1823" i="1"/>
  <c r="P1823" i="1"/>
  <c r="O1823" i="1"/>
  <c r="N1823" i="1"/>
  <c r="K1823" i="1"/>
  <c r="J1823" i="1"/>
  <c r="D1823" i="1"/>
  <c r="C1823" i="1"/>
  <c r="T1822" i="1"/>
  <c r="S1822" i="1"/>
  <c r="Q1822" i="1"/>
  <c r="R1822" i="1" s="1"/>
  <c r="P1822" i="1"/>
  <c r="O1822" i="1"/>
  <c r="N1822" i="1"/>
  <c r="K1822" i="1"/>
  <c r="J1822" i="1"/>
  <c r="D1822" i="1"/>
  <c r="C1822" i="1"/>
  <c r="T1821" i="1"/>
  <c r="S1821" i="1"/>
  <c r="Q1821" i="1"/>
  <c r="R1821" i="1" s="1"/>
  <c r="P1821" i="1"/>
  <c r="O1821" i="1"/>
  <c r="N1821" i="1"/>
  <c r="K1821" i="1"/>
  <c r="J1821" i="1"/>
  <c r="D1821" i="1"/>
  <c r="C1821" i="1"/>
  <c r="T1820" i="1"/>
  <c r="S1820" i="1"/>
  <c r="Q1820" i="1"/>
  <c r="R1820" i="1" s="1"/>
  <c r="P1820" i="1"/>
  <c r="O1820" i="1"/>
  <c r="N1820" i="1"/>
  <c r="K1820" i="1"/>
  <c r="J1820" i="1"/>
  <c r="D1820" i="1"/>
  <c r="C1820" i="1"/>
  <c r="T1819" i="1"/>
  <c r="S1819" i="1"/>
  <c r="Q1819" i="1"/>
  <c r="R1819" i="1" s="1"/>
  <c r="P1819" i="1"/>
  <c r="O1819" i="1"/>
  <c r="N1819" i="1"/>
  <c r="K1819" i="1"/>
  <c r="J1819" i="1"/>
  <c r="D1819" i="1"/>
  <c r="C1819" i="1"/>
  <c r="T1818" i="1"/>
  <c r="S1818" i="1"/>
  <c r="Q1818" i="1"/>
  <c r="R1818" i="1" s="1"/>
  <c r="P1818" i="1"/>
  <c r="O1818" i="1"/>
  <c r="N1818" i="1"/>
  <c r="K1818" i="1"/>
  <c r="J1818" i="1"/>
  <c r="D1818" i="1"/>
  <c r="C1818" i="1"/>
  <c r="T1817" i="1"/>
  <c r="S1817" i="1"/>
  <c r="Q1817" i="1"/>
  <c r="R1817" i="1" s="1"/>
  <c r="P1817" i="1"/>
  <c r="O1817" i="1"/>
  <c r="N1817" i="1"/>
  <c r="K1817" i="1"/>
  <c r="J1817" i="1"/>
  <c r="D1817" i="1"/>
  <c r="C1817" i="1"/>
  <c r="T1816" i="1"/>
  <c r="S1816" i="1"/>
  <c r="Q1816" i="1"/>
  <c r="R1816" i="1" s="1"/>
  <c r="P1816" i="1"/>
  <c r="O1816" i="1"/>
  <c r="N1816" i="1"/>
  <c r="K1816" i="1"/>
  <c r="J1816" i="1"/>
  <c r="D1816" i="1"/>
  <c r="C1816" i="1"/>
  <c r="T1815" i="1"/>
  <c r="S1815" i="1"/>
  <c r="R1815" i="1"/>
  <c r="Q1815" i="1"/>
  <c r="P1815" i="1"/>
  <c r="O1815" i="1"/>
  <c r="N1815" i="1"/>
  <c r="K1815" i="1"/>
  <c r="J1815" i="1"/>
  <c r="D1815" i="1"/>
  <c r="C1815" i="1"/>
  <c r="T1814" i="1"/>
  <c r="S1814" i="1"/>
  <c r="Q1814" i="1"/>
  <c r="R1814" i="1" s="1"/>
  <c r="P1814" i="1"/>
  <c r="O1814" i="1"/>
  <c r="N1814" i="1"/>
  <c r="K1814" i="1"/>
  <c r="J1814" i="1"/>
  <c r="D1814" i="1"/>
  <c r="C1814" i="1"/>
  <c r="T1813" i="1"/>
  <c r="S1813" i="1"/>
  <c r="Q1813" i="1"/>
  <c r="R1813" i="1" s="1"/>
  <c r="P1813" i="1"/>
  <c r="O1813" i="1"/>
  <c r="N1813" i="1"/>
  <c r="K1813" i="1"/>
  <c r="J1813" i="1"/>
  <c r="D1813" i="1"/>
  <c r="C1813" i="1"/>
  <c r="T1812" i="1"/>
  <c r="S1812" i="1"/>
  <c r="Q1812" i="1"/>
  <c r="R1812" i="1" s="1"/>
  <c r="P1812" i="1"/>
  <c r="O1812" i="1"/>
  <c r="N1812" i="1"/>
  <c r="K1812" i="1"/>
  <c r="J1812" i="1"/>
  <c r="D1812" i="1"/>
  <c r="C1812" i="1"/>
  <c r="T1811" i="1"/>
  <c r="S1811" i="1"/>
  <c r="R1811" i="1"/>
  <c r="Q1811" i="1"/>
  <c r="P1811" i="1"/>
  <c r="O1811" i="1"/>
  <c r="N1811" i="1"/>
  <c r="K1811" i="1"/>
  <c r="J1811" i="1"/>
  <c r="D1811" i="1"/>
  <c r="C1811" i="1"/>
  <c r="T1810" i="1"/>
  <c r="S1810" i="1"/>
  <c r="Q1810" i="1"/>
  <c r="R1810" i="1" s="1"/>
  <c r="P1810" i="1"/>
  <c r="O1810" i="1"/>
  <c r="N1810" i="1"/>
  <c r="K1810" i="1"/>
  <c r="J1810" i="1"/>
  <c r="D1810" i="1"/>
  <c r="C1810" i="1"/>
  <c r="T1809" i="1"/>
  <c r="S1809" i="1"/>
  <c r="Q1809" i="1"/>
  <c r="R1809" i="1" s="1"/>
  <c r="P1809" i="1"/>
  <c r="O1809" i="1"/>
  <c r="N1809" i="1"/>
  <c r="K1809" i="1"/>
  <c r="J1809" i="1"/>
  <c r="L1809" i="1" s="1"/>
  <c r="D1809" i="1"/>
  <c r="C1809" i="1"/>
  <c r="T1808" i="1"/>
  <c r="S1808" i="1"/>
  <c r="Q1808" i="1"/>
  <c r="R1808" i="1" s="1"/>
  <c r="P1808" i="1"/>
  <c r="O1808" i="1"/>
  <c r="N1808" i="1"/>
  <c r="K1808" i="1"/>
  <c r="J1808" i="1"/>
  <c r="D1808" i="1"/>
  <c r="C1808" i="1"/>
  <c r="T1807" i="1"/>
  <c r="S1807" i="1"/>
  <c r="Q1807" i="1"/>
  <c r="R1807" i="1" s="1"/>
  <c r="P1807" i="1"/>
  <c r="O1807" i="1"/>
  <c r="N1807" i="1"/>
  <c r="K1807" i="1"/>
  <c r="J1807" i="1"/>
  <c r="D1807" i="1"/>
  <c r="C1807" i="1"/>
  <c r="T1806" i="1"/>
  <c r="S1806" i="1"/>
  <c r="Q1806" i="1"/>
  <c r="R1806" i="1" s="1"/>
  <c r="P1806" i="1"/>
  <c r="O1806" i="1"/>
  <c r="N1806" i="1"/>
  <c r="K1806" i="1"/>
  <c r="J1806" i="1"/>
  <c r="D1806" i="1"/>
  <c r="C1806" i="1"/>
  <c r="T1805" i="1"/>
  <c r="S1805" i="1"/>
  <c r="Q1805" i="1"/>
  <c r="R1805" i="1" s="1"/>
  <c r="P1805" i="1"/>
  <c r="O1805" i="1"/>
  <c r="N1805" i="1"/>
  <c r="K1805" i="1"/>
  <c r="J1805" i="1"/>
  <c r="D1805" i="1"/>
  <c r="C1805" i="1"/>
  <c r="T1804" i="1"/>
  <c r="S1804" i="1"/>
  <c r="Q1804" i="1"/>
  <c r="R1804" i="1" s="1"/>
  <c r="P1804" i="1"/>
  <c r="O1804" i="1"/>
  <c r="N1804" i="1"/>
  <c r="K1804" i="1"/>
  <c r="J1804" i="1"/>
  <c r="D1804" i="1"/>
  <c r="C1804" i="1"/>
  <c r="T1803" i="1"/>
  <c r="S1803" i="1"/>
  <c r="Q1803" i="1"/>
  <c r="R1803" i="1" s="1"/>
  <c r="P1803" i="1"/>
  <c r="O1803" i="1"/>
  <c r="N1803" i="1"/>
  <c r="K1803" i="1"/>
  <c r="J1803" i="1"/>
  <c r="D1803" i="1"/>
  <c r="C1803" i="1"/>
  <c r="T1802" i="1"/>
  <c r="S1802" i="1"/>
  <c r="Q1802" i="1"/>
  <c r="R1802" i="1" s="1"/>
  <c r="P1802" i="1"/>
  <c r="O1802" i="1"/>
  <c r="N1802" i="1"/>
  <c r="K1802" i="1"/>
  <c r="J1802" i="1"/>
  <c r="D1802" i="1"/>
  <c r="C1802" i="1"/>
  <c r="T1801" i="1"/>
  <c r="S1801" i="1"/>
  <c r="Q1801" i="1"/>
  <c r="R1801" i="1" s="1"/>
  <c r="P1801" i="1"/>
  <c r="O1801" i="1"/>
  <c r="N1801" i="1"/>
  <c r="K1801" i="1"/>
  <c r="J1801" i="1"/>
  <c r="D1801" i="1"/>
  <c r="C1801" i="1"/>
  <c r="T1800" i="1"/>
  <c r="S1800" i="1"/>
  <c r="R1800" i="1"/>
  <c r="Q1800" i="1"/>
  <c r="P1800" i="1"/>
  <c r="O1800" i="1"/>
  <c r="N1800" i="1"/>
  <c r="K1800" i="1"/>
  <c r="J1800" i="1"/>
  <c r="L1800" i="1" s="1"/>
  <c r="D1800" i="1"/>
  <c r="C1800" i="1"/>
  <c r="T1799" i="1"/>
  <c r="S1799" i="1"/>
  <c r="Q1799" i="1"/>
  <c r="R1799" i="1" s="1"/>
  <c r="P1799" i="1"/>
  <c r="O1799" i="1"/>
  <c r="N1799" i="1"/>
  <c r="K1799" i="1"/>
  <c r="J1799" i="1"/>
  <c r="D1799" i="1"/>
  <c r="C1799" i="1"/>
  <c r="T1798" i="1"/>
  <c r="S1798" i="1"/>
  <c r="Q1798" i="1"/>
  <c r="R1798" i="1" s="1"/>
  <c r="P1798" i="1"/>
  <c r="O1798" i="1"/>
  <c r="N1798" i="1"/>
  <c r="K1798" i="1"/>
  <c r="J1798" i="1"/>
  <c r="D1798" i="1"/>
  <c r="C1798" i="1"/>
  <c r="T1797" i="1"/>
  <c r="S1797" i="1"/>
  <c r="Q1797" i="1"/>
  <c r="R1797" i="1" s="1"/>
  <c r="P1797" i="1"/>
  <c r="O1797" i="1"/>
  <c r="N1797" i="1"/>
  <c r="K1797" i="1"/>
  <c r="J1797" i="1"/>
  <c r="D1797" i="1"/>
  <c r="C1797" i="1"/>
  <c r="T1796" i="1"/>
  <c r="S1796" i="1"/>
  <c r="Q1796" i="1"/>
  <c r="R1796" i="1" s="1"/>
  <c r="P1796" i="1"/>
  <c r="O1796" i="1"/>
  <c r="N1796" i="1"/>
  <c r="K1796" i="1"/>
  <c r="J1796" i="1"/>
  <c r="D1796" i="1"/>
  <c r="C1796" i="1"/>
  <c r="T1795" i="1"/>
  <c r="S1795" i="1"/>
  <c r="Q1795" i="1"/>
  <c r="R1795" i="1" s="1"/>
  <c r="P1795" i="1"/>
  <c r="O1795" i="1"/>
  <c r="N1795" i="1"/>
  <c r="K1795" i="1"/>
  <c r="J1795" i="1"/>
  <c r="D1795" i="1"/>
  <c r="C1795" i="1"/>
  <c r="T1794" i="1"/>
  <c r="S1794" i="1"/>
  <c r="Q1794" i="1"/>
  <c r="R1794" i="1" s="1"/>
  <c r="P1794" i="1"/>
  <c r="O1794" i="1"/>
  <c r="N1794" i="1"/>
  <c r="K1794" i="1"/>
  <c r="J1794" i="1"/>
  <c r="D1794" i="1"/>
  <c r="C1794" i="1"/>
  <c r="T1793" i="1"/>
  <c r="S1793" i="1"/>
  <c r="Q1793" i="1"/>
  <c r="R1793" i="1" s="1"/>
  <c r="P1793" i="1"/>
  <c r="O1793" i="1"/>
  <c r="N1793" i="1"/>
  <c r="K1793" i="1"/>
  <c r="J1793" i="1"/>
  <c r="D1793" i="1"/>
  <c r="C1793" i="1"/>
  <c r="T1792" i="1"/>
  <c r="S1792" i="1"/>
  <c r="Q1792" i="1"/>
  <c r="R1792" i="1" s="1"/>
  <c r="P1792" i="1"/>
  <c r="O1792" i="1"/>
  <c r="N1792" i="1"/>
  <c r="K1792" i="1"/>
  <c r="J1792" i="1"/>
  <c r="D1792" i="1"/>
  <c r="C1792" i="1"/>
  <c r="T1791" i="1"/>
  <c r="S1791" i="1"/>
  <c r="Q1791" i="1"/>
  <c r="R1791" i="1" s="1"/>
  <c r="P1791" i="1"/>
  <c r="O1791" i="1"/>
  <c r="N1791" i="1"/>
  <c r="K1791" i="1"/>
  <c r="J1791" i="1"/>
  <c r="D1791" i="1"/>
  <c r="C1791" i="1"/>
  <c r="T1790" i="1"/>
  <c r="S1790" i="1"/>
  <c r="R1790" i="1"/>
  <c r="Q1790" i="1"/>
  <c r="P1790" i="1"/>
  <c r="O1790" i="1"/>
  <c r="N1790" i="1"/>
  <c r="K1790" i="1"/>
  <c r="J1790" i="1"/>
  <c r="D1790" i="1"/>
  <c r="C1790" i="1"/>
  <c r="T1789" i="1"/>
  <c r="S1789" i="1"/>
  <c r="Q1789" i="1"/>
  <c r="R1789" i="1" s="1"/>
  <c r="P1789" i="1"/>
  <c r="O1789" i="1"/>
  <c r="N1789" i="1"/>
  <c r="K1789" i="1"/>
  <c r="J1789" i="1"/>
  <c r="D1789" i="1"/>
  <c r="C1789" i="1"/>
  <c r="T1788" i="1"/>
  <c r="S1788" i="1"/>
  <c r="Q1788" i="1"/>
  <c r="R1788" i="1" s="1"/>
  <c r="P1788" i="1"/>
  <c r="O1788" i="1"/>
  <c r="N1788" i="1"/>
  <c r="K1788" i="1"/>
  <c r="J1788" i="1"/>
  <c r="D1788" i="1"/>
  <c r="C1788" i="1"/>
  <c r="T1787" i="1"/>
  <c r="S1787" i="1"/>
  <c r="Q1787" i="1"/>
  <c r="R1787" i="1" s="1"/>
  <c r="P1787" i="1"/>
  <c r="O1787" i="1"/>
  <c r="N1787" i="1"/>
  <c r="K1787" i="1"/>
  <c r="J1787" i="1"/>
  <c r="D1787" i="1"/>
  <c r="C1787" i="1"/>
  <c r="T1786" i="1"/>
  <c r="S1786" i="1"/>
  <c r="R1786" i="1"/>
  <c r="Q1786" i="1"/>
  <c r="P1786" i="1"/>
  <c r="O1786" i="1"/>
  <c r="N1786" i="1"/>
  <c r="K1786" i="1"/>
  <c r="J1786" i="1"/>
  <c r="D1786" i="1"/>
  <c r="C1786" i="1"/>
  <c r="T1785" i="1"/>
  <c r="S1785" i="1"/>
  <c r="Q1785" i="1"/>
  <c r="R1785" i="1" s="1"/>
  <c r="P1785" i="1"/>
  <c r="O1785" i="1"/>
  <c r="N1785" i="1"/>
  <c r="K1785" i="1"/>
  <c r="J1785" i="1"/>
  <c r="D1785" i="1"/>
  <c r="C1785" i="1"/>
  <c r="T1784" i="1"/>
  <c r="S1784" i="1"/>
  <c r="Q1784" i="1"/>
  <c r="R1784" i="1" s="1"/>
  <c r="P1784" i="1"/>
  <c r="O1784" i="1"/>
  <c r="N1784" i="1"/>
  <c r="K1784" i="1"/>
  <c r="J1784" i="1"/>
  <c r="D1784" i="1"/>
  <c r="C1784" i="1"/>
  <c r="T1783" i="1"/>
  <c r="S1783" i="1"/>
  <c r="Q1783" i="1"/>
  <c r="R1783" i="1" s="1"/>
  <c r="P1783" i="1"/>
  <c r="O1783" i="1"/>
  <c r="N1783" i="1"/>
  <c r="K1783" i="1"/>
  <c r="J1783" i="1"/>
  <c r="D1783" i="1"/>
  <c r="C1783" i="1"/>
  <c r="T1782" i="1"/>
  <c r="S1782" i="1"/>
  <c r="Q1782" i="1"/>
  <c r="R1782" i="1" s="1"/>
  <c r="P1782" i="1"/>
  <c r="O1782" i="1"/>
  <c r="N1782" i="1"/>
  <c r="K1782" i="1"/>
  <c r="J1782" i="1"/>
  <c r="L1782" i="1" s="1"/>
  <c r="D1782" i="1"/>
  <c r="C1782" i="1"/>
  <c r="T1781" i="1"/>
  <c r="S1781" i="1"/>
  <c r="Q1781" i="1"/>
  <c r="R1781" i="1" s="1"/>
  <c r="P1781" i="1"/>
  <c r="O1781" i="1"/>
  <c r="N1781" i="1"/>
  <c r="K1781" i="1"/>
  <c r="J1781" i="1"/>
  <c r="D1781" i="1"/>
  <c r="C1781" i="1"/>
  <c r="T1780" i="1"/>
  <c r="S1780" i="1"/>
  <c r="Q1780" i="1"/>
  <c r="R1780" i="1" s="1"/>
  <c r="P1780" i="1"/>
  <c r="O1780" i="1"/>
  <c r="N1780" i="1"/>
  <c r="K1780" i="1"/>
  <c r="J1780" i="1"/>
  <c r="D1780" i="1"/>
  <c r="C1780" i="1"/>
  <c r="T1779" i="1"/>
  <c r="S1779" i="1"/>
  <c r="Q1779" i="1"/>
  <c r="R1779" i="1" s="1"/>
  <c r="P1779" i="1"/>
  <c r="O1779" i="1"/>
  <c r="N1779" i="1"/>
  <c r="K1779" i="1"/>
  <c r="J1779" i="1"/>
  <c r="D1779" i="1"/>
  <c r="C1779" i="1"/>
  <c r="T1778" i="1"/>
  <c r="S1778" i="1"/>
  <c r="Q1778" i="1"/>
  <c r="R1778" i="1" s="1"/>
  <c r="P1778" i="1"/>
  <c r="O1778" i="1"/>
  <c r="N1778" i="1"/>
  <c r="K1778" i="1"/>
  <c r="J1778" i="1"/>
  <c r="D1778" i="1"/>
  <c r="C1778" i="1"/>
  <c r="T1777" i="1"/>
  <c r="S1777" i="1"/>
  <c r="Q1777" i="1"/>
  <c r="R1777" i="1" s="1"/>
  <c r="P1777" i="1"/>
  <c r="O1777" i="1"/>
  <c r="N1777" i="1"/>
  <c r="K1777" i="1"/>
  <c r="J1777" i="1"/>
  <c r="D1777" i="1"/>
  <c r="C1777" i="1"/>
  <c r="T1776" i="1"/>
  <c r="S1776" i="1"/>
  <c r="Q1776" i="1"/>
  <c r="R1776" i="1" s="1"/>
  <c r="P1776" i="1"/>
  <c r="O1776" i="1"/>
  <c r="N1776" i="1"/>
  <c r="K1776" i="1"/>
  <c r="J1776" i="1"/>
  <c r="D1776" i="1"/>
  <c r="C1776" i="1"/>
  <c r="T1775" i="1"/>
  <c r="S1775" i="1"/>
  <c r="Q1775" i="1"/>
  <c r="R1775" i="1" s="1"/>
  <c r="P1775" i="1"/>
  <c r="O1775" i="1"/>
  <c r="N1775" i="1"/>
  <c r="K1775" i="1"/>
  <c r="J1775" i="1"/>
  <c r="D1775" i="1"/>
  <c r="C1775" i="1"/>
  <c r="T1774" i="1"/>
  <c r="S1774" i="1"/>
  <c r="R1774" i="1"/>
  <c r="Q1774" i="1"/>
  <c r="P1774" i="1"/>
  <c r="O1774" i="1"/>
  <c r="N1774" i="1"/>
  <c r="K1774" i="1"/>
  <c r="J1774" i="1"/>
  <c r="D1774" i="1"/>
  <c r="C1774" i="1"/>
  <c r="T1773" i="1"/>
  <c r="S1773" i="1"/>
  <c r="Q1773" i="1"/>
  <c r="R1773" i="1" s="1"/>
  <c r="P1773" i="1"/>
  <c r="O1773" i="1"/>
  <c r="N1773" i="1"/>
  <c r="K1773" i="1"/>
  <c r="J1773" i="1"/>
  <c r="D1773" i="1"/>
  <c r="C1773" i="1"/>
  <c r="T1772" i="1"/>
  <c r="S1772" i="1"/>
  <c r="Q1772" i="1"/>
  <c r="R1772" i="1" s="1"/>
  <c r="P1772" i="1"/>
  <c r="O1772" i="1"/>
  <c r="N1772" i="1"/>
  <c r="K1772" i="1"/>
  <c r="J1772" i="1"/>
  <c r="D1772" i="1"/>
  <c r="C1772" i="1"/>
  <c r="T1771" i="1"/>
  <c r="S1771" i="1"/>
  <c r="Q1771" i="1"/>
  <c r="R1771" i="1" s="1"/>
  <c r="P1771" i="1"/>
  <c r="O1771" i="1"/>
  <c r="N1771" i="1"/>
  <c r="K1771" i="1"/>
  <c r="J1771" i="1"/>
  <c r="D1771" i="1"/>
  <c r="C1771" i="1"/>
  <c r="T1770" i="1"/>
  <c r="S1770" i="1"/>
  <c r="R1770" i="1"/>
  <c r="Q1770" i="1"/>
  <c r="P1770" i="1"/>
  <c r="O1770" i="1"/>
  <c r="N1770" i="1"/>
  <c r="K1770" i="1"/>
  <c r="J1770" i="1"/>
  <c r="D1770" i="1"/>
  <c r="C1770" i="1"/>
  <c r="T1769" i="1"/>
  <c r="S1769" i="1"/>
  <c r="Q1769" i="1"/>
  <c r="R1769" i="1" s="1"/>
  <c r="P1769" i="1"/>
  <c r="O1769" i="1"/>
  <c r="N1769" i="1"/>
  <c r="K1769" i="1"/>
  <c r="J1769" i="1"/>
  <c r="D1769" i="1"/>
  <c r="C1769" i="1"/>
  <c r="T1768" i="1"/>
  <c r="S1768" i="1"/>
  <c r="Q1768" i="1"/>
  <c r="R1768" i="1" s="1"/>
  <c r="P1768" i="1"/>
  <c r="O1768" i="1"/>
  <c r="N1768" i="1"/>
  <c r="K1768" i="1"/>
  <c r="J1768" i="1"/>
  <c r="D1768" i="1"/>
  <c r="C1768" i="1"/>
  <c r="T1767" i="1"/>
  <c r="S1767" i="1"/>
  <c r="Q1767" i="1"/>
  <c r="R1767" i="1" s="1"/>
  <c r="P1767" i="1"/>
  <c r="O1767" i="1"/>
  <c r="N1767" i="1"/>
  <c r="K1767" i="1"/>
  <c r="J1767" i="1"/>
  <c r="D1767" i="1"/>
  <c r="C1767" i="1"/>
  <c r="T1766" i="1"/>
  <c r="S1766" i="1"/>
  <c r="R1766" i="1"/>
  <c r="Q1766" i="1"/>
  <c r="P1766" i="1"/>
  <c r="O1766" i="1"/>
  <c r="N1766" i="1"/>
  <c r="K1766" i="1"/>
  <c r="J1766" i="1"/>
  <c r="L1766" i="1" s="1"/>
  <c r="D1766" i="1"/>
  <c r="C1766" i="1"/>
  <c r="T1765" i="1"/>
  <c r="S1765" i="1"/>
  <c r="Q1765" i="1"/>
  <c r="R1765" i="1" s="1"/>
  <c r="P1765" i="1"/>
  <c r="O1765" i="1"/>
  <c r="N1765" i="1"/>
  <c r="K1765" i="1"/>
  <c r="J1765" i="1"/>
  <c r="D1765" i="1"/>
  <c r="C1765" i="1"/>
  <c r="T1764" i="1"/>
  <c r="S1764" i="1"/>
  <c r="Q1764" i="1"/>
  <c r="R1764" i="1" s="1"/>
  <c r="P1764" i="1"/>
  <c r="O1764" i="1"/>
  <c r="N1764" i="1"/>
  <c r="K1764" i="1"/>
  <c r="J1764" i="1"/>
  <c r="D1764" i="1"/>
  <c r="C1764" i="1"/>
  <c r="T1763" i="1"/>
  <c r="S1763" i="1"/>
  <c r="Q1763" i="1"/>
  <c r="R1763" i="1" s="1"/>
  <c r="P1763" i="1"/>
  <c r="O1763" i="1"/>
  <c r="N1763" i="1"/>
  <c r="K1763" i="1"/>
  <c r="J1763" i="1"/>
  <c r="D1763" i="1"/>
  <c r="C1763" i="1"/>
  <c r="T1762" i="1"/>
  <c r="S1762" i="1"/>
  <c r="Q1762" i="1"/>
  <c r="R1762" i="1" s="1"/>
  <c r="P1762" i="1"/>
  <c r="O1762" i="1"/>
  <c r="N1762" i="1"/>
  <c r="K1762" i="1"/>
  <c r="J1762" i="1"/>
  <c r="D1762" i="1"/>
  <c r="C1762" i="1"/>
  <c r="T1761" i="1"/>
  <c r="S1761" i="1"/>
  <c r="Q1761" i="1"/>
  <c r="R1761" i="1" s="1"/>
  <c r="P1761" i="1"/>
  <c r="O1761" i="1"/>
  <c r="N1761" i="1"/>
  <c r="K1761" i="1"/>
  <c r="J1761" i="1"/>
  <c r="D1761" i="1"/>
  <c r="C1761" i="1"/>
  <c r="T1760" i="1"/>
  <c r="S1760" i="1"/>
  <c r="Q1760" i="1"/>
  <c r="R1760" i="1" s="1"/>
  <c r="P1760" i="1"/>
  <c r="O1760" i="1"/>
  <c r="N1760" i="1"/>
  <c r="K1760" i="1"/>
  <c r="J1760" i="1"/>
  <c r="D1760" i="1"/>
  <c r="C1760" i="1"/>
  <c r="T1759" i="1"/>
  <c r="S1759" i="1"/>
  <c r="Q1759" i="1"/>
  <c r="R1759" i="1" s="1"/>
  <c r="P1759" i="1"/>
  <c r="O1759" i="1"/>
  <c r="N1759" i="1"/>
  <c r="K1759" i="1"/>
  <c r="J1759" i="1"/>
  <c r="D1759" i="1"/>
  <c r="C1759" i="1"/>
  <c r="T1758" i="1"/>
  <c r="S1758" i="1"/>
  <c r="R1758" i="1"/>
  <c r="Q1758" i="1"/>
  <c r="P1758" i="1"/>
  <c r="O1758" i="1"/>
  <c r="N1758" i="1"/>
  <c r="K1758" i="1"/>
  <c r="J1758" i="1"/>
  <c r="D1758" i="1"/>
  <c r="C1758" i="1"/>
  <c r="T1757" i="1"/>
  <c r="S1757" i="1"/>
  <c r="Q1757" i="1"/>
  <c r="R1757" i="1" s="1"/>
  <c r="P1757" i="1"/>
  <c r="O1757" i="1"/>
  <c r="N1757" i="1"/>
  <c r="K1757" i="1"/>
  <c r="J1757" i="1"/>
  <c r="D1757" i="1"/>
  <c r="C1757" i="1"/>
  <c r="T1756" i="1"/>
  <c r="S1756" i="1"/>
  <c r="Q1756" i="1"/>
  <c r="R1756" i="1" s="1"/>
  <c r="P1756" i="1"/>
  <c r="O1756" i="1"/>
  <c r="N1756" i="1"/>
  <c r="K1756" i="1"/>
  <c r="J1756" i="1"/>
  <c r="D1756" i="1"/>
  <c r="C1756" i="1"/>
  <c r="T1755" i="1"/>
  <c r="S1755" i="1"/>
  <c r="Q1755" i="1"/>
  <c r="R1755" i="1" s="1"/>
  <c r="P1755" i="1"/>
  <c r="O1755" i="1"/>
  <c r="N1755" i="1"/>
  <c r="K1755" i="1"/>
  <c r="J1755" i="1"/>
  <c r="D1755" i="1"/>
  <c r="C1755" i="1"/>
  <c r="T1754" i="1"/>
  <c r="S1754" i="1"/>
  <c r="R1754" i="1"/>
  <c r="Q1754" i="1"/>
  <c r="P1754" i="1"/>
  <c r="O1754" i="1"/>
  <c r="N1754" i="1"/>
  <c r="K1754" i="1"/>
  <c r="J1754" i="1"/>
  <c r="D1754" i="1"/>
  <c r="C1754" i="1"/>
  <c r="T1753" i="1"/>
  <c r="S1753" i="1"/>
  <c r="Q1753" i="1"/>
  <c r="R1753" i="1" s="1"/>
  <c r="P1753" i="1"/>
  <c r="O1753" i="1"/>
  <c r="N1753" i="1"/>
  <c r="K1753" i="1"/>
  <c r="J1753" i="1"/>
  <c r="D1753" i="1"/>
  <c r="C1753" i="1"/>
  <c r="T1752" i="1"/>
  <c r="S1752" i="1"/>
  <c r="Q1752" i="1"/>
  <c r="R1752" i="1" s="1"/>
  <c r="P1752" i="1"/>
  <c r="O1752" i="1"/>
  <c r="N1752" i="1"/>
  <c r="K1752" i="1"/>
  <c r="J1752" i="1"/>
  <c r="D1752" i="1"/>
  <c r="C1752" i="1"/>
  <c r="T1751" i="1"/>
  <c r="S1751" i="1"/>
  <c r="Q1751" i="1"/>
  <c r="R1751" i="1" s="1"/>
  <c r="P1751" i="1"/>
  <c r="O1751" i="1"/>
  <c r="N1751" i="1"/>
  <c r="K1751" i="1"/>
  <c r="J1751" i="1"/>
  <c r="D1751" i="1"/>
  <c r="C1751" i="1"/>
  <c r="T1750" i="1"/>
  <c r="S1750" i="1"/>
  <c r="R1750" i="1"/>
  <c r="Q1750" i="1"/>
  <c r="P1750" i="1"/>
  <c r="O1750" i="1"/>
  <c r="N1750" i="1"/>
  <c r="K1750" i="1"/>
  <c r="J1750" i="1"/>
  <c r="L1750" i="1" s="1"/>
  <c r="D1750" i="1"/>
  <c r="C1750" i="1"/>
  <c r="T1749" i="1"/>
  <c r="S1749" i="1"/>
  <c r="Q1749" i="1"/>
  <c r="R1749" i="1" s="1"/>
  <c r="P1749" i="1"/>
  <c r="O1749" i="1"/>
  <c r="N1749" i="1"/>
  <c r="K1749" i="1"/>
  <c r="J1749" i="1"/>
  <c r="D1749" i="1"/>
  <c r="C1749" i="1"/>
  <c r="T1748" i="1"/>
  <c r="S1748" i="1"/>
  <c r="Q1748" i="1"/>
  <c r="R1748" i="1" s="1"/>
  <c r="P1748" i="1"/>
  <c r="O1748" i="1"/>
  <c r="N1748" i="1"/>
  <c r="K1748" i="1"/>
  <c r="J1748" i="1"/>
  <c r="D1748" i="1"/>
  <c r="C1748" i="1"/>
  <c r="T1747" i="1"/>
  <c r="S1747" i="1"/>
  <c r="Q1747" i="1"/>
  <c r="R1747" i="1" s="1"/>
  <c r="P1747" i="1"/>
  <c r="O1747" i="1"/>
  <c r="N1747" i="1"/>
  <c r="K1747" i="1"/>
  <c r="J1747" i="1"/>
  <c r="D1747" i="1"/>
  <c r="C1747" i="1"/>
  <c r="T1746" i="1"/>
  <c r="S1746" i="1"/>
  <c r="Q1746" i="1"/>
  <c r="R1746" i="1" s="1"/>
  <c r="P1746" i="1"/>
  <c r="O1746" i="1"/>
  <c r="N1746" i="1"/>
  <c r="K1746" i="1"/>
  <c r="J1746" i="1"/>
  <c r="D1746" i="1"/>
  <c r="C1746" i="1"/>
  <c r="T1745" i="1"/>
  <c r="S1745" i="1"/>
  <c r="Q1745" i="1"/>
  <c r="R1745" i="1" s="1"/>
  <c r="P1745" i="1"/>
  <c r="O1745" i="1"/>
  <c r="N1745" i="1"/>
  <c r="K1745" i="1"/>
  <c r="J1745" i="1"/>
  <c r="D1745" i="1"/>
  <c r="C1745" i="1"/>
  <c r="T1744" i="1"/>
  <c r="S1744" i="1"/>
  <c r="Q1744" i="1"/>
  <c r="R1744" i="1" s="1"/>
  <c r="P1744" i="1"/>
  <c r="O1744" i="1"/>
  <c r="N1744" i="1"/>
  <c r="K1744" i="1"/>
  <c r="J1744" i="1"/>
  <c r="D1744" i="1"/>
  <c r="C1744" i="1"/>
  <c r="T1743" i="1"/>
  <c r="S1743" i="1"/>
  <c r="Q1743" i="1"/>
  <c r="R1743" i="1" s="1"/>
  <c r="P1743" i="1"/>
  <c r="O1743" i="1"/>
  <c r="N1743" i="1"/>
  <c r="K1743" i="1"/>
  <c r="J1743" i="1"/>
  <c r="D1743" i="1"/>
  <c r="C1743" i="1"/>
  <c r="T1742" i="1"/>
  <c r="S1742" i="1"/>
  <c r="R1742" i="1"/>
  <c r="Q1742" i="1"/>
  <c r="P1742" i="1"/>
  <c r="O1742" i="1"/>
  <c r="N1742" i="1"/>
  <c r="K1742" i="1"/>
  <c r="J1742" i="1"/>
  <c r="D1742" i="1"/>
  <c r="C1742" i="1"/>
  <c r="T1741" i="1"/>
  <c r="S1741" i="1"/>
  <c r="Q1741" i="1"/>
  <c r="R1741" i="1" s="1"/>
  <c r="P1741" i="1"/>
  <c r="O1741" i="1"/>
  <c r="N1741" i="1"/>
  <c r="K1741" i="1"/>
  <c r="J1741" i="1"/>
  <c r="D1741" i="1"/>
  <c r="C1741" i="1"/>
  <c r="T1740" i="1"/>
  <c r="S1740" i="1"/>
  <c r="Q1740" i="1"/>
  <c r="R1740" i="1" s="1"/>
  <c r="P1740" i="1"/>
  <c r="O1740" i="1"/>
  <c r="N1740" i="1"/>
  <c r="K1740" i="1"/>
  <c r="J1740" i="1"/>
  <c r="D1740" i="1"/>
  <c r="C1740" i="1"/>
  <c r="T1739" i="1"/>
  <c r="S1739" i="1"/>
  <c r="Q1739" i="1"/>
  <c r="R1739" i="1" s="1"/>
  <c r="P1739" i="1"/>
  <c r="O1739" i="1"/>
  <c r="N1739" i="1"/>
  <c r="K1739" i="1"/>
  <c r="J1739" i="1"/>
  <c r="D1739" i="1"/>
  <c r="C1739" i="1"/>
  <c r="T1738" i="1"/>
  <c r="S1738" i="1"/>
  <c r="R1738" i="1"/>
  <c r="Q1738" i="1"/>
  <c r="P1738" i="1"/>
  <c r="O1738" i="1"/>
  <c r="N1738" i="1"/>
  <c r="K1738" i="1"/>
  <c r="J1738" i="1"/>
  <c r="D1738" i="1"/>
  <c r="C1738" i="1"/>
  <c r="T1737" i="1"/>
  <c r="S1737" i="1"/>
  <c r="Q1737" i="1"/>
  <c r="R1737" i="1" s="1"/>
  <c r="P1737" i="1"/>
  <c r="O1737" i="1"/>
  <c r="N1737" i="1"/>
  <c r="K1737" i="1"/>
  <c r="J1737" i="1"/>
  <c r="D1737" i="1"/>
  <c r="C1737" i="1"/>
  <c r="T1736" i="1"/>
  <c r="S1736" i="1"/>
  <c r="Q1736" i="1"/>
  <c r="R1736" i="1" s="1"/>
  <c r="P1736" i="1"/>
  <c r="O1736" i="1"/>
  <c r="N1736" i="1"/>
  <c r="K1736" i="1"/>
  <c r="J1736" i="1"/>
  <c r="D1736" i="1"/>
  <c r="C1736" i="1"/>
  <c r="T1735" i="1"/>
  <c r="S1735" i="1"/>
  <c r="Q1735" i="1"/>
  <c r="R1735" i="1" s="1"/>
  <c r="P1735" i="1"/>
  <c r="O1735" i="1"/>
  <c r="N1735" i="1"/>
  <c r="K1735" i="1"/>
  <c r="J1735" i="1"/>
  <c r="D1735" i="1"/>
  <c r="C1735" i="1"/>
  <c r="T1734" i="1"/>
  <c r="S1734" i="1"/>
  <c r="R1734" i="1"/>
  <c r="Q1734" i="1"/>
  <c r="P1734" i="1"/>
  <c r="O1734" i="1"/>
  <c r="N1734" i="1"/>
  <c r="K1734" i="1"/>
  <c r="J1734" i="1"/>
  <c r="L1734" i="1" s="1"/>
  <c r="D1734" i="1"/>
  <c r="C1734" i="1"/>
  <c r="T1733" i="1"/>
  <c r="S1733" i="1"/>
  <c r="Q1733" i="1"/>
  <c r="R1733" i="1" s="1"/>
  <c r="P1733" i="1"/>
  <c r="O1733" i="1"/>
  <c r="N1733" i="1"/>
  <c r="K1733" i="1"/>
  <c r="J1733" i="1"/>
  <c r="D1733" i="1"/>
  <c r="C1733" i="1"/>
  <c r="T1732" i="1"/>
  <c r="S1732" i="1"/>
  <c r="Q1732" i="1"/>
  <c r="R1732" i="1" s="1"/>
  <c r="P1732" i="1"/>
  <c r="O1732" i="1"/>
  <c r="N1732" i="1"/>
  <c r="K1732" i="1"/>
  <c r="J1732" i="1"/>
  <c r="D1732" i="1"/>
  <c r="C1732" i="1"/>
  <c r="T1731" i="1"/>
  <c r="S1731" i="1"/>
  <c r="Q1731" i="1"/>
  <c r="R1731" i="1" s="1"/>
  <c r="P1731" i="1"/>
  <c r="O1731" i="1"/>
  <c r="N1731" i="1"/>
  <c r="K1731" i="1"/>
  <c r="J1731" i="1"/>
  <c r="D1731" i="1"/>
  <c r="C1731" i="1"/>
  <c r="T1730" i="1"/>
  <c r="S1730" i="1"/>
  <c r="Q1730" i="1"/>
  <c r="R1730" i="1" s="1"/>
  <c r="P1730" i="1"/>
  <c r="O1730" i="1"/>
  <c r="N1730" i="1"/>
  <c r="K1730" i="1"/>
  <c r="J1730" i="1"/>
  <c r="D1730" i="1"/>
  <c r="C1730" i="1"/>
  <c r="T1729" i="1"/>
  <c r="S1729" i="1"/>
  <c r="Q1729" i="1"/>
  <c r="R1729" i="1" s="1"/>
  <c r="P1729" i="1"/>
  <c r="O1729" i="1"/>
  <c r="N1729" i="1"/>
  <c r="K1729" i="1"/>
  <c r="J1729" i="1"/>
  <c r="D1729" i="1"/>
  <c r="C1729" i="1"/>
  <c r="T1728" i="1"/>
  <c r="S1728" i="1"/>
  <c r="Q1728" i="1"/>
  <c r="R1728" i="1" s="1"/>
  <c r="P1728" i="1"/>
  <c r="O1728" i="1"/>
  <c r="N1728" i="1"/>
  <c r="K1728" i="1"/>
  <c r="J1728" i="1"/>
  <c r="D1728" i="1"/>
  <c r="C1728" i="1"/>
  <c r="T1727" i="1"/>
  <c r="S1727" i="1"/>
  <c r="Q1727" i="1"/>
  <c r="R1727" i="1" s="1"/>
  <c r="P1727" i="1"/>
  <c r="O1727" i="1"/>
  <c r="N1727" i="1"/>
  <c r="K1727" i="1"/>
  <c r="J1727" i="1"/>
  <c r="D1727" i="1"/>
  <c r="C1727" i="1"/>
  <c r="T1726" i="1"/>
  <c r="S1726" i="1"/>
  <c r="R1726" i="1"/>
  <c r="Q1726" i="1"/>
  <c r="P1726" i="1"/>
  <c r="O1726" i="1"/>
  <c r="N1726" i="1"/>
  <c r="K1726" i="1"/>
  <c r="J1726" i="1"/>
  <c r="D1726" i="1"/>
  <c r="C1726" i="1"/>
  <c r="T1725" i="1"/>
  <c r="S1725" i="1"/>
  <c r="Q1725" i="1"/>
  <c r="R1725" i="1" s="1"/>
  <c r="P1725" i="1"/>
  <c r="O1725" i="1"/>
  <c r="N1725" i="1"/>
  <c r="K1725" i="1"/>
  <c r="J1725" i="1"/>
  <c r="D1725" i="1"/>
  <c r="C1725" i="1"/>
  <c r="T1724" i="1"/>
  <c r="S1724" i="1"/>
  <c r="Q1724" i="1"/>
  <c r="R1724" i="1" s="1"/>
  <c r="P1724" i="1"/>
  <c r="O1724" i="1"/>
  <c r="N1724" i="1"/>
  <c r="K1724" i="1"/>
  <c r="J1724" i="1"/>
  <c r="D1724" i="1"/>
  <c r="C1724" i="1"/>
  <c r="T1723" i="1"/>
  <c r="S1723" i="1"/>
  <c r="Q1723" i="1"/>
  <c r="R1723" i="1" s="1"/>
  <c r="P1723" i="1"/>
  <c r="O1723" i="1"/>
  <c r="N1723" i="1"/>
  <c r="K1723" i="1"/>
  <c r="J1723" i="1"/>
  <c r="D1723" i="1"/>
  <c r="C1723" i="1"/>
  <c r="T1722" i="1"/>
  <c r="S1722" i="1"/>
  <c r="R1722" i="1"/>
  <c r="Q1722" i="1"/>
  <c r="P1722" i="1"/>
  <c r="O1722" i="1"/>
  <c r="N1722" i="1"/>
  <c r="K1722" i="1"/>
  <c r="J1722" i="1"/>
  <c r="D1722" i="1"/>
  <c r="C1722" i="1"/>
  <c r="T1721" i="1"/>
  <c r="S1721" i="1"/>
  <c r="Q1721" i="1"/>
  <c r="R1721" i="1" s="1"/>
  <c r="P1721" i="1"/>
  <c r="O1721" i="1"/>
  <c r="N1721" i="1"/>
  <c r="K1721" i="1"/>
  <c r="J1721" i="1"/>
  <c r="D1721" i="1"/>
  <c r="C1721" i="1"/>
  <c r="T1720" i="1"/>
  <c r="S1720" i="1"/>
  <c r="Q1720" i="1"/>
  <c r="R1720" i="1" s="1"/>
  <c r="P1720" i="1"/>
  <c r="O1720" i="1"/>
  <c r="N1720" i="1"/>
  <c r="K1720" i="1"/>
  <c r="J1720" i="1"/>
  <c r="D1720" i="1"/>
  <c r="C1720" i="1"/>
  <c r="T1719" i="1"/>
  <c r="S1719" i="1"/>
  <c r="Q1719" i="1"/>
  <c r="R1719" i="1" s="1"/>
  <c r="P1719" i="1"/>
  <c r="O1719" i="1"/>
  <c r="N1719" i="1"/>
  <c r="K1719" i="1"/>
  <c r="J1719" i="1"/>
  <c r="D1719" i="1"/>
  <c r="C1719" i="1"/>
  <c r="T1718" i="1"/>
  <c r="S1718" i="1"/>
  <c r="Q1718" i="1"/>
  <c r="R1718" i="1" s="1"/>
  <c r="P1718" i="1"/>
  <c r="O1718" i="1"/>
  <c r="N1718" i="1"/>
  <c r="K1718" i="1"/>
  <c r="J1718" i="1"/>
  <c r="L1718" i="1" s="1"/>
  <c r="D1718" i="1"/>
  <c r="C1718" i="1"/>
  <c r="T1717" i="1"/>
  <c r="S1717" i="1"/>
  <c r="Q1717" i="1"/>
  <c r="R1717" i="1" s="1"/>
  <c r="P1717" i="1"/>
  <c r="O1717" i="1"/>
  <c r="N1717" i="1"/>
  <c r="K1717" i="1"/>
  <c r="J1717" i="1"/>
  <c r="D1717" i="1"/>
  <c r="C1717" i="1"/>
  <c r="T1716" i="1"/>
  <c r="S1716" i="1"/>
  <c r="Q1716" i="1"/>
  <c r="R1716" i="1" s="1"/>
  <c r="P1716" i="1"/>
  <c r="O1716" i="1"/>
  <c r="N1716" i="1"/>
  <c r="K1716" i="1"/>
  <c r="J1716" i="1"/>
  <c r="D1716" i="1"/>
  <c r="C1716" i="1"/>
  <c r="T1715" i="1"/>
  <c r="S1715" i="1"/>
  <c r="Q1715" i="1"/>
  <c r="R1715" i="1" s="1"/>
  <c r="P1715" i="1"/>
  <c r="O1715" i="1"/>
  <c r="N1715" i="1"/>
  <c r="K1715" i="1"/>
  <c r="J1715" i="1"/>
  <c r="D1715" i="1"/>
  <c r="C1715" i="1"/>
  <c r="T1714" i="1"/>
  <c r="S1714" i="1"/>
  <c r="Q1714" i="1"/>
  <c r="R1714" i="1" s="1"/>
  <c r="P1714" i="1"/>
  <c r="O1714" i="1"/>
  <c r="N1714" i="1"/>
  <c r="K1714" i="1"/>
  <c r="J1714" i="1"/>
  <c r="D1714" i="1"/>
  <c r="C1714" i="1"/>
  <c r="T1713" i="1"/>
  <c r="S1713" i="1"/>
  <c r="Q1713" i="1"/>
  <c r="R1713" i="1" s="1"/>
  <c r="P1713" i="1"/>
  <c r="O1713" i="1"/>
  <c r="N1713" i="1"/>
  <c r="K1713" i="1"/>
  <c r="J1713" i="1"/>
  <c r="D1713" i="1"/>
  <c r="C1713" i="1"/>
  <c r="T1712" i="1"/>
  <c r="S1712" i="1"/>
  <c r="Q1712" i="1"/>
  <c r="R1712" i="1" s="1"/>
  <c r="P1712" i="1"/>
  <c r="O1712" i="1"/>
  <c r="N1712" i="1"/>
  <c r="K1712" i="1"/>
  <c r="J1712" i="1"/>
  <c r="D1712" i="1"/>
  <c r="C1712" i="1"/>
  <c r="T1711" i="1"/>
  <c r="S1711" i="1"/>
  <c r="Q1711" i="1"/>
  <c r="R1711" i="1" s="1"/>
  <c r="P1711" i="1"/>
  <c r="O1711" i="1"/>
  <c r="N1711" i="1"/>
  <c r="K1711" i="1"/>
  <c r="J1711" i="1"/>
  <c r="D1711" i="1"/>
  <c r="C1711" i="1"/>
  <c r="T1710" i="1"/>
  <c r="S1710" i="1"/>
  <c r="R1710" i="1"/>
  <c r="Q1710" i="1"/>
  <c r="P1710" i="1"/>
  <c r="O1710" i="1"/>
  <c r="N1710" i="1"/>
  <c r="K1710" i="1"/>
  <c r="J1710" i="1"/>
  <c r="D1710" i="1"/>
  <c r="C1710" i="1"/>
  <c r="T1709" i="1"/>
  <c r="S1709" i="1"/>
  <c r="Q1709" i="1"/>
  <c r="R1709" i="1" s="1"/>
  <c r="P1709" i="1"/>
  <c r="O1709" i="1"/>
  <c r="N1709" i="1"/>
  <c r="K1709" i="1"/>
  <c r="J1709" i="1"/>
  <c r="D1709" i="1"/>
  <c r="C1709" i="1"/>
  <c r="T1708" i="1"/>
  <c r="S1708" i="1"/>
  <c r="Q1708" i="1"/>
  <c r="R1708" i="1" s="1"/>
  <c r="P1708" i="1"/>
  <c r="O1708" i="1"/>
  <c r="N1708" i="1"/>
  <c r="K1708" i="1"/>
  <c r="J1708" i="1"/>
  <c r="D1708" i="1"/>
  <c r="C1708" i="1"/>
  <c r="T1707" i="1"/>
  <c r="S1707" i="1"/>
  <c r="Q1707" i="1"/>
  <c r="R1707" i="1" s="1"/>
  <c r="P1707" i="1"/>
  <c r="O1707" i="1"/>
  <c r="N1707" i="1"/>
  <c r="K1707" i="1"/>
  <c r="J1707" i="1"/>
  <c r="D1707" i="1"/>
  <c r="C1707" i="1"/>
  <c r="T1706" i="1"/>
  <c r="S1706" i="1"/>
  <c r="Q1706" i="1"/>
  <c r="R1706" i="1" s="1"/>
  <c r="P1706" i="1"/>
  <c r="O1706" i="1"/>
  <c r="N1706" i="1"/>
  <c r="K1706" i="1"/>
  <c r="J1706" i="1"/>
  <c r="D1706" i="1"/>
  <c r="C1706" i="1"/>
  <c r="T1705" i="1"/>
  <c r="S1705" i="1"/>
  <c r="Q1705" i="1"/>
  <c r="R1705" i="1" s="1"/>
  <c r="P1705" i="1"/>
  <c r="O1705" i="1"/>
  <c r="N1705" i="1"/>
  <c r="K1705" i="1"/>
  <c r="J1705" i="1"/>
  <c r="D1705" i="1"/>
  <c r="C1705" i="1"/>
  <c r="T1704" i="1"/>
  <c r="S1704" i="1"/>
  <c r="Q1704" i="1"/>
  <c r="R1704" i="1" s="1"/>
  <c r="P1704" i="1"/>
  <c r="O1704" i="1"/>
  <c r="N1704" i="1"/>
  <c r="K1704" i="1"/>
  <c r="J1704" i="1"/>
  <c r="D1704" i="1"/>
  <c r="C1704" i="1"/>
  <c r="T1703" i="1"/>
  <c r="S1703" i="1"/>
  <c r="Q1703" i="1"/>
  <c r="R1703" i="1" s="1"/>
  <c r="P1703" i="1"/>
  <c r="O1703" i="1"/>
  <c r="N1703" i="1"/>
  <c r="K1703" i="1"/>
  <c r="J1703" i="1"/>
  <c r="D1703" i="1"/>
  <c r="C1703" i="1"/>
  <c r="T1702" i="1"/>
  <c r="S1702" i="1"/>
  <c r="Q1702" i="1"/>
  <c r="R1702" i="1" s="1"/>
  <c r="P1702" i="1"/>
  <c r="O1702" i="1"/>
  <c r="N1702" i="1"/>
  <c r="K1702" i="1"/>
  <c r="J1702" i="1"/>
  <c r="L1702" i="1" s="1"/>
  <c r="D1702" i="1"/>
  <c r="C1702" i="1"/>
  <c r="T1701" i="1"/>
  <c r="S1701" i="1"/>
  <c r="Q1701" i="1"/>
  <c r="R1701" i="1" s="1"/>
  <c r="P1701" i="1"/>
  <c r="O1701" i="1"/>
  <c r="N1701" i="1"/>
  <c r="K1701" i="1"/>
  <c r="J1701" i="1"/>
  <c r="D1701" i="1"/>
  <c r="C1701" i="1"/>
  <c r="T1700" i="1"/>
  <c r="S1700" i="1"/>
  <c r="Q1700" i="1"/>
  <c r="R1700" i="1" s="1"/>
  <c r="P1700" i="1"/>
  <c r="O1700" i="1"/>
  <c r="N1700" i="1"/>
  <c r="K1700" i="1"/>
  <c r="J1700" i="1"/>
  <c r="D1700" i="1"/>
  <c r="C1700" i="1"/>
  <c r="T1699" i="1"/>
  <c r="S1699" i="1"/>
  <c r="Q1699" i="1"/>
  <c r="R1699" i="1" s="1"/>
  <c r="P1699" i="1"/>
  <c r="O1699" i="1"/>
  <c r="N1699" i="1"/>
  <c r="K1699" i="1"/>
  <c r="J1699" i="1"/>
  <c r="D1699" i="1"/>
  <c r="C1699" i="1"/>
  <c r="T1698" i="1"/>
  <c r="S1698" i="1"/>
  <c r="Q1698" i="1"/>
  <c r="R1698" i="1" s="1"/>
  <c r="P1698" i="1"/>
  <c r="O1698" i="1"/>
  <c r="N1698" i="1"/>
  <c r="K1698" i="1"/>
  <c r="J1698" i="1"/>
  <c r="D1698" i="1"/>
  <c r="C1698" i="1"/>
  <c r="T1697" i="1"/>
  <c r="S1697" i="1"/>
  <c r="Q1697" i="1"/>
  <c r="R1697" i="1" s="1"/>
  <c r="P1697" i="1"/>
  <c r="O1697" i="1"/>
  <c r="N1697" i="1"/>
  <c r="K1697" i="1"/>
  <c r="J1697" i="1"/>
  <c r="D1697" i="1"/>
  <c r="C1697" i="1"/>
  <c r="T1696" i="1"/>
  <c r="S1696" i="1"/>
  <c r="Q1696" i="1"/>
  <c r="R1696" i="1" s="1"/>
  <c r="P1696" i="1"/>
  <c r="O1696" i="1"/>
  <c r="N1696" i="1"/>
  <c r="K1696" i="1"/>
  <c r="J1696" i="1"/>
  <c r="D1696" i="1"/>
  <c r="C1696" i="1"/>
  <c r="T1695" i="1"/>
  <c r="S1695" i="1"/>
  <c r="Q1695" i="1"/>
  <c r="R1695" i="1" s="1"/>
  <c r="P1695" i="1"/>
  <c r="O1695" i="1"/>
  <c r="N1695" i="1"/>
  <c r="K1695" i="1"/>
  <c r="J1695" i="1"/>
  <c r="D1695" i="1"/>
  <c r="C1695" i="1"/>
  <c r="T1694" i="1"/>
  <c r="S1694" i="1"/>
  <c r="R1694" i="1"/>
  <c r="Q1694" i="1"/>
  <c r="P1694" i="1"/>
  <c r="O1694" i="1"/>
  <c r="N1694" i="1"/>
  <c r="K1694" i="1"/>
  <c r="J1694" i="1"/>
  <c r="D1694" i="1"/>
  <c r="C1694" i="1"/>
  <c r="T1693" i="1"/>
  <c r="S1693" i="1"/>
  <c r="Q1693" i="1"/>
  <c r="R1693" i="1" s="1"/>
  <c r="P1693" i="1"/>
  <c r="O1693" i="1"/>
  <c r="N1693" i="1"/>
  <c r="K1693" i="1"/>
  <c r="J1693" i="1"/>
  <c r="D1693" i="1"/>
  <c r="C1693" i="1"/>
  <c r="T1692" i="1"/>
  <c r="S1692" i="1"/>
  <c r="Q1692" i="1"/>
  <c r="R1692" i="1" s="1"/>
  <c r="P1692" i="1"/>
  <c r="O1692" i="1"/>
  <c r="N1692" i="1"/>
  <c r="K1692" i="1"/>
  <c r="J1692" i="1"/>
  <c r="D1692" i="1"/>
  <c r="C1692" i="1"/>
  <c r="T1691" i="1"/>
  <c r="S1691" i="1"/>
  <c r="Q1691" i="1"/>
  <c r="R1691" i="1" s="1"/>
  <c r="P1691" i="1"/>
  <c r="O1691" i="1"/>
  <c r="N1691" i="1"/>
  <c r="K1691" i="1"/>
  <c r="J1691" i="1"/>
  <c r="D1691" i="1"/>
  <c r="C1691" i="1"/>
  <c r="T1690" i="1"/>
  <c r="S1690" i="1"/>
  <c r="Q1690" i="1"/>
  <c r="R1690" i="1" s="1"/>
  <c r="P1690" i="1"/>
  <c r="O1690" i="1"/>
  <c r="N1690" i="1"/>
  <c r="K1690" i="1"/>
  <c r="J1690" i="1"/>
  <c r="D1690" i="1"/>
  <c r="C1690" i="1"/>
  <c r="T1689" i="1"/>
  <c r="S1689" i="1"/>
  <c r="Q1689" i="1"/>
  <c r="R1689" i="1" s="1"/>
  <c r="P1689" i="1"/>
  <c r="O1689" i="1"/>
  <c r="N1689" i="1"/>
  <c r="K1689" i="1"/>
  <c r="J1689" i="1"/>
  <c r="D1689" i="1"/>
  <c r="C1689" i="1"/>
  <c r="T1688" i="1"/>
  <c r="S1688" i="1"/>
  <c r="Q1688" i="1"/>
  <c r="R1688" i="1" s="1"/>
  <c r="P1688" i="1"/>
  <c r="O1688" i="1"/>
  <c r="N1688" i="1"/>
  <c r="K1688" i="1"/>
  <c r="J1688" i="1"/>
  <c r="D1688" i="1"/>
  <c r="C1688" i="1"/>
  <c r="T1687" i="1"/>
  <c r="S1687" i="1"/>
  <c r="Q1687" i="1"/>
  <c r="R1687" i="1" s="1"/>
  <c r="P1687" i="1"/>
  <c r="O1687" i="1"/>
  <c r="N1687" i="1"/>
  <c r="K1687" i="1"/>
  <c r="J1687" i="1"/>
  <c r="D1687" i="1"/>
  <c r="C1687" i="1"/>
  <c r="T1686" i="1"/>
  <c r="S1686" i="1"/>
  <c r="R1686" i="1"/>
  <c r="Q1686" i="1"/>
  <c r="P1686" i="1"/>
  <c r="O1686" i="1"/>
  <c r="N1686" i="1"/>
  <c r="K1686" i="1"/>
  <c r="J1686" i="1"/>
  <c r="L1686" i="1" s="1"/>
  <c r="D1686" i="1"/>
  <c r="C1686" i="1"/>
  <c r="T1685" i="1"/>
  <c r="S1685" i="1"/>
  <c r="Q1685" i="1"/>
  <c r="R1685" i="1" s="1"/>
  <c r="P1685" i="1"/>
  <c r="O1685" i="1"/>
  <c r="N1685" i="1"/>
  <c r="K1685" i="1"/>
  <c r="J1685" i="1"/>
  <c r="D1685" i="1"/>
  <c r="C1685" i="1"/>
  <c r="T1684" i="1"/>
  <c r="S1684" i="1"/>
  <c r="Q1684" i="1"/>
  <c r="R1684" i="1" s="1"/>
  <c r="P1684" i="1"/>
  <c r="O1684" i="1"/>
  <c r="N1684" i="1"/>
  <c r="K1684" i="1"/>
  <c r="J1684" i="1"/>
  <c r="D1684" i="1"/>
  <c r="C1684" i="1"/>
  <c r="T1683" i="1"/>
  <c r="S1683" i="1"/>
  <c r="Q1683" i="1"/>
  <c r="R1683" i="1" s="1"/>
  <c r="P1683" i="1"/>
  <c r="O1683" i="1"/>
  <c r="N1683" i="1"/>
  <c r="K1683" i="1"/>
  <c r="J1683" i="1"/>
  <c r="D1683" i="1"/>
  <c r="C1683" i="1"/>
  <c r="T1682" i="1"/>
  <c r="S1682" i="1"/>
  <c r="Q1682" i="1"/>
  <c r="R1682" i="1" s="1"/>
  <c r="P1682" i="1"/>
  <c r="O1682" i="1"/>
  <c r="N1682" i="1"/>
  <c r="K1682" i="1"/>
  <c r="J1682" i="1"/>
  <c r="D1682" i="1"/>
  <c r="C1682" i="1"/>
  <c r="T1681" i="1"/>
  <c r="S1681" i="1"/>
  <c r="Q1681" i="1"/>
  <c r="R1681" i="1" s="1"/>
  <c r="P1681" i="1"/>
  <c r="O1681" i="1"/>
  <c r="N1681" i="1"/>
  <c r="K1681" i="1"/>
  <c r="J1681" i="1"/>
  <c r="D1681" i="1"/>
  <c r="C1681" i="1"/>
  <c r="T1680" i="1"/>
  <c r="S1680" i="1"/>
  <c r="Q1680" i="1"/>
  <c r="R1680" i="1" s="1"/>
  <c r="P1680" i="1"/>
  <c r="O1680" i="1"/>
  <c r="N1680" i="1"/>
  <c r="K1680" i="1"/>
  <c r="J1680" i="1"/>
  <c r="D1680" i="1"/>
  <c r="C1680" i="1"/>
  <c r="T1679" i="1"/>
  <c r="S1679" i="1"/>
  <c r="Q1679" i="1"/>
  <c r="R1679" i="1" s="1"/>
  <c r="P1679" i="1"/>
  <c r="O1679" i="1"/>
  <c r="N1679" i="1"/>
  <c r="K1679" i="1"/>
  <c r="J1679" i="1"/>
  <c r="D1679" i="1"/>
  <c r="C1679" i="1"/>
  <c r="T1678" i="1"/>
  <c r="S1678" i="1"/>
  <c r="R1678" i="1"/>
  <c r="Q1678" i="1"/>
  <c r="P1678" i="1"/>
  <c r="O1678" i="1"/>
  <c r="N1678" i="1"/>
  <c r="K1678" i="1"/>
  <c r="J1678" i="1"/>
  <c r="L1678" i="1" s="1"/>
  <c r="D1678" i="1"/>
  <c r="C1678" i="1"/>
  <c r="T1677" i="1"/>
  <c r="S1677" i="1"/>
  <c r="Q1677" i="1"/>
  <c r="R1677" i="1" s="1"/>
  <c r="P1677" i="1"/>
  <c r="O1677" i="1"/>
  <c r="N1677" i="1"/>
  <c r="K1677" i="1"/>
  <c r="J1677" i="1"/>
  <c r="D1677" i="1"/>
  <c r="C1677" i="1"/>
  <c r="T1676" i="1"/>
  <c r="S1676" i="1"/>
  <c r="Q1676" i="1"/>
  <c r="R1676" i="1" s="1"/>
  <c r="P1676" i="1"/>
  <c r="O1676" i="1"/>
  <c r="N1676" i="1"/>
  <c r="K1676" i="1"/>
  <c r="J1676" i="1"/>
  <c r="D1676" i="1"/>
  <c r="C1676" i="1"/>
  <c r="T1675" i="1"/>
  <c r="S1675" i="1"/>
  <c r="Q1675" i="1"/>
  <c r="R1675" i="1" s="1"/>
  <c r="P1675" i="1"/>
  <c r="O1675" i="1"/>
  <c r="N1675" i="1"/>
  <c r="K1675" i="1"/>
  <c r="J1675" i="1"/>
  <c r="D1675" i="1"/>
  <c r="C1675" i="1"/>
  <c r="T1674" i="1"/>
  <c r="S1674" i="1"/>
  <c r="Q1674" i="1"/>
  <c r="R1674" i="1" s="1"/>
  <c r="P1674" i="1"/>
  <c r="O1674" i="1"/>
  <c r="N1674" i="1"/>
  <c r="K1674" i="1"/>
  <c r="J1674" i="1"/>
  <c r="D1674" i="1"/>
  <c r="C1674" i="1"/>
  <c r="T1673" i="1"/>
  <c r="S1673" i="1"/>
  <c r="Q1673" i="1"/>
  <c r="R1673" i="1" s="1"/>
  <c r="P1673" i="1"/>
  <c r="O1673" i="1"/>
  <c r="N1673" i="1"/>
  <c r="K1673" i="1"/>
  <c r="J1673" i="1"/>
  <c r="D1673" i="1"/>
  <c r="C1673" i="1"/>
  <c r="T1672" i="1"/>
  <c r="S1672" i="1"/>
  <c r="Q1672" i="1"/>
  <c r="R1672" i="1" s="1"/>
  <c r="P1672" i="1"/>
  <c r="O1672" i="1"/>
  <c r="N1672" i="1"/>
  <c r="K1672" i="1"/>
  <c r="J1672" i="1"/>
  <c r="D1672" i="1"/>
  <c r="C1672" i="1"/>
  <c r="T1671" i="1"/>
  <c r="S1671" i="1"/>
  <c r="Q1671" i="1"/>
  <c r="R1671" i="1" s="1"/>
  <c r="P1671" i="1"/>
  <c r="O1671" i="1"/>
  <c r="N1671" i="1"/>
  <c r="K1671" i="1"/>
  <c r="J1671" i="1"/>
  <c r="D1671" i="1"/>
  <c r="C1671" i="1"/>
  <c r="T1670" i="1"/>
  <c r="S1670" i="1"/>
  <c r="R1670" i="1"/>
  <c r="Q1670" i="1"/>
  <c r="P1670" i="1"/>
  <c r="O1670" i="1"/>
  <c r="N1670" i="1"/>
  <c r="K1670" i="1"/>
  <c r="J1670" i="1"/>
  <c r="L1670" i="1" s="1"/>
  <c r="D1670" i="1"/>
  <c r="C1670" i="1"/>
  <c r="T1669" i="1"/>
  <c r="S1669" i="1"/>
  <c r="Q1669" i="1"/>
  <c r="R1669" i="1" s="1"/>
  <c r="P1669" i="1"/>
  <c r="O1669" i="1"/>
  <c r="N1669" i="1"/>
  <c r="K1669" i="1"/>
  <c r="J1669" i="1"/>
  <c r="D1669" i="1"/>
  <c r="C1669" i="1"/>
  <c r="T1668" i="1"/>
  <c r="S1668" i="1"/>
  <c r="Q1668" i="1"/>
  <c r="R1668" i="1" s="1"/>
  <c r="P1668" i="1"/>
  <c r="O1668" i="1"/>
  <c r="N1668" i="1"/>
  <c r="K1668" i="1"/>
  <c r="J1668" i="1"/>
  <c r="D1668" i="1"/>
  <c r="C1668" i="1"/>
  <c r="T1667" i="1"/>
  <c r="S1667" i="1"/>
  <c r="Q1667" i="1"/>
  <c r="R1667" i="1" s="1"/>
  <c r="P1667" i="1"/>
  <c r="O1667" i="1"/>
  <c r="N1667" i="1"/>
  <c r="K1667" i="1"/>
  <c r="J1667" i="1"/>
  <c r="D1667" i="1"/>
  <c r="C1667" i="1"/>
  <c r="T1666" i="1"/>
  <c r="S1666" i="1"/>
  <c r="Q1666" i="1"/>
  <c r="R1666" i="1" s="1"/>
  <c r="P1666" i="1"/>
  <c r="O1666" i="1"/>
  <c r="N1666" i="1"/>
  <c r="K1666" i="1"/>
  <c r="J1666" i="1"/>
  <c r="D1666" i="1"/>
  <c r="C1666" i="1"/>
  <c r="T1665" i="1"/>
  <c r="S1665" i="1"/>
  <c r="Q1665" i="1"/>
  <c r="R1665" i="1" s="1"/>
  <c r="P1665" i="1"/>
  <c r="O1665" i="1"/>
  <c r="N1665" i="1"/>
  <c r="K1665" i="1"/>
  <c r="J1665" i="1"/>
  <c r="D1665" i="1"/>
  <c r="C1665" i="1"/>
  <c r="T1664" i="1"/>
  <c r="S1664" i="1"/>
  <c r="Q1664" i="1"/>
  <c r="R1664" i="1" s="1"/>
  <c r="P1664" i="1"/>
  <c r="O1664" i="1"/>
  <c r="N1664" i="1"/>
  <c r="K1664" i="1"/>
  <c r="J1664" i="1"/>
  <c r="D1664" i="1"/>
  <c r="C1664" i="1"/>
  <c r="T1663" i="1"/>
  <c r="S1663" i="1"/>
  <c r="Q1663" i="1"/>
  <c r="R1663" i="1" s="1"/>
  <c r="P1663" i="1"/>
  <c r="O1663" i="1"/>
  <c r="N1663" i="1"/>
  <c r="K1663" i="1"/>
  <c r="J1663" i="1"/>
  <c r="D1663" i="1"/>
  <c r="C1663" i="1"/>
  <c r="T1662" i="1"/>
  <c r="S1662" i="1"/>
  <c r="R1662" i="1"/>
  <c r="Q1662" i="1"/>
  <c r="P1662" i="1"/>
  <c r="O1662" i="1"/>
  <c r="N1662" i="1"/>
  <c r="K1662" i="1"/>
  <c r="J1662" i="1"/>
  <c r="D1662" i="1"/>
  <c r="C1662" i="1"/>
  <c r="T1661" i="1"/>
  <c r="S1661" i="1"/>
  <c r="Q1661" i="1"/>
  <c r="R1661" i="1" s="1"/>
  <c r="P1661" i="1"/>
  <c r="O1661" i="1"/>
  <c r="N1661" i="1"/>
  <c r="K1661" i="1"/>
  <c r="J1661" i="1"/>
  <c r="D1661" i="1"/>
  <c r="C1661" i="1"/>
  <c r="T1660" i="1"/>
  <c r="S1660" i="1"/>
  <c r="Q1660" i="1"/>
  <c r="R1660" i="1" s="1"/>
  <c r="P1660" i="1"/>
  <c r="O1660" i="1"/>
  <c r="N1660" i="1"/>
  <c r="K1660" i="1"/>
  <c r="J1660" i="1"/>
  <c r="D1660" i="1"/>
  <c r="C1660" i="1"/>
  <c r="T1659" i="1"/>
  <c r="S1659" i="1"/>
  <c r="Q1659" i="1"/>
  <c r="R1659" i="1" s="1"/>
  <c r="P1659" i="1"/>
  <c r="O1659" i="1"/>
  <c r="N1659" i="1"/>
  <c r="K1659" i="1"/>
  <c r="J1659" i="1"/>
  <c r="D1659" i="1"/>
  <c r="C1659" i="1"/>
  <c r="T1658" i="1"/>
  <c r="S1658" i="1"/>
  <c r="Q1658" i="1"/>
  <c r="R1658" i="1" s="1"/>
  <c r="P1658" i="1"/>
  <c r="O1658" i="1"/>
  <c r="N1658" i="1"/>
  <c r="K1658" i="1"/>
  <c r="J1658" i="1"/>
  <c r="D1658" i="1"/>
  <c r="C1658" i="1"/>
  <c r="T1657" i="1"/>
  <c r="S1657" i="1"/>
  <c r="Q1657" i="1"/>
  <c r="R1657" i="1" s="1"/>
  <c r="P1657" i="1"/>
  <c r="O1657" i="1"/>
  <c r="N1657" i="1"/>
  <c r="K1657" i="1"/>
  <c r="J1657" i="1"/>
  <c r="D1657" i="1"/>
  <c r="C1657" i="1"/>
  <c r="T1656" i="1"/>
  <c r="S1656" i="1"/>
  <c r="Q1656" i="1"/>
  <c r="R1656" i="1" s="1"/>
  <c r="P1656" i="1"/>
  <c r="O1656" i="1"/>
  <c r="N1656" i="1"/>
  <c r="K1656" i="1"/>
  <c r="J1656" i="1"/>
  <c r="D1656" i="1"/>
  <c r="C1656" i="1"/>
  <c r="T1655" i="1"/>
  <c r="S1655" i="1"/>
  <c r="Q1655" i="1"/>
  <c r="R1655" i="1" s="1"/>
  <c r="P1655" i="1"/>
  <c r="O1655" i="1"/>
  <c r="N1655" i="1"/>
  <c r="K1655" i="1"/>
  <c r="J1655" i="1"/>
  <c r="D1655" i="1"/>
  <c r="C1655" i="1"/>
  <c r="T1654" i="1"/>
  <c r="S1654" i="1"/>
  <c r="R1654" i="1"/>
  <c r="Q1654" i="1"/>
  <c r="P1654" i="1"/>
  <c r="O1654" i="1"/>
  <c r="N1654" i="1"/>
  <c r="K1654" i="1"/>
  <c r="J1654" i="1"/>
  <c r="L1654" i="1" s="1"/>
  <c r="D1654" i="1"/>
  <c r="C1654" i="1"/>
  <c r="T1653" i="1"/>
  <c r="S1653" i="1"/>
  <c r="Q1653" i="1"/>
  <c r="R1653" i="1" s="1"/>
  <c r="P1653" i="1"/>
  <c r="O1653" i="1"/>
  <c r="N1653" i="1"/>
  <c r="K1653" i="1"/>
  <c r="J1653" i="1"/>
  <c r="D1653" i="1"/>
  <c r="C1653" i="1"/>
  <c r="T1652" i="1"/>
  <c r="S1652" i="1"/>
  <c r="Q1652" i="1"/>
  <c r="R1652" i="1" s="1"/>
  <c r="P1652" i="1"/>
  <c r="O1652" i="1"/>
  <c r="N1652" i="1"/>
  <c r="K1652" i="1"/>
  <c r="J1652" i="1"/>
  <c r="D1652" i="1"/>
  <c r="C1652" i="1"/>
  <c r="T1651" i="1"/>
  <c r="S1651" i="1"/>
  <c r="Q1651" i="1"/>
  <c r="R1651" i="1" s="1"/>
  <c r="P1651" i="1"/>
  <c r="O1651" i="1"/>
  <c r="N1651" i="1"/>
  <c r="K1651" i="1"/>
  <c r="J1651" i="1"/>
  <c r="D1651" i="1"/>
  <c r="C1651" i="1"/>
  <c r="T1650" i="1"/>
  <c r="S1650" i="1"/>
  <c r="Q1650" i="1"/>
  <c r="R1650" i="1" s="1"/>
  <c r="P1650" i="1"/>
  <c r="O1650" i="1"/>
  <c r="N1650" i="1"/>
  <c r="K1650" i="1"/>
  <c r="J1650" i="1"/>
  <c r="D1650" i="1"/>
  <c r="C1650" i="1"/>
  <c r="T1649" i="1"/>
  <c r="S1649" i="1"/>
  <c r="Q1649" i="1"/>
  <c r="R1649" i="1" s="1"/>
  <c r="P1649" i="1"/>
  <c r="O1649" i="1"/>
  <c r="N1649" i="1"/>
  <c r="K1649" i="1"/>
  <c r="J1649" i="1"/>
  <c r="D1649" i="1"/>
  <c r="C1649" i="1"/>
  <c r="T1648" i="1"/>
  <c r="S1648" i="1"/>
  <c r="Q1648" i="1"/>
  <c r="R1648" i="1" s="1"/>
  <c r="P1648" i="1"/>
  <c r="O1648" i="1"/>
  <c r="N1648" i="1"/>
  <c r="K1648" i="1"/>
  <c r="J1648" i="1"/>
  <c r="D1648" i="1"/>
  <c r="C1648" i="1"/>
  <c r="T1647" i="1"/>
  <c r="S1647" i="1"/>
  <c r="Q1647" i="1"/>
  <c r="R1647" i="1" s="1"/>
  <c r="P1647" i="1"/>
  <c r="O1647" i="1"/>
  <c r="N1647" i="1"/>
  <c r="K1647" i="1"/>
  <c r="J1647" i="1"/>
  <c r="D1647" i="1"/>
  <c r="C1647" i="1"/>
  <c r="T1646" i="1"/>
  <c r="S1646" i="1"/>
  <c r="R1646" i="1"/>
  <c r="Q1646" i="1"/>
  <c r="P1646" i="1"/>
  <c r="O1646" i="1"/>
  <c r="N1646" i="1"/>
  <c r="K1646" i="1"/>
  <c r="J1646" i="1"/>
  <c r="L1646" i="1" s="1"/>
  <c r="D1646" i="1"/>
  <c r="C1646" i="1"/>
  <c r="T1645" i="1"/>
  <c r="S1645" i="1"/>
  <c r="Q1645" i="1"/>
  <c r="R1645" i="1" s="1"/>
  <c r="P1645" i="1"/>
  <c r="O1645" i="1"/>
  <c r="N1645" i="1"/>
  <c r="K1645" i="1"/>
  <c r="J1645" i="1"/>
  <c r="D1645" i="1"/>
  <c r="C1645" i="1"/>
  <c r="T1644" i="1"/>
  <c r="S1644" i="1"/>
  <c r="Q1644" i="1"/>
  <c r="R1644" i="1" s="1"/>
  <c r="P1644" i="1"/>
  <c r="O1644" i="1"/>
  <c r="N1644" i="1"/>
  <c r="K1644" i="1"/>
  <c r="J1644" i="1"/>
  <c r="D1644" i="1"/>
  <c r="C1644" i="1"/>
  <c r="T1643" i="1"/>
  <c r="S1643" i="1"/>
  <c r="Q1643" i="1"/>
  <c r="R1643" i="1" s="1"/>
  <c r="P1643" i="1"/>
  <c r="O1643" i="1"/>
  <c r="N1643" i="1"/>
  <c r="K1643" i="1"/>
  <c r="J1643" i="1"/>
  <c r="D1643" i="1"/>
  <c r="C1643" i="1"/>
  <c r="T1642" i="1"/>
  <c r="S1642" i="1"/>
  <c r="Q1642" i="1"/>
  <c r="R1642" i="1" s="1"/>
  <c r="P1642" i="1"/>
  <c r="O1642" i="1"/>
  <c r="N1642" i="1"/>
  <c r="K1642" i="1"/>
  <c r="J1642" i="1"/>
  <c r="D1642" i="1"/>
  <c r="C1642" i="1"/>
  <c r="T1641" i="1"/>
  <c r="S1641" i="1"/>
  <c r="Q1641" i="1"/>
  <c r="R1641" i="1" s="1"/>
  <c r="P1641" i="1"/>
  <c r="O1641" i="1"/>
  <c r="N1641" i="1"/>
  <c r="K1641" i="1"/>
  <c r="J1641" i="1"/>
  <c r="D1641" i="1"/>
  <c r="C1641" i="1"/>
  <c r="T1640" i="1"/>
  <c r="S1640" i="1"/>
  <c r="Q1640" i="1"/>
  <c r="R1640" i="1" s="1"/>
  <c r="P1640" i="1"/>
  <c r="O1640" i="1"/>
  <c r="N1640" i="1"/>
  <c r="K1640" i="1"/>
  <c r="J1640" i="1"/>
  <c r="D1640" i="1"/>
  <c r="C1640" i="1"/>
  <c r="T1639" i="1"/>
  <c r="S1639" i="1"/>
  <c r="Q1639" i="1"/>
  <c r="R1639" i="1" s="1"/>
  <c r="P1639" i="1"/>
  <c r="O1639" i="1"/>
  <c r="N1639" i="1"/>
  <c r="K1639" i="1"/>
  <c r="J1639" i="1"/>
  <c r="D1639" i="1"/>
  <c r="C1639" i="1"/>
  <c r="T1638" i="1"/>
  <c r="S1638" i="1"/>
  <c r="R1638" i="1"/>
  <c r="Q1638" i="1"/>
  <c r="P1638" i="1"/>
  <c r="O1638" i="1"/>
  <c r="N1638" i="1"/>
  <c r="K1638" i="1"/>
  <c r="J1638" i="1"/>
  <c r="L1638" i="1" s="1"/>
  <c r="D1638" i="1"/>
  <c r="C1638" i="1"/>
  <c r="T1637" i="1"/>
  <c r="S1637" i="1"/>
  <c r="Q1637" i="1"/>
  <c r="R1637" i="1" s="1"/>
  <c r="P1637" i="1"/>
  <c r="O1637" i="1"/>
  <c r="N1637" i="1"/>
  <c r="K1637" i="1"/>
  <c r="J1637" i="1"/>
  <c r="D1637" i="1"/>
  <c r="C1637" i="1"/>
  <c r="T1636" i="1"/>
  <c r="S1636" i="1"/>
  <c r="Q1636" i="1"/>
  <c r="R1636" i="1" s="1"/>
  <c r="P1636" i="1"/>
  <c r="O1636" i="1"/>
  <c r="N1636" i="1"/>
  <c r="K1636" i="1"/>
  <c r="J1636" i="1"/>
  <c r="D1636" i="1"/>
  <c r="C1636" i="1"/>
  <c r="T1635" i="1"/>
  <c r="S1635" i="1"/>
  <c r="Q1635" i="1"/>
  <c r="R1635" i="1" s="1"/>
  <c r="P1635" i="1"/>
  <c r="O1635" i="1"/>
  <c r="N1635" i="1"/>
  <c r="K1635" i="1"/>
  <c r="J1635" i="1"/>
  <c r="D1635" i="1"/>
  <c r="C1635" i="1"/>
  <c r="T1634" i="1"/>
  <c r="S1634" i="1"/>
  <c r="Q1634" i="1"/>
  <c r="R1634" i="1" s="1"/>
  <c r="P1634" i="1"/>
  <c r="O1634" i="1"/>
  <c r="N1634" i="1"/>
  <c r="K1634" i="1"/>
  <c r="J1634" i="1"/>
  <c r="D1634" i="1"/>
  <c r="C1634" i="1"/>
  <c r="T1633" i="1"/>
  <c r="S1633" i="1"/>
  <c r="Q1633" i="1"/>
  <c r="R1633" i="1" s="1"/>
  <c r="P1633" i="1"/>
  <c r="O1633" i="1"/>
  <c r="N1633" i="1"/>
  <c r="K1633" i="1"/>
  <c r="J1633" i="1"/>
  <c r="D1633" i="1"/>
  <c r="C1633" i="1"/>
  <c r="T1632" i="1"/>
  <c r="S1632" i="1"/>
  <c r="Q1632" i="1"/>
  <c r="R1632" i="1" s="1"/>
  <c r="P1632" i="1"/>
  <c r="O1632" i="1"/>
  <c r="N1632" i="1"/>
  <c r="K1632" i="1"/>
  <c r="J1632" i="1"/>
  <c r="D1632" i="1"/>
  <c r="C1632" i="1"/>
  <c r="T1631" i="1"/>
  <c r="S1631" i="1"/>
  <c r="Q1631" i="1"/>
  <c r="R1631" i="1" s="1"/>
  <c r="P1631" i="1"/>
  <c r="O1631" i="1"/>
  <c r="N1631" i="1"/>
  <c r="K1631" i="1"/>
  <c r="J1631" i="1"/>
  <c r="D1631" i="1"/>
  <c r="C1631" i="1"/>
  <c r="T1630" i="1"/>
  <c r="S1630" i="1"/>
  <c r="Q1630" i="1"/>
  <c r="R1630" i="1" s="1"/>
  <c r="P1630" i="1"/>
  <c r="O1630" i="1"/>
  <c r="N1630" i="1"/>
  <c r="K1630" i="1"/>
  <c r="J1630" i="1"/>
  <c r="D1630" i="1"/>
  <c r="C1630" i="1"/>
  <c r="T1629" i="1"/>
  <c r="S1629" i="1"/>
  <c r="Q1629" i="1"/>
  <c r="R1629" i="1" s="1"/>
  <c r="P1629" i="1"/>
  <c r="O1629" i="1"/>
  <c r="N1629" i="1"/>
  <c r="K1629" i="1"/>
  <c r="J1629" i="1"/>
  <c r="L1629" i="1" s="1"/>
  <c r="D1629" i="1"/>
  <c r="C1629" i="1"/>
  <c r="T1628" i="1"/>
  <c r="S1628" i="1"/>
  <c r="Q1628" i="1"/>
  <c r="R1628" i="1" s="1"/>
  <c r="P1628" i="1"/>
  <c r="O1628" i="1"/>
  <c r="N1628" i="1"/>
  <c r="K1628" i="1"/>
  <c r="J1628" i="1"/>
  <c r="D1628" i="1"/>
  <c r="C1628" i="1"/>
  <c r="T1627" i="1"/>
  <c r="S1627" i="1"/>
  <c r="Q1627" i="1"/>
  <c r="R1627" i="1" s="1"/>
  <c r="P1627" i="1"/>
  <c r="O1627" i="1"/>
  <c r="N1627" i="1"/>
  <c r="K1627" i="1"/>
  <c r="J1627" i="1"/>
  <c r="D1627" i="1"/>
  <c r="C1627" i="1"/>
  <c r="T1626" i="1"/>
  <c r="S1626" i="1"/>
  <c r="Q1626" i="1"/>
  <c r="R1626" i="1" s="1"/>
  <c r="P1626" i="1"/>
  <c r="O1626" i="1"/>
  <c r="N1626" i="1"/>
  <c r="K1626" i="1"/>
  <c r="J1626" i="1"/>
  <c r="D1626" i="1"/>
  <c r="C1626" i="1"/>
  <c r="T1625" i="1"/>
  <c r="S1625" i="1"/>
  <c r="Q1625" i="1"/>
  <c r="R1625" i="1" s="1"/>
  <c r="P1625" i="1"/>
  <c r="O1625" i="1"/>
  <c r="N1625" i="1"/>
  <c r="K1625" i="1"/>
  <c r="J1625" i="1"/>
  <c r="D1625" i="1"/>
  <c r="C1625" i="1"/>
  <c r="T1624" i="1"/>
  <c r="S1624" i="1"/>
  <c r="Q1624" i="1"/>
  <c r="R1624" i="1" s="1"/>
  <c r="P1624" i="1"/>
  <c r="O1624" i="1"/>
  <c r="N1624" i="1"/>
  <c r="K1624" i="1"/>
  <c r="J1624" i="1"/>
  <c r="D1624" i="1"/>
  <c r="C1624" i="1"/>
  <c r="T1623" i="1"/>
  <c r="S1623" i="1"/>
  <c r="Q1623" i="1"/>
  <c r="R1623" i="1" s="1"/>
  <c r="P1623" i="1"/>
  <c r="O1623" i="1"/>
  <c r="N1623" i="1"/>
  <c r="K1623" i="1"/>
  <c r="J1623" i="1"/>
  <c r="D1623" i="1"/>
  <c r="C1623" i="1"/>
  <c r="T1622" i="1"/>
  <c r="S1622" i="1"/>
  <c r="Q1622" i="1"/>
  <c r="R1622" i="1" s="1"/>
  <c r="P1622" i="1"/>
  <c r="O1622" i="1"/>
  <c r="N1622" i="1"/>
  <c r="K1622" i="1"/>
  <c r="J1622" i="1"/>
  <c r="D1622" i="1"/>
  <c r="C1622" i="1"/>
  <c r="T1621" i="1"/>
  <c r="S1621" i="1"/>
  <c r="Q1621" i="1"/>
  <c r="R1621" i="1" s="1"/>
  <c r="P1621" i="1"/>
  <c r="O1621" i="1"/>
  <c r="N1621" i="1"/>
  <c r="K1621" i="1"/>
  <c r="J1621" i="1"/>
  <c r="D1621" i="1"/>
  <c r="C1621" i="1"/>
  <c r="T1620" i="1"/>
  <c r="S1620" i="1"/>
  <c r="Q1620" i="1"/>
  <c r="R1620" i="1" s="1"/>
  <c r="P1620" i="1"/>
  <c r="O1620" i="1"/>
  <c r="N1620" i="1"/>
  <c r="K1620" i="1"/>
  <c r="J1620" i="1"/>
  <c r="D1620" i="1"/>
  <c r="C1620" i="1"/>
  <c r="T1619" i="1"/>
  <c r="S1619" i="1"/>
  <c r="R1619" i="1"/>
  <c r="Q1619" i="1"/>
  <c r="P1619" i="1"/>
  <c r="O1619" i="1"/>
  <c r="N1619" i="1"/>
  <c r="K1619" i="1"/>
  <c r="J1619" i="1"/>
  <c r="L1619" i="1" s="1"/>
  <c r="D1619" i="1"/>
  <c r="C1619" i="1"/>
  <c r="T1618" i="1"/>
  <c r="S1618" i="1"/>
  <c r="Q1618" i="1"/>
  <c r="R1618" i="1" s="1"/>
  <c r="P1618" i="1"/>
  <c r="O1618" i="1"/>
  <c r="N1618" i="1"/>
  <c r="K1618" i="1"/>
  <c r="J1618" i="1"/>
  <c r="D1618" i="1"/>
  <c r="C1618" i="1"/>
  <c r="T1617" i="1"/>
  <c r="S1617" i="1"/>
  <c r="Q1617" i="1"/>
  <c r="R1617" i="1" s="1"/>
  <c r="P1617" i="1"/>
  <c r="O1617" i="1"/>
  <c r="N1617" i="1"/>
  <c r="K1617" i="1"/>
  <c r="J1617" i="1"/>
  <c r="L1617" i="1" s="1"/>
  <c r="D1617" i="1"/>
  <c r="C1617" i="1"/>
  <c r="T1616" i="1"/>
  <c r="S1616" i="1"/>
  <c r="Q1616" i="1"/>
  <c r="R1616" i="1" s="1"/>
  <c r="P1616" i="1"/>
  <c r="O1616" i="1"/>
  <c r="N1616" i="1"/>
  <c r="K1616" i="1"/>
  <c r="J1616" i="1"/>
  <c r="D1616" i="1"/>
  <c r="C1616" i="1"/>
  <c r="T1615" i="1"/>
  <c r="S1615" i="1"/>
  <c r="Q1615" i="1"/>
  <c r="R1615" i="1" s="1"/>
  <c r="P1615" i="1"/>
  <c r="O1615" i="1"/>
  <c r="N1615" i="1"/>
  <c r="K1615" i="1"/>
  <c r="J1615" i="1"/>
  <c r="D1615" i="1"/>
  <c r="C1615" i="1"/>
  <c r="T1614" i="1"/>
  <c r="S1614" i="1"/>
  <c r="Q1614" i="1"/>
  <c r="R1614" i="1" s="1"/>
  <c r="P1614" i="1"/>
  <c r="O1614" i="1"/>
  <c r="N1614" i="1"/>
  <c r="K1614" i="1"/>
  <c r="J1614" i="1"/>
  <c r="D1614" i="1"/>
  <c r="C1614" i="1"/>
  <c r="T1613" i="1"/>
  <c r="S1613" i="1"/>
  <c r="Q1613" i="1"/>
  <c r="R1613" i="1" s="1"/>
  <c r="P1613" i="1"/>
  <c r="O1613" i="1"/>
  <c r="N1613" i="1"/>
  <c r="K1613" i="1"/>
  <c r="J1613" i="1"/>
  <c r="D1613" i="1"/>
  <c r="C1613" i="1"/>
  <c r="T1612" i="1"/>
  <c r="S1612" i="1"/>
  <c r="Q1612" i="1"/>
  <c r="R1612" i="1" s="1"/>
  <c r="P1612" i="1"/>
  <c r="O1612" i="1"/>
  <c r="N1612" i="1"/>
  <c r="K1612" i="1"/>
  <c r="J1612" i="1"/>
  <c r="D1612" i="1"/>
  <c r="C1612" i="1"/>
  <c r="T1611" i="1"/>
  <c r="S1611" i="1"/>
  <c r="Q1611" i="1"/>
  <c r="R1611" i="1" s="1"/>
  <c r="P1611" i="1"/>
  <c r="O1611" i="1"/>
  <c r="N1611" i="1"/>
  <c r="K1611" i="1"/>
  <c r="J1611" i="1"/>
  <c r="D1611" i="1"/>
  <c r="C1611" i="1"/>
  <c r="T1610" i="1"/>
  <c r="S1610" i="1"/>
  <c r="Q1610" i="1"/>
  <c r="R1610" i="1" s="1"/>
  <c r="P1610" i="1"/>
  <c r="O1610" i="1"/>
  <c r="N1610" i="1"/>
  <c r="K1610" i="1"/>
  <c r="J1610" i="1"/>
  <c r="D1610" i="1"/>
  <c r="C1610" i="1"/>
  <c r="T1609" i="1"/>
  <c r="S1609" i="1"/>
  <c r="Q1609" i="1"/>
  <c r="R1609" i="1" s="1"/>
  <c r="P1609" i="1"/>
  <c r="O1609" i="1"/>
  <c r="N1609" i="1"/>
  <c r="K1609" i="1"/>
  <c r="J1609" i="1"/>
  <c r="L1609" i="1" s="1"/>
  <c r="D1609" i="1"/>
  <c r="C1609" i="1"/>
  <c r="T1608" i="1"/>
  <c r="S1608" i="1"/>
  <c r="Q1608" i="1"/>
  <c r="R1608" i="1" s="1"/>
  <c r="P1608" i="1"/>
  <c r="O1608" i="1"/>
  <c r="N1608" i="1"/>
  <c r="K1608" i="1"/>
  <c r="J1608" i="1"/>
  <c r="D1608" i="1"/>
  <c r="C1608" i="1"/>
  <c r="T1607" i="1"/>
  <c r="S1607" i="1"/>
  <c r="Q1607" i="1"/>
  <c r="R1607" i="1" s="1"/>
  <c r="P1607" i="1"/>
  <c r="O1607" i="1"/>
  <c r="N1607" i="1"/>
  <c r="K1607" i="1"/>
  <c r="J1607" i="1"/>
  <c r="D1607" i="1"/>
  <c r="C1607" i="1"/>
  <c r="T1606" i="1"/>
  <c r="S1606" i="1"/>
  <c r="Q1606" i="1"/>
  <c r="R1606" i="1" s="1"/>
  <c r="P1606" i="1"/>
  <c r="O1606" i="1"/>
  <c r="N1606" i="1"/>
  <c r="K1606" i="1"/>
  <c r="J1606" i="1"/>
  <c r="D1606" i="1"/>
  <c r="C1606" i="1"/>
  <c r="T1605" i="1"/>
  <c r="S1605" i="1"/>
  <c r="Q1605" i="1"/>
  <c r="R1605" i="1" s="1"/>
  <c r="P1605" i="1"/>
  <c r="O1605" i="1"/>
  <c r="N1605" i="1"/>
  <c r="K1605" i="1"/>
  <c r="J1605" i="1"/>
  <c r="D1605" i="1"/>
  <c r="C1605" i="1"/>
  <c r="T1604" i="1"/>
  <c r="S1604" i="1"/>
  <c r="Q1604" i="1"/>
  <c r="R1604" i="1" s="1"/>
  <c r="P1604" i="1"/>
  <c r="O1604" i="1"/>
  <c r="N1604" i="1"/>
  <c r="K1604" i="1"/>
  <c r="J1604" i="1"/>
  <c r="D1604" i="1"/>
  <c r="C1604" i="1"/>
  <c r="T1603" i="1"/>
  <c r="S1603" i="1"/>
  <c r="Q1603" i="1"/>
  <c r="R1603" i="1" s="1"/>
  <c r="P1603" i="1"/>
  <c r="O1603" i="1"/>
  <c r="N1603" i="1"/>
  <c r="K1603" i="1"/>
  <c r="J1603" i="1"/>
  <c r="D1603" i="1"/>
  <c r="C1603" i="1"/>
  <c r="T1602" i="1"/>
  <c r="S1602" i="1"/>
  <c r="Q1602" i="1"/>
  <c r="R1602" i="1" s="1"/>
  <c r="P1602" i="1"/>
  <c r="O1602" i="1"/>
  <c r="N1602" i="1"/>
  <c r="K1602" i="1"/>
  <c r="J1602" i="1"/>
  <c r="D1602" i="1"/>
  <c r="C1602" i="1"/>
  <c r="T1601" i="1"/>
  <c r="S1601" i="1"/>
  <c r="R1601" i="1"/>
  <c r="Q1601" i="1"/>
  <c r="P1601" i="1"/>
  <c r="O1601" i="1"/>
  <c r="N1601" i="1"/>
  <c r="K1601" i="1"/>
  <c r="J1601" i="1"/>
  <c r="L1601" i="1" s="1"/>
  <c r="D1601" i="1"/>
  <c r="C1601" i="1"/>
  <c r="T1600" i="1"/>
  <c r="S1600" i="1"/>
  <c r="Q1600" i="1"/>
  <c r="R1600" i="1" s="1"/>
  <c r="P1600" i="1"/>
  <c r="O1600" i="1"/>
  <c r="N1600" i="1"/>
  <c r="K1600" i="1"/>
  <c r="J1600" i="1"/>
  <c r="D1600" i="1"/>
  <c r="C1600" i="1"/>
  <c r="T1599" i="1"/>
  <c r="S1599" i="1"/>
  <c r="Q1599" i="1"/>
  <c r="R1599" i="1" s="1"/>
  <c r="P1599" i="1"/>
  <c r="O1599" i="1"/>
  <c r="N1599" i="1"/>
  <c r="K1599" i="1"/>
  <c r="J1599" i="1"/>
  <c r="D1599" i="1"/>
  <c r="C1599" i="1"/>
  <c r="T1598" i="1"/>
  <c r="S1598" i="1"/>
  <c r="Q1598" i="1"/>
  <c r="R1598" i="1" s="1"/>
  <c r="P1598" i="1"/>
  <c r="O1598" i="1"/>
  <c r="N1598" i="1"/>
  <c r="K1598" i="1"/>
  <c r="J1598" i="1"/>
  <c r="D1598" i="1"/>
  <c r="C1598" i="1"/>
  <c r="T1597" i="1"/>
  <c r="S1597" i="1"/>
  <c r="Q1597" i="1"/>
  <c r="R1597" i="1" s="1"/>
  <c r="P1597" i="1"/>
  <c r="O1597" i="1"/>
  <c r="N1597" i="1"/>
  <c r="K1597" i="1"/>
  <c r="J1597" i="1"/>
  <c r="D1597" i="1"/>
  <c r="C1597" i="1"/>
  <c r="T1596" i="1"/>
  <c r="S1596" i="1"/>
  <c r="Q1596" i="1"/>
  <c r="R1596" i="1" s="1"/>
  <c r="P1596" i="1"/>
  <c r="O1596" i="1"/>
  <c r="N1596" i="1"/>
  <c r="K1596" i="1"/>
  <c r="J1596" i="1"/>
  <c r="D1596" i="1"/>
  <c r="C1596" i="1"/>
  <c r="T1595" i="1"/>
  <c r="S1595" i="1"/>
  <c r="Q1595" i="1"/>
  <c r="R1595" i="1" s="1"/>
  <c r="P1595" i="1"/>
  <c r="O1595" i="1"/>
  <c r="N1595" i="1"/>
  <c r="K1595" i="1"/>
  <c r="J1595" i="1"/>
  <c r="D1595" i="1"/>
  <c r="C1595" i="1"/>
  <c r="T1594" i="1"/>
  <c r="S1594" i="1"/>
  <c r="Q1594" i="1"/>
  <c r="R1594" i="1" s="1"/>
  <c r="P1594" i="1"/>
  <c r="O1594" i="1"/>
  <c r="N1594" i="1"/>
  <c r="K1594" i="1"/>
  <c r="J1594" i="1"/>
  <c r="D1594" i="1"/>
  <c r="C1594" i="1"/>
  <c r="T1593" i="1"/>
  <c r="S1593" i="1"/>
  <c r="Q1593" i="1"/>
  <c r="R1593" i="1" s="1"/>
  <c r="P1593" i="1"/>
  <c r="O1593" i="1"/>
  <c r="N1593" i="1"/>
  <c r="K1593" i="1"/>
  <c r="J1593" i="1"/>
  <c r="L1593" i="1" s="1"/>
  <c r="D1593" i="1"/>
  <c r="C1593" i="1"/>
  <c r="T1592" i="1"/>
  <c r="S1592" i="1"/>
  <c r="Q1592" i="1"/>
  <c r="R1592" i="1" s="1"/>
  <c r="P1592" i="1"/>
  <c r="O1592" i="1"/>
  <c r="N1592" i="1"/>
  <c r="K1592" i="1"/>
  <c r="J1592" i="1"/>
  <c r="D1592" i="1"/>
  <c r="C1592" i="1"/>
  <c r="T1591" i="1"/>
  <c r="S1591" i="1"/>
  <c r="Q1591" i="1"/>
  <c r="R1591" i="1" s="1"/>
  <c r="P1591" i="1"/>
  <c r="O1591" i="1"/>
  <c r="N1591" i="1"/>
  <c r="K1591" i="1"/>
  <c r="J1591" i="1"/>
  <c r="D1591" i="1"/>
  <c r="C1591" i="1"/>
  <c r="T1590" i="1"/>
  <c r="S1590" i="1"/>
  <c r="Q1590" i="1"/>
  <c r="R1590" i="1" s="1"/>
  <c r="P1590" i="1"/>
  <c r="O1590" i="1"/>
  <c r="N1590" i="1"/>
  <c r="K1590" i="1"/>
  <c r="J1590" i="1"/>
  <c r="D1590" i="1"/>
  <c r="C1590" i="1"/>
  <c r="T1589" i="1"/>
  <c r="S1589" i="1"/>
  <c r="Q1589" i="1"/>
  <c r="R1589" i="1" s="1"/>
  <c r="P1589" i="1"/>
  <c r="O1589" i="1"/>
  <c r="N1589" i="1"/>
  <c r="K1589" i="1"/>
  <c r="J1589" i="1"/>
  <c r="D1589" i="1"/>
  <c r="C1589" i="1"/>
  <c r="T1588" i="1"/>
  <c r="S1588" i="1"/>
  <c r="Q1588" i="1"/>
  <c r="R1588" i="1" s="1"/>
  <c r="P1588" i="1"/>
  <c r="O1588" i="1"/>
  <c r="N1588" i="1"/>
  <c r="K1588" i="1"/>
  <c r="J1588" i="1"/>
  <c r="D1588" i="1"/>
  <c r="C1588" i="1"/>
  <c r="T1587" i="1"/>
  <c r="S1587" i="1"/>
  <c r="Q1587" i="1"/>
  <c r="R1587" i="1" s="1"/>
  <c r="P1587" i="1"/>
  <c r="O1587" i="1"/>
  <c r="N1587" i="1"/>
  <c r="K1587" i="1"/>
  <c r="J1587" i="1"/>
  <c r="D1587" i="1"/>
  <c r="C1587" i="1"/>
  <c r="T1586" i="1"/>
  <c r="S1586" i="1"/>
  <c r="Q1586" i="1"/>
  <c r="R1586" i="1" s="1"/>
  <c r="P1586" i="1"/>
  <c r="O1586" i="1"/>
  <c r="N1586" i="1"/>
  <c r="K1586" i="1"/>
  <c r="J1586" i="1"/>
  <c r="D1586" i="1"/>
  <c r="C1586" i="1"/>
  <c r="T1585" i="1"/>
  <c r="S1585" i="1"/>
  <c r="R1585" i="1"/>
  <c r="Q1585" i="1"/>
  <c r="P1585" i="1"/>
  <c r="O1585" i="1"/>
  <c r="N1585" i="1"/>
  <c r="K1585" i="1"/>
  <c r="J1585" i="1"/>
  <c r="L1585" i="1" s="1"/>
  <c r="D1585" i="1"/>
  <c r="C1585" i="1"/>
  <c r="T1584" i="1"/>
  <c r="S1584" i="1"/>
  <c r="Q1584" i="1"/>
  <c r="R1584" i="1" s="1"/>
  <c r="P1584" i="1"/>
  <c r="O1584" i="1"/>
  <c r="N1584" i="1"/>
  <c r="K1584" i="1"/>
  <c r="J1584" i="1"/>
  <c r="D1584" i="1"/>
  <c r="C1584" i="1"/>
  <c r="T1583" i="1"/>
  <c r="S1583" i="1"/>
  <c r="Q1583" i="1"/>
  <c r="R1583" i="1" s="1"/>
  <c r="P1583" i="1"/>
  <c r="O1583" i="1"/>
  <c r="N1583" i="1"/>
  <c r="K1583" i="1"/>
  <c r="J1583" i="1"/>
  <c r="D1583" i="1"/>
  <c r="C1583" i="1"/>
  <c r="T1582" i="1"/>
  <c r="S1582" i="1"/>
  <c r="Q1582" i="1"/>
  <c r="R1582" i="1" s="1"/>
  <c r="P1582" i="1"/>
  <c r="O1582" i="1"/>
  <c r="N1582" i="1"/>
  <c r="K1582" i="1"/>
  <c r="J1582" i="1"/>
  <c r="D1582" i="1"/>
  <c r="C1582" i="1"/>
  <c r="T1581" i="1"/>
  <c r="S1581" i="1"/>
  <c r="Q1581" i="1"/>
  <c r="R1581" i="1" s="1"/>
  <c r="P1581" i="1"/>
  <c r="O1581" i="1"/>
  <c r="N1581" i="1"/>
  <c r="K1581" i="1"/>
  <c r="J1581" i="1"/>
  <c r="D1581" i="1"/>
  <c r="C1581" i="1"/>
  <c r="T1580" i="1"/>
  <c r="S1580" i="1"/>
  <c r="Q1580" i="1"/>
  <c r="R1580" i="1" s="1"/>
  <c r="P1580" i="1"/>
  <c r="O1580" i="1"/>
  <c r="N1580" i="1"/>
  <c r="K1580" i="1"/>
  <c r="J1580" i="1"/>
  <c r="D1580" i="1"/>
  <c r="C1580" i="1"/>
  <c r="T1579" i="1"/>
  <c r="S1579" i="1"/>
  <c r="Q1579" i="1"/>
  <c r="R1579" i="1" s="1"/>
  <c r="P1579" i="1"/>
  <c r="O1579" i="1"/>
  <c r="N1579" i="1"/>
  <c r="K1579" i="1"/>
  <c r="J1579" i="1"/>
  <c r="D1579" i="1"/>
  <c r="C1579" i="1"/>
  <c r="T1578" i="1"/>
  <c r="S1578" i="1"/>
  <c r="Q1578" i="1"/>
  <c r="R1578" i="1" s="1"/>
  <c r="P1578" i="1"/>
  <c r="O1578" i="1"/>
  <c r="N1578" i="1"/>
  <c r="K1578" i="1"/>
  <c r="J1578" i="1"/>
  <c r="D1578" i="1"/>
  <c r="C1578" i="1"/>
  <c r="T1577" i="1"/>
  <c r="S1577" i="1"/>
  <c r="R1577" i="1"/>
  <c r="Q1577" i="1"/>
  <c r="P1577" i="1"/>
  <c r="O1577" i="1"/>
  <c r="N1577" i="1"/>
  <c r="K1577" i="1"/>
  <c r="J1577" i="1"/>
  <c r="L1577" i="1" s="1"/>
  <c r="D1577" i="1"/>
  <c r="C1577" i="1"/>
  <c r="T1576" i="1"/>
  <c r="S1576" i="1"/>
  <c r="Q1576" i="1"/>
  <c r="R1576" i="1" s="1"/>
  <c r="P1576" i="1"/>
  <c r="O1576" i="1"/>
  <c r="N1576" i="1"/>
  <c r="K1576" i="1"/>
  <c r="J1576" i="1"/>
  <c r="D1576" i="1"/>
  <c r="C1576" i="1"/>
  <c r="T1575" i="1"/>
  <c r="S1575" i="1"/>
  <c r="Q1575" i="1"/>
  <c r="R1575" i="1" s="1"/>
  <c r="P1575" i="1"/>
  <c r="O1575" i="1"/>
  <c r="N1575" i="1"/>
  <c r="K1575" i="1"/>
  <c r="J1575" i="1"/>
  <c r="D1575" i="1"/>
  <c r="C1575" i="1"/>
  <c r="T1574" i="1"/>
  <c r="S1574" i="1"/>
  <c r="Q1574" i="1"/>
  <c r="R1574" i="1" s="1"/>
  <c r="P1574" i="1"/>
  <c r="O1574" i="1"/>
  <c r="N1574" i="1"/>
  <c r="K1574" i="1"/>
  <c r="J1574" i="1"/>
  <c r="D1574" i="1"/>
  <c r="C1574" i="1"/>
  <c r="T1573" i="1"/>
  <c r="S1573" i="1"/>
  <c r="Q1573" i="1"/>
  <c r="R1573" i="1" s="1"/>
  <c r="P1573" i="1"/>
  <c r="O1573" i="1"/>
  <c r="N1573" i="1"/>
  <c r="K1573" i="1"/>
  <c r="J1573" i="1"/>
  <c r="D1573" i="1"/>
  <c r="C1573" i="1"/>
  <c r="T1572" i="1"/>
  <c r="S1572" i="1"/>
  <c r="Q1572" i="1"/>
  <c r="R1572" i="1" s="1"/>
  <c r="P1572" i="1"/>
  <c r="O1572" i="1"/>
  <c r="N1572" i="1"/>
  <c r="K1572" i="1"/>
  <c r="J1572" i="1"/>
  <c r="D1572" i="1"/>
  <c r="C1572" i="1"/>
  <c r="T1571" i="1"/>
  <c r="S1571" i="1"/>
  <c r="Q1571" i="1"/>
  <c r="R1571" i="1" s="1"/>
  <c r="P1571" i="1"/>
  <c r="O1571" i="1"/>
  <c r="N1571" i="1"/>
  <c r="K1571" i="1"/>
  <c r="J1571" i="1"/>
  <c r="D1571" i="1"/>
  <c r="C1571" i="1"/>
  <c r="T1570" i="1"/>
  <c r="S1570" i="1"/>
  <c r="Q1570" i="1"/>
  <c r="R1570" i="1" s="1"/>
  <c r="P1570" i="1"/>
  <c r="O1570" i="1"/>
  <c r="N1570" i="1"/>
  <c r="K1570" i="1"/>
  <c r="J1570" i="1"/>
  <c r="D1570" i="1"/>
  <c r="C1570" i="1"/>
  <c r="T1569" i="1"/>
  <c r="S1569" i="1"/>
  <c r="R1569" i="1"/>
  <c r="Q1569" i="1"/>
  <c r="P1569" i="1"/>
  <c r="O1569" i="1"/>
  <c r="N1569" i="1"/>
  <c r="K1569" i="1"/>
  <c r="J1569" i="1"/>
  <c r="L1569" i="1" s="1"/>
  <c r="D1569" i="1"/>
  <c r="C1569" i="1"/>
  <c r="T1568" i="1"/>
  <c r="S1568" i="1"/>
  <c r="Q1568" i="1"/>
  <c r="R1568" i="1" s="1"/>
  <c r="P1568" i="1"/>
  <c r="O1568" i="1"/>
  <c r="N1568" i="1"/>
  <c r="K1568" i="1"/>
  <c r="J1568" i="1"/>
  <c r="D1568" i="1"/>
  <c r="C1568" i="1"/>
  <c r="T1567" i="1"/>
  <c r="S1567" i="1"/>
  <c r="Q1567" i="1"/>
  <c r="R1567" i="1" s="1"/>
  <c r="P1567" i="1"/>
  <c r="O1567" i="1"/>
  <c r="N1567" i="1"/>
  <c r="K1567" i="1"/>
  <c r="J1567" i="1"/>
  <c r="D1567" i="1"/>
  <c r="C1567" i="1"/>
  <c r="T1566" i="1"/>
  <c r="S1566" i="1"/>
  <c r="Q1566" i="1"/>
  <c r="R1566" i="1" s="1"/>
  <c r="P1566" i="1"/>
  <c r="O1566" i="1"/>
  <c r="N1566" i="1"/>
  <c r="K1566" i="1"/>
  <c r="J1566" i="1"/>
  <c r="D1566" i="1"/>
  <c r="C1566" i="1"/>
  <c r="T1565" i="1"/>
  <c r="S1565" i="1"/>
  <c r="Q1565" i="1"/>
  <c r="R1565" i="1" s="1"/>
  <c r="P1565" i="1"/>
  <c r="O1565" i="1"/>
  <c r="N1565" i="1"/>
  <c r="K1565" i="1"/>
  <c r="J1565" i="1"/>
  <c r="D1565" i="1"/>
  <c r="C1565" i="1"/>
  <c r="T1564" i="1"/>
  <c r="S1564" i="1"/>
  <c r="Q1564" i="1"/>
  <c r="R1564" i="1" s="1"/>
  <c r="P1564" i="1"/>
  <c r="O1564" i="1"/>
  <c r="N1564" i="1"/>
  <c r="K1564" i="1"/>
  <c r="J1564" i="1"/>
  <c r="D1564" i="1"/>
  <c r="C1564" i="1"/>
  <c r="T1563" i="1"/>
  <c r="S1563" i="1"/>
  <c r="Q1563" i="1"/>
  <c r="R1563" i="1" s="1"/>
  <c r="P1563" i="1"/>
  <c r="O1563" i="1"/>
  <c r="N1563" i="1"/>
  <c r="K1563" i="1"/>
  <c r="J1563" i="1"/>
  <c r="D1563" i="1"/>
  <c r="C1563" i="1"/>
  <c r="T1562" i="1"/>
  <c r="S1562" i="1"/>
  <c r="Q1562" i="1"/>
  <c r="R1562" i="1" s="1"/>
  <c r="P1562" i="1"/>
  <c r="O1562" i="1"/>
  <c r="N1562" i="1"/>
  <c r="K1562" i="1"/>
  <c r="J1562" i="1"/>
  <c r="D1562" i="1"/>
  <c r="C1562" i="1"/>
  <c r="T1561" i="1"/>
  <c r="S1561" i="1"/>
  <c r="Q1561" i="1"/>
  <c r="R1561" i="1" s="1"/>
  <c r="P1561" i="1"/>
  <c r="O1561" i="1"/>
  <c r="N1561" i="1"/>
  <c r="K1561" i="1"/>
  <c r="J1561" i="1"/>
  <c r="L1561" i="1" s="1"/>
  <c r="D1561" i="1"/>
  <c r="C1561" i="1"/>
  <c r="T1560" i="1"/>
  <c r="S1560" i="1"/>
  <c r="Q1560" i="1"/>
  <c r="R1560" i="1" s="1"/>
  <c r="P1560" i="1"/>
  <c r="O1560" i="1"/>
  <c r="N1560" i="1"/>
  <c r="K1560" i="1"/>
  <c r="J1560" i="1"/>
  <c r="D1560" i="1"/>
  <c r="C1560" i="1"/>
  <c r="T1559" i="1"/>
  <c r="S1559" i="1"/>
  <c r="Q1559" i="1"/>
  <c r="R1559" i="1" s="1"/>
  <c r="P1559" i="1"/>
  <c r="O1559" i="1"/>
  <c r="N1559" i="1"/>
  <c r="K1559" i="1"/>
  <c r="J1559" i="1"/>
  <c r="D1559" i="1"/>
  <c r="C1559" i="1"/>
  <c r="T1558" i="1"/>
  <c r="S1558" i="1"/>
  <c r="Q1558" i="1"/>
  <c r="R1558" i="1" s="1"/>
  <c r="P1558" i="1"/>
  <c r="O1558" i="1"/>
  <c r="N1558" i="1"/>
  <c r="K1558" i="1"/>
  <c r="J1558" i="1"/>
  <c r="D1558" i="1"/>
  <c r="C1558" i="1"/>
  <c r="T1557" i="1"/>
  <c r="S1557" i="1"/>
  <c r="Q1557" i="1"/>
  <c r="R1557" i="1" s="1"/>
  <c r="P1557" i="1"/>
  <c r="O1557" i="1"/>
  <c r="N1557" i="1"/>
  <c r="K1557" i="1"/>
  <c r="J1557" i="1"/>
  <c r="D1557" i="1"/>
  <c r="C1557" i="1"/>
  <c r="T1556" i="1"/>
  <c r="S1556" i="1"/>
  <c r="Q1556" i="1"/>
  <c r="R1556" i="1" s="1"/>
  <c r="P1556" i="1"/>
  <c r="O1556" i="1"/>
  <c r="N1556" i="1"/>
  <c r="K1556" i="1"/>
  <c r="J1556" i="1"/>
  <c r="D1556" i="1"/>
  <c r="C1556" i="1"/>
  <c r="T1555" i="1"/>
  <c r="S1555" i="1"/>
  <c r="Q1555" i="1"/>
  <c r="R1555" i="1" s="1"/>
  <c r="P1555" i="1"/>
  <c r="O1555" i="1"/>
  <c r="N1555" i="1"/>
  <c r="K1555" i="1"/>
  <c r="J1555" i="1"/>
  <c r="D1555" i="1"/>
  <c r="C1555" i="1"/>
  <c r="T1554" i="1"/>
  <c r="S1554" i="1"/>
  <c r="Q1554" i="1"/>
  <c r="R1554" i="1" s="1"/>
  <c r="P1554" i="1"/>
  <c r="O1554" i="1"/>
  <c r="N1554" i="1"/>
  <c r="K1554" i="1"/>
  <c r="J1554" i="1"/>
  <c r="D1554" i="1"/>
  <c r="C1554" i="1"/>
  <c r="T1553" i="1"/>
  <c r="S1553" i="1"/>
  <c r="R1553" i="1"/>
  <c r="Q1553" i="1"/>
  <c r="P1553" i="1"/>
  <c r="O1553" i="1"/>
  <c r="N1553" i="1"/>
  <c r="K1553" i="1"/>
  <c r="J1553" i="1"/>
  <c r="L1553" i="1" s="1"/>
  <c r="D1553" i="1"/>
  <c r="C1553" i="1"/>
  <c r="T1552" i="1"/>
  <c r="S1552" i="1"/>
  <c r="Q1552" i="1"/>
  <c r="R1552" i="1" s="1"/>
  <c r="P1552" i="1"/>
  <c r="O1552" i="1"/>
  <c r="N1552" i="1"/>
  <c r="K1552" i="1"/>
  <c r="J1552" i="1"/>
  <c r="D1552" i="1"/>
  <c r="C1552" i="1"/>
  <c r="T1551" i="1"/>
  <c r="S1551" i="1"/>
  <c r="Q1551" i="1"/>
  <c r="R1551" i="1" s="1"/>
  <c r="P1551" i="1"/>
  <c r="O1551" i="1"/>
  <c r="N1551" i="1"/>
  <c r="K1551" i="1"/>
  <c r="J1551" i="1"/>
  <c r="D1551" i="1"/>
  <c r="C1551" i="1"/>
  <c r="T1550" i="1"/>
  <c r="S1550" i="1"/>
  <c r="Q1550" i="1"/>
  <c r="R1550" i="1" s="1"/>
  <c r="P1550" i="1"/>
  <c r="O1550" i="1"/>
  <c r="N1550" i="1"/>
  <c r="K1550" i="1"/>
  <c r="J1550" i="1"/>
  <c r="D1550" i="1"/>
  <c r="C1550" i="1"/>
  <c r="T1549" i="1"/>
  <c r="S1549" i="1"/>
  <c r="Q1549" i="1"/>
  <c r="R1549" i="1" s="1"/>
  <c r="P1549" i="1"/>
  <c r="O1549" i="1"/>
  <c r="N1549" i="1"/>
  <c r="K1549" i="1"/>
  <c r="J1549" i="1"/>
  <c r="D1549" i="1"/>
  <c r="C1549" i="1"/>
  <c r="T1548" i="1"/>
  <c r="S1548" i="1"/>
  <c r="Q1548" i="1"/>
  <c r="R1548" i="1" s="1"/>
  <c r="P1548" i="1"/>
  <c r="O1548" i="1"/>
  <c r="N1548" i="1"/>
  <c r="K1548" i="1"/>
  <c r="J1548" i="1"/>
  <c r="D1548" i="1"/>
  <c r="C1548" i="1"/>
  <c r="T1547" i="1"/>
  <c r="S1547" i="1"/>
  <c r="Q1547" i="1"/>
  <c r="R1547" i="1" s="1"/>
  <c r="P1547" i="1"/>
  <c r="O1547" i="1"/>
  <c r="N1547" i="1"/>
  <c r="K1547" i="1"/>
  <c r="J1547" i="1"/>
  <c r="D1547" i="1"/>
  <c r="C1547" i="1"/>
  <c r="T1546" i="1"/>
  <c r="S1546" i="1"/>
  <c r="Q1546" i="1"/>
  <c r="R1546" i="1" s="1"/>
  <c r="P1546" i="1"/>
  <c r="O1546" i="1"/>
  <c r="N1546" i="1"/>
  <c r="K1546" i="1"/>
  <c r="J1546" i="1"/>
  <c r="D1546" i="1"/>
  <c r="C1546" i="1"/>
  <c r="T1545" i="1"/>
  <c r="S1545" i="1"/>
  <c r="Q1545" i="1"/>
  <c r="R1545" i="1" s="1"/>
  <c r="P1545" i="1"/>
  <c r="O1545" i="1"/>
  <c r="N1545" i="1"/>
  <c r="K1545" i="1"/>
  <c r="J1545" i="1"/>
  <c r="L1545" i="1" s="1"/>
  <c r="D1545" i="1"/>
  <c r="C1545" i="1"/>
  <c r="T1544" i="1"/>
  <c r="S1544" i="1"/>
  <c r="Q1544" i="1"/>
  <c r="R1544" i="1" s="1"/>
  <c r="P1544" i="1"/>
  <c r="O1544" i="1"/>
  <c r="N1544" i="1"/>
  <c r="K1544" i="1"/>
  <c r="J1544" i="1"/>
  <c r="D1544" i="1"/>
  <c r="C1544" i="1"/>
  <c r="T1543" i="1"/>
  <c r="S1543" i="1"/>
  <c r="Q1543" i="1"/>
  <c r="R1543" i="1" s="1"/>
  <c r="P1543" i="1"/>
  <c r="O1543" i="1"/>
  <c r="N1543" i="1"/>
  <c r="K1543" i="1"/>
  <c r="J1543" i="1"/>
  <c r="D1543" i="1"/>
  <c r="C1543" i="1"/>
  <c r="T1542" i="1"/>
  <c r="S1542" i="1"/>
  <c r="Q1542" i="1"/>
  <c r="R1542" i="1" s="1"/>
  <c r="P1542" i="1"/>
  <c r="O1542" i="1"/>
  <c r="N1542" i="1"/>
  <c r="K1542" i="1"/>
  <c r="J1542" i="1"/>
  <c r="D1542" i="1"/>
  <c r="C1542" i="1"/>
  <c r="T1541" i="1"/>
  <c r="S1541" i="1"/>
  <c r="Q1541" i="1"/>
  <c r="R1541" i="1" s="1"/>
  <c r="P1541" i="1"/>
  <c r="O1541" i="1"/>
  <c r="N1541" i="1"/>
  <c r="K1541" i="1"/>
  <c r="J1541" i="1"/>
  <c r="D1541" i="1"/>
  <c r="C1541" i="1"/>
  <c r="T1540" i="1"/>
  <c r="S1540" i="1"/>
  <c r="Q1540" i="1"/>
  <c r="R1540" i="1" s="1"/>
  <c r="P1540" i="1"/>
  <c r="O1540" i="1"/>
  <c r="N1540" i="1"/>
  <c r="K1540" i="1"/>
  <c r="J1540" i="1"/>
  <c r="D1540" i="1"/>
  <c r="C1540" i="1"/>
  <c r="T1539" i="1"/>
  <c r="S1539" i="1"/>
  <c r="Q1539" i="1"/>
  <c r="R1539" i="1" s="1"/>
  <c r="P1539" i="1"/>
  <c r="O1539" i="1"/>
  <c r="N1539" i="1"/>
  <c r="K1539" i="1"/>
  <c r="J1539" i="1"/>
  <c r="D1539" i="1"/>
  <c r="C1539" i="1"/>
  <c r="T1538" i="1"/>
  <c r="S1538" i="1"/>
  <c r="Q1538" i="1"/>
  <c r="R1538" i="1" s="1"/>
  <c r="P1538" i="1"/>
  <c r="O1538" i="1"/>
  <c r="N1538" i="1"/>
  <c r="K1538" i="1"/>
  <c r="J1538" i="1"/>
  <c r="D1538" i="1"/>
  <c r="C1538" i="1"/>
  <c r="T1537" i="1"/>
  <c r="S1537" i="1"/>
  <c r="R1537" i="1"/>
  <c r="Q1537" i="1"/>
  <c r="P1537" i="1"/>
  <c r="O1537" i="1"/>
  <c r="N1537" i="1"/>
  <c r="K1537" i="1"/>
  <c r="J1537" i="1"/>
  <c r="L1537" i="1" s="1"/>
  <c r="D1537" i="1"/>
  <c r="C1537" i="1"/>
  <c r="T1536" i="1"/>
  <c r="S1536" i="1"/>
  <c r="Q1536" i="1"/>
  <c r="R1536" i="1" s="1"/>
  <c r="P1536" i="1"/>
  <c r="O1536" i="1"/>
  <c r="N1536" i="1"/>
  <c r="K1536" i="1"/>
  <c r="J1536" i="1"/>
  <c r="D1536" i="1"/>
  <c r="C1536" i="1"/>
  <c r="T1535" i="1"/>
  <c r="S1535" i="1"/>
  <c r="Q1535" i="1"/>
  <c r="R1535" i="1" s="1"/>
  <c r="P1535" i="1"/>
  <c r="O1535" i="1"/>
  <c r="N1535" i="1"/>
  <c r="K1535" i="1"/>
  <c r="J1535" i="1"/>
  <c r="D1535" i="1"/>
  <c r="C1535" i="1"/>
  <c r="T1534" i="1"/>
  <c r="S1534" i="1"/>
  <c r="Q1534" i="1"/>
  <c r="R1534" i="1" s="1"/>
  <c r="P1534" i="1"/>
  <c r="O1534" i="1"/>
  <c r="N1534" i="1"/>
  <c r="K1534" i="1"/>
  <c r="J1534" i="1"/>
  <c r="D1534" i="1"/>
  <c r="C1534" i="1"/>
  <c r="T1533" i="1"/>
  <c r="S1533" i="1"/>
  <c r="Q1533" i="1"/>
  <c r="R1533" i="1" s="1"/>
  <c r="P1533" i="1"/>
  <c r="O1533" i="1"/>
  <c r="N1533" i="1"/>
  <c r="K1533" i="1"/>
  <c r="J1533" i="1"/>
  <c r="L1533" i="1" s="1"/>
  <c r="D1533" i="1"/>
  <c r="C1533" i="1"/>
  <c r="T1532" i="1"/>
  <c r="S1532" i="1"/>
  <c r="Q1532" i="1"/>
  <c r="R1532" i="1" s="1"/>
  <c r="P1532" i="1"/>
  <c r="O1532" i="1"/>
  <c r="N1532" i="1"/>
  <c r="K1532" i="1"/>
  <c r="J1532" i="1"/>
  <c r="D1532" i="1"/>
  <c r="C1532" i="1"/>
  <c r="T1531" i="1"/>
  <c r="S1531" i="1"/>
  <c r="Q1531" i="1"/>
  <c r="R1531" i="1" s="1"/>
  <c r="P1531" i="1"/>
  <c r="O1531" i="1"/>
  <c r="N1531" i="1"/>
  <c r="K1531" i="1"/>
  <c r="J1531" i="1"/>
  <c r="D1531" i="1"/>
  <c r="C1531" i="1"/>
  <c r="T1530" i="1"/>
  <c r="S1530" i="1"/>
  <c r="Q1530" i="1"/>
  <c r="R1530" i="1" s="1"/>
  <c r="P1530" i="1"/>
  <c r="O1530" i="1"/>
  <c r="N1530" i="1"/>
  <c r="K1530" i="1"/>
  <c r="J1530" i="1"/>
  <c r="D1530" i="1"/>
  <c r="C1530" i="1"/>
  <c r="T1529" i="1"/>
  <c r="S1529" i="1"/>
  <c r="Q1529" i="1"/>
  <c r="R1529" i="1" s="1"/>
  <c r="P1529" i="1"/>
  <c r="O1529" i="1"/>
  <c r="N1529" i="1"/>
  <c r="K1529" i="1"/>
  <c r="J1529" i="1"/>
  <c r="D1529" i="1"/>
  <c r="C1529" i="1"/>
  <c r="T1528" i="1"/>
  <c r="S1528" i="1"/>
  <c r="Q1528" i="1"/>
  <c r="R1528" i="1" s="1"/>
  <c r="P1528" i="1"/>
  <c r="O1528" i="1"/>
  <c r="N1528" i="1"/>
  <c r="K1528" i="1"/>
  <c r="J1528" i="1"/>
  <c r="D1528" i="1"/>
  <c r="C1528" i="1"/>
  <c r="T1527" i="1"/>
  <c r="S1527" i="1"/>
  <c r="Q1527" i="1"/>
  <c r="R1527" i="1" s="1"/>
  <c r="P1527" i="1"/>
  <c r="O1527" i="1"/>
  <c r="N1527" i="1"/>
  <c r="K1527" i="1"/>
  <c r="J1527" i="1"/>
  <c r="L1527" i="1" s="1"/>
  <c r="D1527" i="1"/>
  <c r="C1527" i="1"/>
  <c r="T1526" i="1"/>
  <c r="S1526" i="1"/>
  <c r="Q1526" i="1"/>
  <c r="R1526" i="1" s="1"/>
  <c r="P1526" i="1"/>
  <c r="O1526" i="1"/>
  <c r="N1526" i="1"/>
  <c r="K1526" i="1"/>
  <c r="J1526" i="1"/>
  <c r="D1526" i="1"/>
  <c r="C1526" i="1"/>
  <c r="T1525" i="1"/>
  <c r="S1525" i="1"/>
  <c r="Q1525" i="1"/>
  <c r="R1525" i="1" s="1"/>
  <c r="P1525" i="1"/>
  <c r="O1525" i="1"/>
  <c r="N1525" i="1"/>
  <c r="K1525" i="1"/>
  <c r="J1525" i="1"/>
  <c r="D1525" i="1"/>
  <c r="C1525" i="1"/>
  <c r="T1524" i="1"/>
  <c r="S1524" i="1"/>
  <c r="Q1524" i="1"/>
  <c r="R1524" i="1" s="1"/>
  <c r="P1524" i="1"/>
  <c r="O1524" i="1"/>
  <c r="N1524" i="1"/>
  <c r="K1524" i="1"/>
  <c r="J1524" i="1"/>
  <c r="D1524" i="1"/>
  <c r="C1524" i="1"/>
  <c r="T1523" i="1"/>
  <c r="S1523" i="1"/>
  <c r="Q1523" i="1"/>
  <c r="R1523" i="1" s="1"/>
  <c r="P1523" i="1"/>
  <c r="O1523" i="1"/>
  <c r="N1523" i="1"/>
  <c r="K1523" i="1"/>
  <c r="J1523" i="1"/>
  <c r="D1523" i="1"/>
  <c r="C1523" i="1"/>
  <c r="T1522" i="1"/>
  <c r="S1522" i="1"/>
  <c r="Q1522" i="1"/>
  <c r="R1522" i="1" s="1"/>
  <c r="P1522" i="1"/>
  <c r="O1522" i="1"/>
  <c r="N1522" i="1"/>
  <c r="K1522" i="1"/>
  <c r="J1522" i="1"/>
  <c r="D1522" i="1"/>
  <c r="C1522" i="1"/>
  <c r="T1521" i="1"/>
  <c r="S1521" i="1"/>
  <c r="Q1521" i="1"/>
  <c r="R1521" i="1" s="1"/>
  <c r="P1521" i="1"/>
  <c r="O1521" i="1"/>
  <c r="N1521" i="1"/>
  <c r="K1521" i="1"/>
  <c r="J1521" i="1"/>
  <c r="D1521" i="1"/>
  <c r="C1521" i="1"/>
  <c r="T1520" i="1"/>
  <c r="S1520" i="1"/>
  <c r="Q1520" i="1"/>
  <c r="R1520" i="1" s="1"/>
  <c r="P1520" i="1"/>
  <c r="O1520" i="1"/>
  <c r="N1520" i="1"/>
  <c r="K1520" i="1"/>
  <c r="J1520" i="1"/>
  <c r="D1520" i="1"/>
  <c r="C1520" i="1"/>
  <c r="T1519" i="1"/>
  <c r="S1519" i="1"/>
  <c r="R1519" i="1"/>
  <c r="Q1519" i="1"/>
  <c r="P1519" i="1"/>
  <c r="O1519" i="1"/>
  <c r="N1519" i="1"/>
  <c r="K1519" i="1"/>
  <c r="J1519" i="1"/>
  <c r="L1519" i="1" s="1"/>
  <c r="D1519" i="1"/>
  <c r="C1519" i="1"/>
  <c r="T1518" i="1"/>
  <c r="S1518" i="1"/>
  <c r="Q1518" i="1"/>
  <c r="R1518" i="1" s="1"/>
  <c r="P1518" i="1"/>
  <c r="O1518" i="1"/>
  <c r="N1518" i="1"/>
  <c r="K1518" i="1"/>
  <c r="J1518" i="1"/>
  <c r="D1518" i="1"/>
  <c r="C1518" i="1"/>
  <c r="T1517" i="1"/>
  <c r="S1517" i="1"/>
  <c r="Q1517" i="1"/>
  <c r="R1517" i="1" s="1"/>
  <c r="P1517" i="1"/>
  <c r="O1517" i="1"/>
  <c r="N1517" i="1"/>
  <c r="K1517" i="1"/>
  <c r="J1517" i="1"/>
  <c r="D1517" i="1"/>
  <c r="C1517" i="1"/>
  <c r="T1516" i="1"/>
  <c r="S1516" i="1"/>
  <c r="Q1516" i="1"/>
  <c r="R1516" i="1" s="1"/>
  <c r="P1516" i="1"/>
  <c r="O1516" i="1"/>
  <c r="N1516" i="1"/>
  <c r="K1516" i="1"/>
  <c r="J1516" i="1"/>
  <c r="D1516" i="1"/>
  <c r="C1516" i="1"/>
  <c r="T1515" i="1"/>
  <c r="S1515" i="1"/>
  <c r="Q1515" i="1"/>
  <c r="R1515" i="1" s="1"/>
  <c r="P1515" i="1"/>
  <c r="O1515" i="1"/>
  <c r="N1515" i="1"/>
  <c r="K1515" i="1"/>
  <c r="J1515" i="1"/>
  <c r="D1515" i="1"/>
  <c r="C1515" i="1"/>
  <c r="T1514" i="1"/>
  <c r="S1514" i="1"/>
  <c r="Q1514" i="1"/>
  <c r="R1514" i="1" s="1"/>
  <c r="P1514" i="1"/>
  <c r="O1514" i="1"/>
  <c r="N1514" i="1"/>
  <c r="K1514" i="1"/>
  <c r="J1514" i="1"/>
  <c r="D1514" i="1"/>
  <c r="C1514" i="1"/>
  <c r="T1513" i="1"/>
  <c r="S1513" i="1"/>
  <c r="Q1513" i="1"/>
  <c r="R1513" i="1" s="1"/>
  <c r="P1513" i="1"/>
  <c r="O1513" i="1"/>
  <c r="N1513" i="1"/>
  <c r="K1513" i="1"/>
  <c r="J1513" i="1"/>
  <c r="D1513" i="1"/>
  <c r="C1513" i="1"/>
  <c r="T1512" i="1"/>
  <c r="S1512" i="1"/>
  <c r="Q1512" i="1"/>
  <c r="R1512" i="1" s="1"/>
  <c r="P1512" i="1"/>
  <c r="O1512" i="1"/>
  <c r="N1512" i="1"/>
  <c r="K1512" i="1"/>
  <c r="J1512" i="1"/>
  <c r="D1512" i="1"/>
  <c r="C1512" i="1"/>
  <c r="T1511" i="1"/>
  <c r="S1511" i="1"/>
  <c r="R1511" i="1"/>
  <c r="Q1511" i="1"/>
  <c r="P1511" i="1"/>
  <c r="O1511" i="1"/>
  <c r="N1511" i="1"/>
  <c r="K1511" i="1"/>
  <c r="J1511" i="1"/>
  <c r="L1511" i="1" s="1"/>
  <c r="D1511" i="1"/>
  <c r="C1511" i="1"/>
  <c r="T1510" i="1"/>
  <c r="S1510" i="1"/>
  <c r="Q1510" i="1"/>
  <c r="R1510" i="1" s="1"/>
  <c r="P1510" i="1"/>
  <c r="O1510" i="1"/>
  <c r="N1510" i="1"/>
  <c r="K1510" i="1"/>
  <c r="J1510" i="1"/>
  <c r="D1510" i="1"/>
  <c r="C1510" i="1"/>
  <c r="T1509" i="1"/>
  <c r="S1509" i="1"/>
  <c r="Q1509" i="1"/>
  <c r="R1509" i="1" s="1"/>
  <c r="P1509" i="1"/>
  <c r="O1509" i="1"/>
  <c r="N1509" i="1"/>
  <c r="K1509" i="1"/>
  <c r="J1509" i="1"/>
  <c r="D1509" i="1"/>
  <c r="C1509" i="1"/>
  <c r="T1508" i="1"/>
  <c r="S1508" i="1"/>
  <c r="Q1508" i="1"/>
  <c r="R1508" i="1" s="1"/>
  <c r="P1508" i="1"/>
  <c r="O1508" i="1"/>
  <c r="N1508" i="1"/>
  <c r="K1508" i="1"/>
  <c r="J1508" i="1"/>
  <c r="D1508" i="1"/>
  <c r="C1508" i="1"/>
  <c r="T1507" i="1"/>
  <c r="S1507" i="1"/>
  <c r="Q1507" i="1"/>
  <c r="R1507" i="1" s="1"/>
  <c r="P1507" i="1"/>
  <c r="O1507" i="1"/>
  <c r="N1507" i="1"/>
  <c r="K1507" i="1"/>
  <c r="J1507" i="1"/>
  <c r="D1507" i="1"/>
  <c r="C1507" i="1"/>
  <c r="T1506" i="1"/>
  <c r="S1506" i="1"/>
  <c r="Q1506" i="1"/>
  <c r="R1506" i="1" s="1"/>
  <c r="P1506" i="1"/>
  <c r="O1506" i="1"/>
  <c r="N1506" i="1"/>
  <c r="K1506" i="1"/>
  <c r="J1506" i="1"/>
  <c r="D1506" i="1"/>
  <c r="C1506" i="1"/>
  <c r="T1505" i="1"/>
  <c r="S1505" i="1"/>
  <c r="Q1505" i="1"/>
  <c r="R1505" i="1" s="1"/>
  <c r="P1505" i="1"/>
  <c r="O1505" i="1"/>
  <c r="N1505" i="1"/>
  <c r="K1505" i="1"/>
  <c r="J1505" i="1"/>
  <c r="D1505" i="1"/>
  <c r="C1505" i="1"/>
  <c r="T1504" i="1"/>
  <c r="S1504" i="1"/>
  <c r="Q1504" i="1"/>
  <c r="R1504" i="1" s="1"/>
  <c r="P1504" i="1"/>
  <c r="O1504" i="1"/>
  <c r="N1504" i="1"/>
  <c r="K1504" i="1"/>
  <c r="J1504" i="1"/>
  <c r="D1504" i="1"/>
  <c r="C1504" i="1"/>
  <c r="T1503" i="1"/>
  <c r="S1503" i="1"/>
  <c r="R1503" i="1"/>
  <c r="Q1503" i="1"/>
  <c r="P1503" i="1"/>
  <c r="O1503" i="1"/>
  <c r="N1503" i="1"/>
  <c r="K1503" i="1"/>
  <c r="J1503" i="1"/>
  <c r="L1503" i="1" s="1"/>
  <c r="D1503" i="1"/>
  <c r="C1503" i="1"/>
  <c r="T1502" i="1"/>
  <c r="S1502" i="1"/>
  <c r="Q1502" i="1"/>
  <c r="R1502" i="1" s="1"/>
  <c r="P1502" i="1"/>
  <c r="O1502" i="1"/>
  <c r="N1502" i="1"/>
  <c r="K1502" i="1"/>
  <c r="J1502" i="1"/>
  <c r="D1502" i="1"/>
  <c r="C1502" i="1"/>
  <c r="T1501" i="1"/>
  <c r="S1501" i="1"/>
  <c r="Q1501" i="1"/>
  <c r="R1501" i="1" s="1"/>
  <c r="P1501" i="1"/>
  <c r="O1501" i="1"/>
  <c r="N1501" i="1"/>
  <c r="K1501" i="1"/>
  <c r="J1501" i="1"/>
  <c r="D1501" i="1"/>
  <c r="C1501" i="1"/>
  <c r="T1500" i="1"/>
  <c r="S1500" i="1"/>
  <c r="Q1500" i="1"/>
  <c r="R1500" i="1" s="1"/>
  <c r="P1500" i="1"/>
  <c r="O1500" i="1"/>
  <c r="N1500" i="1"/>
  <c r="K1500" i="1"/>
  <c r="J1500" i="1"/>
  <c r="D1500" i="1"/>
  <c r="C1500" i="1"/>
  <c r="T1499" i="1"/>
  <c r="S1499" i="1"/>
  <c r="Q1499" i="1"/>
  <c r="R1499" i="1" s="1"/>
  <c r="P1499" i="1"/>
  <c r="O1499" i="1"/>
  <c r="N1499" i="1"/>
  <c r="K1499" i="1"/>
  <c r="J1499" i="1"/>
  <c r="L1499" i="1" s="1"/>
  <c r="D1499" i="1"/>
  <c r="C1499" i="1"/>
  <c r="T1498" i="1"/>
  <c r="S1498" i="1"/>
  <c r="Q1498" i="1"/>
  <c r="R1498" i="1" s="1"/>
  <c r="P1498" i="1"/>
  <c r="O1498" i="1"/>
  <c r="N1498" i="1"/>
  <c r="K1498" i="1"/>
  <c r="J1498" i="1"/>
  <c r="D1498" i="1"/>
  <c r="C1498" i="1"/>
  <c r="T1497" i="1"/>
  <c r="S1497" i="1"/>
  <c r="Q1497" i="1"/>
  <c r="R1497" i="1" s="1"/>
  <c r="P1497" i="1"/>
  <c r="O1497" i="1"/>
  <c r="N1497" i="1"/>
  <c r="K1497" i="1"/>
  <c r="J1497" i="1"/>
  <c r="D1497" i="1"/>
  <c r="C1497" i="1"/>
  <c r="T1496" i="1"/>
  <c r="S1496" i="1"/>
  <c r="Q1496" i="1"/>
  <c r="R1496" i="1" s="1"/>
  <c r="P1496" i="1"/>
  <c r="O1496" i="1"/>
  <c r="N1496" i="1"/>
  <c r="K1496" i="1"/>
  <c r="J1496" i="1"/>
  <c r="D1496" i="1"/>
  <c r="C1496" i="1"/>
  <c r="T1495" i="1"/>
  <c r="S1495" i="1"/>
  <c r="Q1495" i="1"/>
  <c r="R1495" i="1" s="1"/>
  <c r="P1495" i="1"/>
  <c r="O1495" i="1"/>
  <c r="N1495" i="1"/>
  <c r="K1495" i="1"/>
  <c r="J1495" i="1"/>
  <c r="L1495" i="1" s="1"/>
  <c r="D1495" i="1"/>
  <c r="C1495" i="1"/>
  <c r="T1494" i="1"/>
  <c r="S1494" i="1"/>
  <c r="Q1494" i="1"/>
  <c r="R1494" i="1" s="1"/>
  <c r="P1494" i="1"/>
  <c r="O1494" i="1"/>
  <c r="N1494" i="1"/>
  <c r="K1494" i="1"/>
  <c r="J1494" i="1"/>
  <c r="D1494" i="1"/>
  <c r="C1494" i="1"/>
  <c r="T1493" i="1"/>
  <c r="S1493" i="1"/>
  <c r="Q1493" i="1"/>
  <c r="R1493" i="1" s="1"/>
  <c r="P1493" i="1"/>
  <c r="O1493" i="1"/>
  <c r="N1493" i="1"/>
  <c r="K1493" i="1"/>
  <c r="J1493" i="1"/>
  <c r="D1493" i="1"/>
  <c r="C1493" i="1"/>
  <c r="T1492" i="1"/>
  <c r="S1492" i="1"/>
  <c r="Q1492" i="1"/>
  <c r="R1492" i="1" s="1"/>
  <c r="P1492" i="1"/>
  <c r="O1492" i="1"/>
  <c r="N1492" i="1"/>
  <c r="K1492" i="1"/>
  <c r="J1492" i="1"/>
  <c r="D1492" i="1"/>
  <c r="C1492" i="1"/>
  <c r="T1491" i="1"/>
  <c r="S1491" i="1"/>
  <c r="Q1491" i="1"/>
  <c r="R1491" i="1" s="1"/>
  <c r="P1491" i="1"/>
  <c r="O1491" i="1"/>
  <c r="N1491" i="1"/>
  <c r="K1491" i="1"/>
  <c r="J1491" i="1"/>
  <c r="D1491" i="1"/>
  <c r="C1491" i="1"/>
  <c r="T1490" i="1"/>
  <c r="S1490" i="1"/>
  <c r="Q1490" i="1"/>
  <c r="R1490" i="1" s="1"/>
  <c r="P1490" i="1"/>
  <c r="O1490" i="1"/>
  <c r="N1490" i="1"/>
  <c r="K1490" i="1"/>
  <c r="J1490" i="1"/>
  <c r="D1490" i="1"/>
  <c r="C1490" i="1"/>
  <c r="T1489" i="1"/>
  <c r="S1489" i="1"/>
  <c r="Q1489" i="1"/>
  <c r="R1489" i="1" s="1"/>
  <c r="P1489" i="1"/>
  <c r="O1489" i="1"/>
  <c r="N1489" i="1"/>
  <c r="K1489" i="1"/>
  <c r="J1489" i="1"/>
  <c r="D1489" i="1"/>
  <c r="C1489" i="1"/>
  <c r="T1488" i="1"/>
  <c r="S1488" i="1"/>
  <c r="Q1488" i="1"/>
  <c r="R1488" i="1" s="1"/>
  <c r="P1488" i="1"/>
  <c r="O1488" i="1"/>
  <c r="N1488" i="1"/>
  <c r="K1488" i="1"/>
  <c r="J1488" i="1"/>
  <c r="D1488" i="1"/>
  <c r="C1488" i="1"/>
  <c r="T1487" i="1"/>
  <c r="S1487" i="1"/>
  <c r="Q1487" i="1"/>
  <c r="R1487" i="1" s="1"/>
  <c r="P1487" i="1"/>
  <c r="O1487" i="1"/>
  <c r="N1487" i="1"/>
  <c r="K1487" i="1"/>
  <c r="J1487" i="1"/>
  <c r="D1487" i="1"/>
  <c r="C1487" i="1"/>
  <c r="T1486" i="1"/>
  <c r="S1486" i="1"/>
  <c r="Q1486" i="1"/>
  <c r="R1486" i="1" s="1"/>
  <c r="P1486" i="1"/>
  <c r="O1486" i="1"/>
  <c r="N1486" i="1"/>
  <c r="K1486" i="1"/>
  <c r="J1486" i="1"/>
  <c r="D1486" i="1"/>
  <c r="C1486" i="1"/>
  <c r="T1485" i="1"/>
  <c r="S1485" i="1"/>
  <c r="Q1485" i="1"/>
  <c r="R1485" i="1" s="1"/>
  <c r="P1485" i="1"/>
  <c r="O1485" i="1"/>
  <c r="N1485" i="1"/>
  <c r="K1485" i="1"/>
  <c r="J1485" i="1"/>
  <c r="D1485" i="1"/>
  <c r="C1485" i="1"/>
  <c r="T1484" i="1"/>
  <c r="S1484" i="1"/>
  <c r="Q1484" i="1"/>
  <c r="R1484" i="1" s="1"/>
  <c r="P1484" i="1"/>
  <c r="O1484" i="1"/>
  <c r="N1484" i="1"/>
  <c r="K1484" i="1"/>
  <c r="J1484" i="1"/>
  <c r="D1484" i="1"/>
  <c r="C1484" i="1"/>
  <c r="T1483" i="1"/>
  <c r="S1483" i="1"/>
  <c r="Q1483" i="1"/>
  <c r="R1483" i="1" s="1"/>
  <c r="P1483" i="1"/>
  <c r="O1483" i="1"/>
  <c r="N1483" i="1"/>
  <c r="K1483" i="1"/>
  <c r="L1483" i="1" s="1"/>
  <c r="J1483" i="1"/>
  <c r="D1483" i="1"/>
  <c r="C1483" i="1"/>
  <c r="T1482" i="1"/>
  <c r="S1482" i="1"/>
  <c r="Q1482" i="1"/>
  <c r="R1482" i="1" s="1"/>
  <c r="P1482" i="1"/>
  <c r="O1482" i="1"/>
  <c r="N1482" i="1"/>
  <c r="K1482" i="1"/>
  <c r="L1482" i="1" s="1"/>
  <c r="J1482" i="1"/>
  <c r="D1482" i="1"/>
  <c r="C1482" i="1"/>
  <c r="T1481" i="1"/>
  <c r="S1481" i="1"/>
  <c r="Q1481" i="1"/>
  <c r="R1481" i="1" s="1"/>
  <c r="P1481" i="1"/>
  <c r="O1481" i="1"/>
  <c r="N1481" i="1"/>
  <c r="K1481" i="1"/>
  <c r="J1481" i="1"/>
  <c r="D1481" i="1"/>
  <c r="C1481" i="1"/>
  <c r="T1480" i="1"/>
  <c r="S1480" i="1"/>
  <c r="Q1480" i="1"/>
  <c r="R1480" i="1" s="1"/>
  <c r="P1480" i="1"/>
  <c r="O1480" i="1"/>
  <c r="N1480" i="1"/>
  <c r="K1480" i="1"/>
  <c r="J1480" i="1"/>
  <c r="D1480" i="1"/>
  <c r="C1480" i="1"/>
  <c r="T1479" i="1"/>
  <c r="S1479" i="1"/>
  <c r="Q1479" i="1"/>
  <c r="R1479" i="1" s="1"/>
  <c r="P1479" i="1"/>
  <c r="O1479" i="1"/>
  <c r="N1479" i="1"/>
  <c r="K1479" i="1"/>
  <c r="J1479" i="1"/>
  <c r="D1479" i="1"/>
  <c r="C1479" i="1"/>
  <c r="T1478" i="1"/>
  <c r="S1478" i="1"/>
  <c r="Q1478" i="1"/>
  <c r="R1478" i="1" s="1"/>
  <c r="P1478" i="1"/>
  <c r="O1478" i="1"/>
  <c r="N1478" i="1"/>
  <c r="K1478" i="1"/>
  <c r="J1478" i="1"/>
  <c r="D1478" i="1"/>
  <c r="C1478" i="1"/>
  <c r="T1477" i="1"/>
  <c r="S1477" i="1"/>
  <c r="Q1477" i="1"/>
  <c r="R1477" i="1" s="1"/>
  <c r="P1477" i="1"/>
  <c r="O1477" i="1"/>
  <c r="N1477" i="1"/>
  <c r="K1477" i="1"/>
  <c r="J1477" i="1"/>
  <c r="D1477" i="1"/>
  <c r="C1477" i="1"/>
  <c r="T1476" i="1"/>
  <c r="S1476" i="1"/>
  <c r="Q1476" i="1"/>
  <c r="R1476" i="1" s="1"/>
  <c r="P1476" i="1"/>
  <c r="O1476" i="1"/>
  <c r="N1476" i="1"/>
  <c r="K1476" i="1"/>
  <c r="J1476" i="1"/>
  <c r="D1476" i="1"/>
  <c r="C1476" i="1"/>
  <c r="T1475" i="1"/>
  <c r="S1475" i="1"/>
  <c r="Q1475" i="1"/>
  <c r="R1475" i="1" s="1"/>
  <c r="P1475" i="1"/>
  <c r="O1475" i="1"/>
  <c r="N1475" i="1"/>
  <c r="K1475" i="1"/>
  <c r="J1475" i="1"/>
  <c r="D1475" i="1"/>
  <c r="C1475" i="1"/>
  <c r="T1474" i="1"/>
  <c r="S1474" i="1"/>
  <c r="Q1474" i="1"/>
  <c r="R1474" i="1" s="1"/>
  <c r="P1474" i="1"/>
  <c r="O1474" i="1"/>
  <c r="N1474" i="1"/>
  <c r="K1474" i="1"/>
  <c r="J1474" i="1"/>
  <c r="D1474" i="1"/>
  <c r="C1474" i="1"/>
  <c r="T1473" i="1"/>
  <c r="S1473" i="1"/>
  <c r="Q1473" i="1"/>
  <c r="R1473" i="1" s="1"/>
  <c r="P1473" i="1"/>
  <c r="O1473" i="1"/>
  <c r="N1473" i="1"/>
  <c r="K1473" i="1"/>
  <c r="J1473" i="1"/>
  <c r="D1473" i="1"/>
  <c r="C1473" i="1"/>
  <c r="T1472" i="1"/>
  <c r="S1472" i="1"/>
  <c r="Q1472" i="1"/>
  <c r="R1472" i="1" s="1"/>
  <c r="P1472" i="1"/>
  <c r="O1472" i="1"/>
  <c r="N1472" i="1"/>
  <c r="K1472" i="1"/>
  <c r="J1472" i="1"/>
  <c r="D1472" i="1"/>
  <c r="C1472" i="1"/>
  <c r="T1471" i="1"/>
  <c r="S1471" i="1"/>
  <c r="Q1471" i="1"/>
  <c r="R1471" i="1" s="1"/>
  <c r="P1471" i="1"/>
  <c r="O1471" i="1"/>
  <c r="N1471" i="1"/>
  <c r="K1471" i="1"/>
  <c r="J1471" i="1"/>
  <c r="D1471" i="1"/>
  <c r="C1471" i="1"/>
  <c r="T1470" i="1"/>
  <c r="S1470" i="1"/>
  <c r="R1470" i="1"/>
  <c r="Q1470" i="1"/>
  <c r="P1470" i="1"/>
  <c r="O1470" i="1"/>
  <c r="N1470" i="1"/>
  <c r="K1470" i="1"/>
  <c r="J1470" i="1"/>
  <c r="L1470" i="1" s="1"/>
  <c r="D1470" i="1"/>
  <c r="C1470" i="1"/>
  <c r="T1469" i="1"/>
  <c r="S1469" i="1"/>
  <c r="Q1469" i="1"/>
  <c r="R1469" i="1" s="1"/>
  <c r="P1469" i="1"/>
  <c r="O1469" i="1"/>
  <c r="N1469" i="1"/>
  <c r="K1469" i="1"/>
  <c r="J1469" i="1"/>
  <c r="D1469" i="1"/>
  <c r="C1469" i="1"/>
  <c r="T1468" i="1"/>
  <c r="S1468" i="1"/>
  <c r="Q1468" i="1"/>
  <c r="R1468" i="1" s="1"/>
  <c r="P1468" i="1"/>
  <c r="O1468" i="1"/>
  <c r="N1468" i="1"/>
  <c r="K1468" i="1"/>
  <c r="J1468" i="1"/>
  <c r="D1468" i="1"/>
  <c r="C1468" i="1"/>
  <c r="T1467" i="1"/>
  <c r="S1467" i="1"/>
  <c r="Q1467" i="1"/>
  <c r="R1467" i="1" s="1"/>
  <c r="P1467" i="1"/>
  <c r="O1467" i="1"/>
  <c r="N1467" i="1"/>
  <c r="K1467" i="1"/>
  <c r="J1467" i="1"/>
  <c r="D1467" i="1"/>
  <c r="C1467" i="1"/>
  <c r="T1466" i="1"/>
  <c r="S1466" i="1"/>
  <c r="Q1466" i="1"/>
  <c r="R1466" i="1" s="1"/>
  <c r="P1466" i="1"/>
  <c r="O1466" i="1"/>
  <c r="N1466" i="1"/>
  <c r="K1466" i="1"/>
  <c r="J1466" i="1"/>
  <c r="D1466" i="1"/>
  <c r="C1466" i="1"/>
  <c r="T1465" i="1"/>
  <c r="S1465" i="1"/>
  <c r="Q1465" i="1"/>
  <c r="R1465" i="1" s="1"/>
  <c r="P1465" i="1"/>
  <c r="O1465" i="1"/>
  <c r="N1465" i="1"/>
  <c r="K1465" i="1"/>
  <c r="J1465" i="1"/>
  <c r="D1465" i="1"/>
  <c r="C1465" i="1"/>
  <c r="T1464" i="1"/>
  <c r="S1464" i="1"/>
  <c r="Q1464" i="1"/>
  <c r="R1464" i="1" s="1"/>
  <c r="P1464" i="1"/>
  <c r="O1464" i="1"/>
  <c r="N1464" i="1"/>
  <c r="K1464" i="1"/>
  <c r="J1464" i="1"/>
  <c r="D1464" i="1"/>
  <c r="C1464" i="1"/>
  <c r="T1463" i="1"/>
  <c r="S1463" i="1"/>
  <c r="Q1463" i="1"/>
  <c r="R1463" i="1" s="1"/>
  <c r="P1463" i="1"/>
  <c r="O1463" i="1"/>
  <c r="N1463" i="1"/>
  <c r="K1463" i="1"/>
  <c r="J1463" i="1"/>
  <c r="D1463" i="1"/>
  <c r="C1463" i="1"/>
  <c r="T1462" i="1"/>
  <c r="S1462" i="1"/>
  <c r="R1462" i="1"/>
  <c r="Q1462" i="1"/>
  <c r="P1462" i="1"/>
  <c r="O1462" i="1"/>
  <c r="N1462" i="1"/>
  <c r="K1462" i="1"/>
  <c r="J1462" i="1"/>
  <c r="L1462" i="1" s="1"/>
  <c r="D1462" i="1"/>
  <c r="C1462" i="1"/>
  <c r="T1461" i="1"/>
  <c r="S1461" i="1"/>
  <c r="Q1461" i="1"/>
  <c r="R1461" i="1" s="1"/>
  <c r="P1461" i="1"/>
  <c r="O1461" i="1"/>
  <c r="N1461" i="1"/>
  <c r="K1461" i="1"/>
  <c r="J1461" i="1"/>
  <c r="D1461" i="1"/>
  <c r="C1461" i="1"/>
  <c r="T1460" i="1"/>
  <c r="S1460" i="1"/>
  <c r="Q1460" i="1"/>
  <c r="R1460" i="1" s="1"/>
  <c r="P1460" i="1"/>
  <c r="O1460" i="1"/>
  <c r="N1460" i="1"/>
  <c r="K1460" i="1"/>
  <c r="J1460" i="1"/>
  <c r="D1460" i="1"/>
  <c r="C1460" i="1"/>
  <c r="T1459" i="1"/>
  <c r="S1459" i="1"/>
  <c r="Q1459" i="1"/>
  <c r="R1459" i="1" s="1"/>
  <c r="P1459" i="1"/>
  <c r="O1459" i="1"/>
  <c r="N1459" i="1"/>
  <c r="K1459" i="1"/>
  <c r="J1459" i="1"/>
  <c r="D1459" i="1"/>
  <c r="C1459" i="1"/>
  <c r="T1458" i="1"/>
  <c r="S1458" i="1"/>
  <c r="Q1458" i="1"/>
  <c r="R1458" i="1" s="1"/>
  <c r="P1458" i="1"/>
  <c r="O1458" i="1"/>
  <c r="N1458" i="1"/>
  <c r="K1458" i="1"/>
  <c r="J1458" i="1"/>
  <c r="D1458" i="1"/>
  <c r="C1458" i="1"/>
  <c r="T1457" i="1"/>
  <c r="S1457" i="1"/>
  <c r="Q1457" i="1"/>
  <c r="R1457" i="1" s="1"/>
  <c r="P1457" i="1"/>
  <c r="O1457" i="1"/>
  <c r="N1457" i="1"/>
  <c r="K1457" i="1"/>
  <c r="J1457" i="1"/>
  <c r="D1457" i="1"/>
  <c r="C1457" i="1"/>
  <c r="T1456" i="1"/>
  <c r="S1456" i="1"/>
  <c r="Q1456" i="1"/>
  <c r="R1456" i="1" s="1"/>
  <c r="P1456" i="1"/>
  <c r="O1456" i="1"/>
  <c r="N1456" i="1"/>
  <c r="K1456" i="1"/>
  <c r="J1456" i="1"/>
  <c r="D1456" i="1"/>
  <c r="C1456" i="1"/>
  <c r="T1455" i="1"/>
  <c r="S1455" i="1"/>
  <c r="Q1455" i="1"/>
  <c r="R1455" i="1" s="1"/>
  <c r="P1455" i="1"/>
  <c r="O1455" i="1"/>
  <c r="N1455" i="1"/>
  <c r="K1455" i="1"/>
  <c r="J1455" i="1"/>
  <c r="D1455" i="1"/>
  <c r="C1455" i="1"/>
  <c r="T1454" i="1"/>
  <c r="S1454" i="1"/>
  <c r="Q1454" i="1"/>
  <c r="R1454" i="1" s="1"/>
  <c r="P1454" i="1"/>
  <c r="O1454" i="1"/>
  <c r="N1454" i="1"/>
  <c r="K1454" i="1"/>
  <c r="J1454" i="1"/>
  <c r="L1454" i="1" s="1"/>
  <c r="D1454" i="1"/>
  <c r="C1454" i="1"/>
  <c r="T1453" i="1"/>
  <c r="S1453" i="1"/>
  <c r="Q1453" i="1"/>
  <c r="R1453" i="1" s="1"/>
  <c r="P1453" i="1"/>
  <c r="O1453" i="1"/>
  <c r="N1453" i="1"/>
  <c r="K1453" i="1"/>
  <c r="J1453" i="1"/>
  <c r="D1453" i="1"/>
  <c r="C1453" i="1"/>
  <c r="T1452" i="1"/>
  <c r="S1452" i="1"/>
  <c r="Q1452" i="1"/>
  <c r="R1452" i="1" s="1"/>
  <c r="P1452" i="1"/>
  <c r="O1452" i="1"/>
  <c r="N1452" i="1"/>
  <c r="K1452" i="1"/>
  <c r="J1452" i="1"/>
  <c r="D1452" i="1"/>
  <c r="C1452" i="1"/>
  <c r="T1451" i="1"/>
  <c r="S1451" i="1"/>
  <c r="Q1451" i="1"/>
  <c r="R1451" i="1" s="1"/>
  <c r="P1451" i="1"/>
  <c r="O1451" i="1"/>
  <c r="N1451" i="1"/>
  <c r="K1451" i="1"/>
  <c r="J1451" i="1"/>
  <c r="D1451" i="1"/>
  <c r="C1451" i="1"/>
  <c r="T1450" i="1"/>
  <c r="S1450" i="1"/>
  <c r="Q1450" i="1"/>
  <c r="R1450" i="1" s="1"/>
  <c r="P1450" i="1"/>
  <c r="O1450" i="1"/>
  <c r="N1450" i="1"/>
  <c r="K1450" i="1"/>
  <c r="J1450" i="1"/>
  <c r="D1450" i="1"/>
  <c r="C1450" i="1"/>
  <c r="T1449" i="1"/>
  <c r="S1449" i="1"/>
  <c r="Q1449" i="1"/>
  <c r="R1449" i="1" s="1"/>
  <c r="P1449" i="1"/>
  <c r="O1449" i="1"/>
  <c r="N1449" i="1"/>
  <c r="K1449" i="1"/>
  <c r="J1449" i="1"/>
  <c r="D1449" i="1"/>
  <c r="C1449" i="1"/>
  <c r="T1448" i="1"/>
  <c r="S1448" i="1"/>
  <c r="Q1448" i="1"/>
  <c r="R1448" i="1" s="1"/>
  <c r="P1448" i="1"/>
  <c r="O1448" i="1"/>
  <c r="N1448" i="1"/>
  <c r="K1448" i="1"/>
  <c r="J1448" i="1"/>
  <c r="D1448" i="1"/>
  <c r="C1448" i="1"/>
  <c r="T1447" i="1"/>
  <c r="S1447" i="1"/>
  <c r="Q1447" i="1"/>
  <c r="R1447" i="1" s="1"/>
  <c r="P1447" i="1"/>
  <c r="O1447" i="1"/>
  <c r="N1447" i="1"/>
  <c r="K1447" i="1"/>
  <c r="J1447" i="1"/>
  <c r="D1447" i="1"/>
  <c r="C1447" i="1"/>
  <c r="T1446" i="1"/>
  <c r="S1446" i="1"/>
  <c r="R1446" i="1"/>
  <c r="Q1446" i="1"/>
  <c r="P1446" i="1"/>
  <c r="O1446" i="1"/>
  <c r="N1446" i="1"/>
  <c r="K1446" i="1"/>
  <c r="J1446" i="1"/>
  <c r="L1446" i="1" s="1"/>
  <c r="D1446" i="1"/>
  <c r="C1446" i="1"/>
  <c r="T1445" i="1"/>
  <c r="S1445" i="1"/>
  <c r="Q1445" i="1"/>
  <c r="R1445" i="1" s="1"/>
  <c r="P1445" i="1"/>
  <c r="O1445" i="1"/>
  <c r="N1445" i="1"/>
  <c r="K1445" i="1"/>
  <c r="J1445" i="1"/>
  <c r="D1445" i="1"/>
  <c r="C1445" i="1"/>
  <c r="T1444" i="1"/>
  <c r="S1444" i="1"/>
  <c r="Q1444" i="1"/>
  <c r="R1444" i="1" s="1"/>
  <c r="P1444" i="1"/>
  <c r="O1444" i="1"/>
  <c r="N1444" i="1"/>
  <c r="K1444" i="1"/>
  <c r="J1444" i="1"/>
  <c r="D1444" i="1"/>
  <c r="C1444" i="1"/>
  <c r="T1443" i="1"/>
  <c r="S1443" i="1"/>
  <c r="Q1443" i="1"/>
  <c r="R1443" i="1" s="1"/>
  <c r="P1443" i="1"/>
  <c r="O1443" i="1"/>
  <c r="N1443" i="1"/>
  <c r="K1443" i="1"/>
  <c r="J1443" i="1"/>
  <c r="D1443" i="1"/>
  <c r="C1443" i="1"/>
  <c r="T1442" i="1"/>
  <c r="S1442" i="1"/>
  <c r="Q1442" i="1"/>
  <c r="R1442" i="1" s="1"/>
  <c r="P1442" i="1"/>
  <c r="O1442" i="1"/>
  <c r="N1442" i="1"/>
  <c r="K1442" i="1"/>
  <c r="J1442" i="1"/>
  <c r="D1442" i="1"/>
  <c r="C1442" i="1"/>
  <c r="T1441" i="1"/>
  <c r="S1441" i="1"/>
  <c r="Q1441" i="1"/>
  <c r="R1441" i="1" s="1"/>
  <c r="P1441" i="1"/>
  <c r="O1441" i="1"/>
  <c r="N1441" i="1"/>
  <c r="K1441" i="1"/>
  <c r="J1441" i="1"/>
  <c r="D1441" i="1"/>
  <c r="C1441" i="1"/>
  <c r="T1440" i="1"/>
  <c r="S1440" i="1"/>
  <c r="Q1440" i="1"/>
  <c r="R1440" i="1" s="1"/>
  <c r="P1440" i="1"/>
  <c r="O1440" i="1"/>
  <c r="N1440" i="1"/>
  <c r="K1440" i="1"/>
  <c r="J1440" i="1"/>
  <c r="D1440" i="1"/>
  <c r="C1440" i="1"/>
  <c r="T1439" i="1"/>
  <c r="S1439" i="1"/>
  <c r="Q1439" i="1"/>
  <c r="R1439" i="1" s="1"/>
  <c r="P1439" i="1"/>
  <c r="O1439" i="1"/>
  <c r="N1439" i="1"/>
  <c r="K1439" i="1"/>
  <c r="J1439" i="1"/>
  <c r="D1439" i="1"/>
  <c r="C1439" i="1"/>
  <c r="T1438" i="1"/>
  <c r="S1438" i="1"/>
  <c r="R1438" i="1"/>
  <c r="Q1438" i="1"/>
  <c r="P1438" i="1"/>
  <c r="O1438" i="1"/>
  <c r="N1438" i="1"/>
  <c r="K1438" i="1"/>
  <c r="J1438" i="1"/>
  <c r="L1438" i="1" s="1"/>
  <c r="D1438" i="1"/>
  <c r="C1438" i="1"/>
  <c r="T1437" i="1"/>
  <c r="S1437" i="1"/>
  <c r="Q1437" i="1"/>
  <c r="R1437" i="1" s="1"/>
  <c r="P1437" i="1"/>
  <c r="O1437" i="1"/>
  <c r="N1437" i="1"/>
  <c r="K1437" i="1"/>
  <c r="J1437" i="1"/>
  <c r="D1437" i="1"/>
  <c r="C1437" i="1"/>
  <c r="T1436" i="1"/>
  <c r="S1436" i="1"/>
  <c r="Q1436" i="1"/>
  <c r="R1436" i="1" s="1"/>
  <c r="P1436" i="1"/>
  <c r="O1436" i="1"/>
  <c r="N1436" i="1"/>
  <c r="K1436" i="1"/>
  <c r="J1436" i="1"/>
  <c r="D1436" i="1"/>
  <c r="C1436" i="1"/>
  <c r="T1435" i="1"/>
  <c r="S1435" i="1"/>
  <c r="Q1435" i="1"/>
  <c r="R1435" i="1" s="1"/>
  <c r="P1435" i="1"/>
  <c r="O1435" i="1"/>
  <c r="N1435" i="1"/>
  <c r="K1435" i="1"/>
  <c r="J1435" i="1"/>
  <c r="D1435" i="1"/>
  <c r="C1435" i="1"/>
  <c r="T1434" i="1"/>
  <c r="S1434" i="1"/>
  <c r="Q1434" i="1"/>
  <c r="R1434" i="1" s="1"/>
  <c r="P1434" i="1"/>
  <c r="O1434" i="1"/>
  <c r="N1434" i="1"/>
  <c r="K1434" i="1"/>
  <c r="J1434" i="1"/>
  <c r="D1434" i="1"/>
  <c r="C1434" i="1"/>
  <c r="T1433" i="1"/>
  <c r="S1433" i="1"/>
  <c r="Q1433" i="1"/>
  <c r="R1433" i="1" s="1"/>
  <c r="P1433" i="1"/>
  <c r="O1433" i="1"/>
  <c r="N1433" i="1"/>
  <c r="K1433" i="1"/>
  <c r="J1433" i="1"/>
  <c r="D1433" i="1"/>
  <c r="C1433" i="1"/>
  <c r="T1432" i="1"/>
  <c r="S1432" i="1"/>
  <c r="Q1432" i="1"/>
  <c r="R1432" i="1" s="1"/>
  <c r="P1432" i="1"/>
  <c r="O1432" i="1"/>
  <c r="N1432" i="1"/>
  <c r="K1432" i="1"/>
  <c r="J1432" i="1"/>
  <c r="D1432" i="1"/>
  <c r="C1432" i="1"/>
  <c r="T1431" i="1"/>
  <c r="S1431" i="1"/>
  <c r="Q1431" i="1"/>
  <c r="R1431" i="1" s="1"/>
  <c r="P1431" i="1"/>
  <c r="O1431" i="1"/>
  <c r="N1431" i="1"/>
  <c r="K1431" i="1"/>
  <c r="J1431" i="1"/>
  <c r="D1431" i="1"/>
  <c r="C1431" i="1"/>
  <c r="T1430" i="1"/>
  <c r="S1430" i="1"/>
  <c r="R1430" i="1"/>
  <c r="Q1430" i="1"/>
  <c r="P1430" i="1"/>
  <c r="O1430" i="1"/>
  <c r="N1430" i="1"/>
  <c r="K1430" i="1"/>
  <c r="J1430" i="1"/>
  <c r="L1430" i="1" s="1"/>
  <c r="D1430" i="1"/>
  <c r="C1430" i="1"/>
  <c r="T1429" i="1"/>
  <c r="S1429" i="1"/>
  <c r="Q1429" i="1"/>
  <c r="R1429" i="1" s="1"/>
  <c r="P1429" i="1"/>
  <c r="O1429" i="1"/>
  <c r="N1429" i="1"/>
  <c r="K1429" i="1"/>
  <c r="J1429" i="1"/>
  <c r="D1429" i="1"/>
  <c r="C1429" i="1"/>
  <c r="T1428" i="1"/>
  <c r="S1428" i="1"/>
  <c r="Q1428" i="1"/>
  <c r="R1428" i="1" s="1"/>
  <c r="P1428" i="1"/>
  <c r="O1428" i="1"/>
  <c r="N1428" i="1"/>
  <c r="K1428" i="1"/>
  <c r="J1428" i="1"/>
  <c r="D1428" i="1"/>
  <c r="C1428" i="1"/>
  <c r="T1427" i="1"/>
  <c r="S1427" i="1"/>
  <c r="Q1427" i="1"/>
  <c r="R1427" i="1" s="1"/>
  <c r="P1427" i="1"/>
  <c r="O1427" i="1"/>
  <c r="N1427" i="1"/>
  <c r="K1427" i="1"/>
  <c r="J1427" i="1"/>
  <c r="D1427" i="1"/>
  <c r="C1427" i="1"/>
  <c r="T1426" i="1"/>
  <c r="S1426" i="1"/>
  <c r="Q1426" i="1"/>
  <c r="R1426" i="1" s="1"/>
  <c r="P1426" i="1"/>
  <c r="O1426" i="1"/>
  <c r="N1426" i="1"/>
  <c r="K1426" i="1"/>
  <c r="J1426" i="1"/>
  <c r="D1426" i="1"/>
  <c r="C1426" i="1"/>
  <c r="T1425" i="1"/>
  <c r="S1425" i="1"/>
  <c r="Q1425" i="1"/>
  <c r="R1425" i="1" s="1"/>
  <c r="P1425" i="1"/>
  <c r="O1425" i="1"/>
  <c r="N1425" i="1"/>
  <c r="K1425" i="1"/>
  <c r="J1425" i="1"/>
  <c r="D1425" i="1"/>
  <c r="C1425" i="1"/>
  <c r="T1424" i="1"/>
  <c r="S1424" i="1"/>
  <c r="Q1424" i="1"/>
  <c r="R1424" i="1" s="1"/>
  <c r="P1424" i="1"/>
  <c r="O1424" i="1"/>
  <c r="N1424" i="1"/>
  <c r="K1424" i="1"/>
  <c r="J1424" i="1"/>
  <c r="D1424" i="1"/>
  <c r="C1424" i="1"/>
  <c r="T1423" i="1"/>
  <c r="S1423" i="1"/>
  <c r="Q1423" i="1"/>
  <c r="R1423" i="1" s="1"/>
  <c r="P1423" i="1"/>
  <c r="O1423" i="1"/>
  <c r="N1423" i="1"/>
  <c r="K1423" i="1"/>
  <c r="J1423" i="1"/>
  <c r="D1423" i="1"/>
  <c r="C1423" i="1"/>
  <c r="T1422" i="1"/>
  <c r="S1422" i="1"/>
  <c r="R1422" i="1"/>
  <c r="Q1422" i="1"/>
  <c r="P1422" i="1"/>
  <c r="O1422" i="1"/>
  <c r="N1422" i="1"/>
  <c r="K1422" i="1"/>
  <c r="J1422" i="1"/>
  <c r="L1422" i="1" s="1"/>
  <c r="D1422" i="1"/>
  <c r="C1422" i="1"/>
  <c r="T1421" i="1"/>
  <c r="S1421" i="1"/>
  <c r="Q1421" i="1"/>
  <c r="R1421" i="1" s="1"/>
  <c r="P1421" i="1"/>
  <c r="O1421" i="1"/>
  <c r="N1421" i="1"/>
  <c r="K1421" i="1"/>
  <c r="J1421" i="1"/>
  <c r="D1421" i="1"/>
  <c r="C1421" i="1"/>
  <c r="T1420" i="1"/>
  <c r="S1420" i="1"/>
  <c r="Q1420" i="1"/>
  <c r="R1420" i="1" s="1"/>
  <c r="P1420" i="1"/>
  <c r="O1420" i="1"/>
  <c r="N1420" i="1"/>
  <c r="K1420" i="1"/>
  <c r="J1420" i="1"/>
  <c r="D1420" i="1"/>
  <c r="C1420" i="1"/>
  <c r="T1419" i="1"/>
  <c r="S1419" i="1"/>
  <c r="Q1419" i="1"/>
  <c r="R1419" i="1" s="1"/>
  <c r="P1419" i="1"/>
  <c r="O1419" i="1"/>
  <c r="N1419" i="1"/>
  <c r="K1419" i="1"/>
  <c r="J1419" i="1"/>
  <c r="D1419" i="1"/>
  <c r="C1419" i="1"/>
  <c r="T1418" i="1"/>
  <c r="S1418" i="1"/>
  <c r="Q1418" i="1"/>
  <c r="R1418" i="1" s="1"/>
  <c r="P1418" i="1"/>
  <c r="O1418" i="1"/>
  <c r="N1418" i="1"/>
  <c r="K1418" i="1"/>
  <c r="J1418" i="1"/>
  <c r="D1418" i="1"/>
  <c r="C1418" i="1"/>
  <c r="T1417" i="1"/>
  <c r="S1417" i="1"/>
  <c r="Q1417" i="1"/>
  <c r="R1417" i="1" s="1"/>
  <c r="P1417" i="1"/>
  <c r="O1417" i="1"/>
  <c r="N1417" i="1"/>
  <c r="K1417" i="1"/>
  <c r="J1417" i="1"/>
  <c r="D1417" i="1"/>
  <c r="C1417" i="1"/>
  <c r="T1416" i="1"/>
  <c r="S1416" i="1"/>
  <c r="Q1416" i="1"/>
  <c r="R1416" i="1" s="1"/>
  <c r="P1416" i="1"/>
  <c r="O1416" i="1"/>
  <c r="N1416" i="1"/>
  <c r="K1416" i="1"/>
  <c r="J1416" i="1"/>
  <c r="D1416" i="1"/>
  <c r="C1416" i="1"/>
  <c r="T1415" i="1"/>
  <c r="S1415" i="1"/>
  <c r="Q1415" i="1"/>
  <c r="R1415" i="1" s="1"/>
  <c r="P1415" i="1"/>
  <c r="O1415" i="1"/>
  <c r="N1415" i="1"/>
  <c r="K1415" i="1"/>
  <c r="J1415" i="1"/>
  <c r="D1415" i="1"/>
  <c r="C1415" i="1"/>
  <c r="T1414" i="1"/>
  <c r="S1414" i="1"/>
  <c r="R1414" i="1"/>
  <c r="Q1414" i="1"/>
  <c r="P1414" i="1"/>
  <c r="O1414" i="1"/>
  <c r="N1414" i="1"/>
  <c r="K1414" i="1"/>
  <c r="J1414" i="1"/>
  <c r="L1414" i="1" s="1"/>
  <c r="D1414" i="1"/>
  <c r="C1414" i="1"/>
  <c r="T1413" i="1"/>
  <c r="S1413" i="1"/>
  <c r="Q1413" i="1"/>
  <c r="R1413" i="1" s="1"/>
  <c r="P1413" i="1"/>
  <c r="O1413" i="1"/>
  <c r="N1413" i="1"/>
  <c r="K1413" i="1"/>
  <c r="J1413" i="1"/>
  <c r="D1413" i="1"/>
  <c r="C1413" i="1"/>
  <c r="T1412" i="1"/>
  <c r="S1412" i="1"/>
  <c r="Q1412" i="1"/>
  <c r="R1412" i="1" s="1"/>
  <c r="P1412" i="1"/>
  <c r="O1412" i="1"/>
  <c r="N1412" i="1"/>
  <c r="K1412" i="1"/>
  <c r="J1412" i="1"/>
  <c r="D1412" i="1"/>
  <c r="C1412" i="1"/>
  <c r="T1411" i="1"/>
  <c r="S1411" i="1"/>
  <c r="Q1411" i="1"/>
  <c r="R1411" i="1" s="1"/>
  <c r="P1411" i="1"/>
  <c r="O1411" i="1"/>
  <c r="N1411" i="1"/>
  <c r="K1411" i="1"/>
  <c r="J1411" i="1"/>
  <c r="D1411" i="1"/>
  <c r="C1411" i="1"/>
  <c r="T1410" i="1"/>
  <c r="S1410" i="1"/>
  <c r="Q1410" i="1"/>
  <c r="R1410" i="1" s="1"/>
  <c r="P1410" i="1"/>
  <c r="O1410" i="1"/>
  <c r="N1410" i="1"/>
  <c r="K1410" i="1"/>
  <c r="J1410" i="1"/>
  <c r="D1410" i="1"/>
  <c r="C1410" i="1"/>
  <c r="T1409" i="1"/>
  <c r="S1409" i="1"/>
  <c r="Q1409" i="1"/>
  <c r="R1409" i="1" s="1"/>
  <c r="P1409" i="1"/>
  <c r="O1409" i="1"/>
  <c r="N1409" i="1"/>
  <c r="K1409" i="1"/>
  <c r="J1409" i="1"/>
  <c r="D1409" i="1"/>
  <c r="C1409" i="1"/>
  <c r="T1408" i="1"/>
  <c r="S1408" i="1"/>
  <c r="Q1408" i="1"/>
  <c r="R1408" i="1" s="1"/>
  <c r="P1408" i="1"/>
  <c r="O1408" i="1"/>
  <c r="N1408" i="1"/>
  <c r="K1408" i="1"/>
  <c r="J1408" i="1"/>
  <c r="D1408" i="1"/>
  <c r="C1408" i="1"/>
  <c r="T1407" i="1"/>
  <c r="S1407" i="1"/>
  <c r="Q1407" i="1"/>
  <c r="R1407" i="1" s="1"/>
  <c r="P1407" i="1"/>
  <c r="O1407" i="1"/>
  <c r="N1407" i="1"/>
  <c r="K1407" i="1"/>
  <c r="J1407" i="1"/>
  <c r="D1407" i="1"/>
  <c r="C1407" i="1"/>
  <c r="T1406" i="1"/>
  <c r="S1406" i="1"/>
  <c r="Q1406" i="1"/>
  <c r="R1406" i="1" s="1"/>
  <c r="P1406" i="1"/>
  <c r="O1406" i="1"/>
  <c r="N1406" i="1"/>
  <c r="K1406" i="1"/>
  <c r="J1406" i="1"/>
  <c r="D1406" i="1"/>
  <c r="C1406" i="1"/>
  <c r="T1405" i="1"/>
  <c r="S1405" i="1"/>
  <c r="Q1405" i="1"/>
  <c r="R1405" i="1" s="1"/>
  <c r="P1405" i="1"/>
  <c r="O1405" i="1"/>
  <c r="N1405" i="1"/>
  <c r="K1405" i="1"/>
  <c r="J1405" i="1"/>
  <c r="D1405" i="1"/>
  <c r="C1405" i="1"/>
  <c r="T1404" i="1"/>
  <c r="S1404" i="1"/>
  <c r="Q1404" i="1"/>
  <c r="R1404" i="1" s="1"/>
  <c r="P1404" i="1"/>
  <c r="O1404" i="1"/>
  <c r="N1404" i="1"/>
  <c r="K1404" i="1"/>
  <c r="J1404" i="1"/>
  <c r="D1404" i="1"/>
  <c r="C1404" i="1"/>
  <c r="T1403" i="1"/>
  <c r="S1403" i="1"/>
  <c r="Q1403" i="1"/>
  <c r="R1403" i="1" s="1"/>
  <c r="P1403" i="1"/>
  <c r="O1403" i="1"/>
  <c r="N1403" i="1"/>
  <c r="K1403" i="1"/>
  <c r="J1403" i="1"/>
  <c r="D1403" i="1"/>
  <c r="C1403" i="1"/>
  <c r="T1402" i="1"/>
  <c r="S1402" i="1"/>
  <c r="Q1402" i="1"/>
  <c r="R1402" i="1" s="1"/>
  <c r="P1402" i="1"/>
  <c r="O1402" i="1"/>
  <c r="N1402" i="1"/>
  <c r="K1402" i="1"/>
  <c r="J1402" i="1"/>
  <c r="D1402" i="1"/>
  <c r="C1402" i="1"/>
  <c r="T1401" i="1"/>
  <c r="S1401" i="1"/>
  <c r="Q1401" i="1"/>
  <c r="R1401" i="1" s="1"/>
  <c r="P1401" i="1"/>
  <c r="O1401" i="1"/>
  <c r="N1401" i="1"/>
  <c r="K1401" i="1"/>
  <c r="J1401" i="1"/>
  <c r="D1401" i="1"/>
  <c r="C1401" i="1"/>
  <c r="T1400" i="1"/>
  <c r="S1400" i="1"/>
  <c r="Q1400" i="1"/>
  <c r="R1400" i="1" s="1"/>
  <c r="P1400" i="1"/>
  <c r="O1400" i="1"/>
  <c r="N1400" i="1"/>
  <c r="K1400" i="1"/>
  <c r="J1400" i="1"/>
  <c r="D1400" i="1"/>
  <c r="C1400" i="1"/>
  <c r="T1399" i="1"/>
  <c r="S1399" i="1"/>
  <c r="Q1399" i="1"/>
  <c r="R1399" i="1" s="1"/>
  <c r="P1399" i="1"/>
  <c r="O1399" i="1"/>
  <c r="N1399" i="1"/>
  <c r="K1399" i="1"/>
  <c r="J1399" i="1"/>
  <c r="D1399" i="1"/>
  <c r="C1399" i="1"/>
  <c r="T1398" i="1"/>
  <c r="S1398" i="1"/>
  <c r="R1398" i="1"/>
  <c r="Q1398" i="1"/>
  <c r="P1398" i="1"/>
  <c r="O1398" i="1"/>
  <c r="N1398" i="1"/>
  <c r="K1398" i="1"/>
  <c r="J1398" i="1"/>
  <c r="D1398" i="1"/>
  <c r="C1398" i="1"/>
  <c r="T1397" i="1"/>
  <c r="S1397" i="1"/>
  <c r="Q1397" i="1"/>
  <c r="R1397" i="1" s="1"/>
  <c r="P1397" i="1"/>
  <c r="O1397" i="1"/>
  <c r="N1397" i="1"/>
  <c r="K1397" i="1"/>
  <c r="J1397" i="1"/>
  <c r="D1397" i="1"/>
  <c r="C1397" i="1"/>
  <c r="T1396" i="1"/>
  <c r="S1396" i="1"/>
  <c r="Q1396" i="1"/>
  <c r="R1396" i="1" s="1"/>
  <c r="P1396" i="1"/>
  <c r="O1396" i="1"/>
  <c r="N1396" i="1"/>
  <c r="K1396" i="1"/>
  <c r="J1396" i="1"/>
  <c r="D1396" i="1"/>
  <c r="C1396" i="1"/>
  <c r="T1395" i="1"/>
  <c r="S1395" i="1"/>
  <c r="Q1395" i="1"/>
  <c r="R1395" i="1" s="1"/>
  <c r="P1395" i="1"/>
  <c r="O1395" i="1"/>
  <c r="N1395" i="1"/>
  <c r="K1395" i="1"/>
  <c r="J1395" i="1"/>
  <c r="D1395" i="1"/>
  <c r="C1395" i="1"/>
  <c r="T1394" i="1"/>
  <c r="S1394" i="1"/>
  <c r="Q1394" i="1"/>
  <c r="R1394" i="1" s="1"/>
  <c r="P1394" i="1"/>
  <c r="O1394" i="1"/>
  <c r="N1394" i="1"/>
  <c r="K1394" i="1"/>
  <c r="J1394" i="1"/>
  <c r="L1394" i="1" s="1"/>
  <c r="D1394" i="1"/>
  <c r="C1394" i="1"/>
  <c r="T1393" i="1"/>
  <c r="S1393" i="1"/>
  <c r="Q1393" i="1"/>
  <c r="R1393" i="1" s="1"/>
  <c r="P1393" i="1"/>
  <c r="O1393" i="1"/>
  <c r="N1393" i="1"/>
  <c r="K1393" i="1"/>
  <c r="J1393" i="1"/>
  <c r="D1393" i="1"/>
  <c r="C1393" i="1"/>
  <c r="T1392" i="1"/>
  <c r="S1392" i="1"/>
  <c r="Q1392" i="1"/>
  <c r="R1392" i="1" s="1"/>
  <c r="P1392" i="1"/>
  <c r="O1392" i="1"/>
  <c r="N1392" i="1"/>
  <c r="K1392" i="1"/>
  <c r="J1392" i="1"/>
  <c r="D1392" i="1"/>
  <c r="C1392" i="1"/>
  <c r="T1391" i="1"/>
  <c r="S1391" i="1"/>
  <c r="Q1391" i="1"/>
  <c r="R1391" i="1" s="1"/>
  <c r="P1391" i="1"/>
  <c r="O1391" i="1"/>
  <c r="N1391" i="1"/>
  <c r="K1391" i="1"/>
  <c r="J1391" i="1"/>
  <c r="D1391" i="1"/>
  <c r="C1391" i="1"/>
  <c r="T1390" i="1"/>
  <c r="S1390" i="1"/>
  <c r="Q1390" i="1"/>
  <c r="R1390" i="1" s="1"/>
  <c r="P1390" i="1"/>
  <c r="O1390" i="1"/>
  <c r="N1390" i="1"/>
  <c r="K1390" i="1"/>
  <c r="J1390" i="1"/>
  <c r="L1390" i="1" s="1"/>
  <c r="D1390" i="1"/>
  <c r="C1390" i="1"/>
  <c r="T1389" i="1"/>
  <c r="S1389" i="1"/>
  <c r="Q1389" i="1"/>
  <c r="R1389" i="1" s="1"/>
  <c r="P1389" i="1"/>
  <c r="O1389" i="1"/>
  <c r="N1389" i="1"/>
  <c r="K1389" i="1"/>
  <c r="J1389" i="1"/>
  <c r="D1389" i="1"/>
  <c r="C1389" i="1"/>
  <c r="T1388" i="1"/>
  <c r="S1388" i="1"/>
  <c r="Q1388" i="1"/>
  <c r="R1388" i="1" s="1"/>
  <c r="P1388" i="1"/>
  <c r="O1388" i="1"/>
  <c r="N1388" i="1"/>
  <c r="K1388" i="1"/>
  <c r="J1388" i="1"/>
  <c r="D1388" i="1"/>
  <c r="C1388" i="1"/>
  <c r="T1387" i="1"/>
  <c r="S1387" i="1"/>
  <c r="Q1387" i="1"/>
  <c r="R1387" i="1" s="1"/>
  <c r="P1387" i="1"/>
  <c r="O1387" i="1"/>
  <c r="N1387" i="1"/>
  <c r="K1387" i="1"/>
  <c r="J1387" i="1"/>
  <c r="D1387" i="1"/>
  <c r="C1387" i="1"/>
  <c r="T1386" i="1"/>
  <c r="S1386" i="1"/>
  <c r="Q1386" i="1"/>
  <c r="R1386" i="1" s="1"/>
  <c r="P1386" i="1"/>
  <c r="O1386" i="1"/>
  <c r="N1386" i="1"/>
  <c r="K1386" i="1"/>
  <c r="J1386" i="1"/>
  <c r="D1386" i="1"/>
  <c r="C1386" i="1"/>
  <c r="T1385" i="1"/>
  <c r="S1385" i="1"/>
  <c r="Q1385" i="1"/>
  <c r="R1385" i="1" s="1"/>
  <c r="P1385" i="1"/>
  <c r="O1385" i="1"/>
  <c r="N1385" i="1"/>
  <c r="K1385" i="1"/>
  <c r="J1385" i="1"/>
  <c r="D1385" i="1"/>
  <c r="C1385" i="1"/>
  <c r="T1384" i="1"/>
  <c r="S1384" i="1"/>
  <c r="Q1384" i="1"/>
  <c r="R1384" i="1" s="1"/>
  <c r="P1384" i="1"/>
  <c r="O1384" i="1"/>
  <c r="N1384" i="1"/>
  <c r="K1384" i="1"/>
  <c r="J1384" i="1"/>
  <c r="D1384" i="1"/>
  <c r="C1384" i="1"/>
  <c r="T1383" i="1"/>
  <c r="S1383" i="1"/>
  <c r="Q1383" i="1"/>
  <c r="R1383" i="1" s="1"/>
  <c r="P1383" i="1"/>
  <c r="O1383" i="1"/>
  <c r="N1383" i="1"/>
  <c r="K1383" i="1"/>
  <c r="J1383" i="1"/>
  <c r="D1383" i="1"/>
  <c r="C1383" i="1"/>
  <c r="T1382" i="1"/>
  <c r="S1382" i="1"/>
  <c r="R1382" i="1"/>
  <c r="Q1382" i="1"/>
  <c r="P1382" i="1"/>
  <c r="O1382" i="1"/>
  <c r="N1382" i="1"/>
  <c r="K1382" i="1"/>
  <c r="J1382" i="1"/>
  <c r="L1382" i="1" s="1"/>
  <c r="D1382" i="1"/>
  <c r="C1382" i="1"/>
  <c r="T1381" i="1"/>
  <c r="S1381" i="1"/>
  <c r="Q1381" i="1"/>
  <c r="R1381" i="1" s="1"/>
  <c r="P1381" i="1"/>
  <c r="O1381" i="1"/>
  <c r="N1381" i="1"/>
  <c r="K1381" i="1"/>
  <c r="J1381" i="1"/>
  <c r="D1381" i="1"/>
  <c r="C1381" i="1"/>
  <c r="T1380" i="1"/>
  <c r="S1380" i="1"/>
  <c r="Q1380" i="1"/>
  <c r="R1380" i="1" s="1"/>
  <c r="P1380" i="1"/>
  <c r="O1380" i="1"/>
  <c r="N1380" i="1"/>
  <c r="K1380" i="1"/>
  <c r="J1380" i="1"/>
  <c r="D1380" i="1"/>
  <c r="C1380" i="1"/>
  <c r="T1379" i="1"/>
  <c r="S1379" i="1"/>
  <c r="Q1379" i="1"/>
  <c r="R1379" i="1" s="1"/>
  <c r="P1379" i="1"/>
  <c r="O1379" i="1"/>
  <c r="N1379" i="1"/>
  <c r="K1379" i="1"/>
  <c r="J1379" i="1"/>
  <c r="D1379" i="1"/>
  <c r="C1379" i="1"/>
  <c r="T1378" i="1"/>
  <c r="S1378" i="1"/>
  <c r="Q1378" i="1"/>
  <c r="R1378" i="1" s="1"/>
  <c r="P1378" i="1"/>
  <c r="O1378" i="1"/>
  <c r="N1378" i="1"/>
  <c r="K1378" i="1"/>
  <c r="J1378" i="1"/>
  <c r="D1378" i="1"/>
  <c r="C1378" i="1"/>
  <c r="T1377" i="1"/>
  <c r="S1377" i="1"/>
  <c r="Q1377" i="1"/>
  <c r="R1377" i="1" s="1"/>
  <c r="P1377" i="1"/>
  <c r="O1377" i="1"/>
  <c r="N1377" i="1"/>
  <c r="K1377" i="1"/>
  <c r="J1377" i="1"/>
  <c r="D1377" i="1"/>
  <c r="C1377" i="1"/>
  <c r="T1376" i="1"/>
  <c r="S1376" i="1"/>
  <c r="Q1376" i="1"/>
  <c r="R1376" i="1" s="1"/>
  <c r="P1376" i="1"/>
  <c r="O1376" i="1"/>
  <c r="N1376" i="1"/>
  <c r="K1376" i="1"/>
  <c r="J1376" i="1"/>
  <c r="D1376" i="1"/>
  <c r="C1376" i="1"/>
  <c r="T1375" i="1"/>
  <c r="S1375" i="1"/>
  <c r="Q1375" i="1"/>
  <c r="R1375" i="1" s="1"/>
  <c r="P1375" i="1"/>
  <c r="O1375" i="1"/>
  <c r="N1375" i="1"/>
  <c r="K1375" i="1"/>
  <c r="J1375" i="1"/>
  <c r="D1375" i="1"/>
  <c r="C1375" i="1"/>
  <c r="T1374" i="1"/>
  <c r="S1374" i="1"/>
  <c r="Q1374" i="1"/>
  <c r="R1374" i="1" s="1"/>
  <c r="P1374" i="1"/>
  <c r="O1374" i="1"/>
  <c r="N1374" i="1"/>
  <c r="K1374" i="1"/>
  <c r="J1374" i="1"/>
  <c r="L1374" i="1" s="1"/>
  <c r="D1374" i="1"/>
  <c r="C1374" i="1"/>
  <c r="T1373" i="1"/>
  <c r="S1373" i="1"/>
  <c r="Q1373" i="1"/>
  <c r="R1373" i="1" s="1"/>
  <c r="P1373" i="1"/>
  <c r="O1373" i="1"/>
  <c r="N1373" i="1"/>
  <c r="K1373" i="1"/>
  <c r="J1373" i="1"/>
  <c r="D1373" i="1"/>
  <c r="C1373" i="1"/>
  <c r="T1372" i="1"/>
  <c r="S1372" i="1"/>
  <c r="Q1372" i="1"/>
  <c r="R1372" i="1" s="1"/>
  <c r="P1372" i="1"/>
  <c r="O1372" i="1"/>
  <c r="N1372" i="1"/>
  <c r="K1372" i="1"/>
  <c r="J1372" i="1"/>
  <c r="D1372" i="1"/>
  <c r="C1372" i="1"/>
  <c r="T1371" i="1"/>
  <c r="S1371" i="1"/>
  <c r="Q1371" i="1"/>
  <c r="R1371" i="1" s="1"/>
  <c r="P1371" i="1"/>
  <c r="O1371" i="1"/>
  <c r="N1371" i="1"/>
  <c r="K1371" i="1"/>
  <c r="J1371" i="1"/>
  <c r="D1371" i="1"/>
  <c r="C1371" i="1"/>
  <c r="T1370" i="1"/>
  <c r="S1370" i="1"/>
  <c r="Q1370" i="1"/>
  <c r="R1370" i="1" s="1"/>
  <c r="P1370" i="1"/>
  <c r="O1370" i="1"/>
  <c r="N1370" i="1"/>
  <c r="K1370" i="1"/>
  <c r="J1370" i="1"/>
  <c r="D1370" i="1"/>
  <c r="C1370" i="1"/>
  <c r="T1369" i="1"/>
  <c r="S1369" i="1"/>
  <c r="Q1369" i="1"/>
  <c r="R1369" i="1" s="1"/>
  <c r="P1369" i="1"/>
  <c r="O1369" i="1"/>
  <c r="N1369" i="1"/>
  <c r="K1369" i="1"/>
  <c r="J1369" i="1"/>
  <c r="D1369" i="1"/>
  <c r="C1369" i="1"/>
  <c r="T1368" i="1"/>
  <c r="S1368" i="1"/>
  <c r="Q1368" i="1"/>
  <c r="R1368" i="1" s="1"/>
  <c r="P1368" i="1"/>
  <c r="O1368" i="1"/>
  <c r="N1368" i="1"/>
  <c r="K1368" i="1"/>
  <c r="J1368" i="1"/>
  <c r="D1368" i="1"/>
  <c r="C1368" i="1"/>
  <c r="T1367" i="1"/>
  <c r="S1367" i="1"/>
  <c r="Q1367" i="1"/>
  <c r="R1367" i="1" s="1"/>
  <c r="P1367" i="1"/>
  <c r="O1367" i="1"/>
  <c r="N1367" i="1"/>
  <c r="K1367" i="1"/>
  <c r="J1367" i="1"/>
  <c r="D1367" i="1"/>
  <c r="C1367" i="1"/>
  <c r="T1366" i="1"/>
  <c r="S1366" i="1"/>
  <c r="R1366" i="1"/>
  <c r="Q1366" i="1"/>
  <c r="P1366" i="1"/>
  <c r="O1366" i="1"/>
  <c r="N1366" i="1"/>
  <c r="K1366" i="1"/>
  <c r="J1366" i="1"/>
  <c r="D1366" i="1"/>
  <c r="C1366" i="1"/>
  <c r="T1365" i="1"/>
  <c r="S1365" i="1"/>
  <c r="Q1365" i="1"/>
  <c r="R1365" i="1" s="1"/>
  <c r="P1365" i="1"/>
  <c r="O1365" i="1"/>
  <c r="N1365" i="1"/>
  <c r="K1365" i="1"/>
  <c r="J1365" i="1"/>
  <c r="D1365" i="1"/>
  <c r="C1365" i="1"/>
  <c r="T1364" i="1"/>
  <c r="S1364" i="1"/>
  <c r="Q1364" i="1"/>
  <c r="R1364" i="1" s="1"/>
  <c r="P1364" i="1"/>
  <c r="O1364" i="1"/>
  <c r="N1364" i="1"/>
  <c r="K1364" i="1"/>
  <c r="J1364" i="1"/>
  <c r="D1364" i="1"/>
  <c r="C1364" i="1"/>
  <c r="T1363" i="1"/>
  <c r="S1363" i="1"/>
  <c r="Q1363" i="1"/>
  <c r="R1363" i="1" s="1"/>
  <c r="P1363" i="1"/>
  <c r="O1363" i="1"/>
  <c r="N1363" i="1"/>
  <c r="K1363" i="1"/>
  <c r="J1363" i="1"/>
  <c r="D1363" i="1"/>
  <c r="C1363" i="1"/>
  <c r="T1362" i="1"/>
  <c r="S1362" i="1"/>
  <c r="Q1362" i="1"/>
  <c r="R1362" i="1" s="1"/>
  <c r="P1362" i="1"/>
  <c r="O1362" i="1"/>
  <c r="N1362" i="1"/>
  <c r="K1362" i="1"/>
  <c r="J1362" i="1"/>
  <c r="D1362" i="1"/>
  <c r="C1362" i="1"/>
  <c r="T1361" i="1"/>
  <c r="S1361" i="1"/>
  <c r="Q1361" i="1"/>
  <c r="R1361" i="1" s="1"/>
  <c r="P1361" i="1"/>
  <c r="O1361" i="1"/>
  <c r="N1361" i="1"/>
  <c r="K1361" i="1"/>
  <c r="J1361" i="1"/>
  <c r="D1361" i="1"/>
  <c r="C1361" i="1"/>
  <c r="T1360" i="1"/>
  <c r="S1360" i="1"/>
  <c r="Q1360" i="1"/>
  <c r="R1360" i="1" s="1"/>
  <c r="P1360" i="1"/>
  <c r="O1360" i="1"/>
  <c r="N1360" i="1"/>
  <c r="K1360" i="1"/>
  <c r="J1360" i="1"/>
  <c r="D1360" i="1"/>
  <c r="C1360" i="1"/>
  <c r="T1359" i="1"/>
  <c r="S1359" i="1"/>
  <c r="Q1359" i="1"/>
  <c r="R1359" i="1" s="1"/>
  <c r="P1359" i="1"/>
  <c r="O1359" i="1"/>
  <c r="N1359" i="1"/>
  <c r="K1359" i="1"/>
  <c r="J1359" i="1"/>
  <c r="D1359" i="1"/>
  <c r="C1359" i="1"/>
  <c r="T1358" i="1"/>
  <c r="S1358" i="1"/>
  <c r="Q1358" i="1"/>
  <c r="R1358" i="1" s="1"/>
  <c r="P1358" i="1"/>
  <c r="O1358" i="1"/>
  <c r="N1358" i="1"/>
  <c r="K1358" i="1"/>
  <c r="J1358" i="1"/>
  <c r="D1358" i="1"/>
  <c r="C1358" i="1"/>
  <c r="T1357" i="1"/>
  <c r="S1357" i="1"/>
  <c r="Q1357" i="1"/>
  <c r="R1357" i="1" s="1"/>
  <c r="P1357" i="1"/>
  <c r="O1357" i="1"/>
  <c r="N1357" i="1"/>
  <c r="K1357" i="1"/>
  <c r="J1357" i="1"/>
  <c r="D1357" i="1"/>
  <c r="C1357" i="1"/>
  <c r="T1356" i="1"/>
  <c r="S1356" i="1"/>
  <c r="Q1356" i="1"/>
  <c r="R1356" i="1" s="1"/>
  <c r="P1356" i="1"/>
  <c r="O1356" i="1"/>
  <c r="N1356" i="1"/>
  <c r="K1356" i="1"/>
  <c r="J1356" i="1"/>
  <c r="D1356" i="1"/>
  <c r="C1356" i="1"/>
  <c r="T1355" i="1"/>
  <c r="S1355" i="1"/>
  <c r="Q1355" i="1"/>
  <c r="R1355" i="1" s="1"/>
  <c r="P1355" i="1"/>
  <c r="O1355" i="1"/>
  <c r="N1355" i="1"/>
  <c r="K1355" i="1"/>
  <c r="J1355" i="1"/>
  <c r="D1355" i="1"/>
  <c r="C1355" i="1"/>
  <c r="T1354" i="1"/>
  <c r="S1354" i="1"/>
  <c r="Q1354" i="1"/>
  <c r="R1354" i="1" s="1"/>
  <c r="P1354" i="1"/>
  <c r="O1354" i="1"/>
  <c r="N1354" i="1"/>
  <c r="K1354" i="1"/>
  <c r="J1354" i="1"/>
  <c r="D1354" i="1"/>
  <c r="C1354" i="1"/>
  <c r="T1353" i="1"/>
  <c r="S1353" i="1"/>
  <c r="Q1353" i="1"/>
  <c r="R1353" i="1" s="1"/>
  <c r="P1353" i="1"/>
  <c r="O1353" i="1"/>
  <c r="N1353" i="1"/>
  <c r="K1353" i="1"/>
  <c r="J1353" i="1"/>
  <c r="D1353" i="1"/>
  <c r="C1353" i="1"/>
  <c r="T1352" i="1"/>
  <c r="S1352" i="1"/>
  <c r="Q1352" i="1"/>
  <c r="R1352" i="1" s="1"/>
  <c r="P1352" i="1"/>
  <c r="O1352" i="1"/>
  <c r="N1352" i="1"/>
  <c r="K1352" i="1"/>
  <c r="J1352" i="1"/>
  <c r="D1352" i="1"/>
  <c r="C1352" i="1"/>
  <c r="T1351" i="1"/>
  <c r="S1351" i="1"/>
  <c r="Q1351" i="1"/>
  <c r="R1351" i="1" s="1"/>
  <c r="P1351" i="1"/>
  <c r="O1351" i="1"/>
  <c r="N1351" i="1"/>
  <c r="K1351" i="1"/>
  <c r="J1351" i="1"/>
  <c r="L1351" i="1" s="1"/>
  <c r="D1351" i="1"/>
  <c r="C1351" i="1"/>
  <c r="T1350" i="1"/>
  <c r="S1350" i="1"/>
  <c r="Q1350" i="1"/>
  <c r="R1350" i="1" s="1"/>
  <c r="P1350" i="1"/>
  <c r="O1350" i="1"/>
  <c r="N1350" i="1"/>
  <c r="K1350" i="1"/>
  <c r="J1350" i="1"/>
  <c r="D1350" i="1"/>
  <c r="C1350" i="1"/>
  <c r="T1349" i="1"/>
  <c r="S1349" i="1"/>
  <c r="Q1349" i="1"/>
  <c r="R1349" i="1" s="1"/>
  <c r="P1349" i="1"/>
  <c r="O1349" i="1"/>
  <c r="N1349" i="1"/>
  <c r="K1349" i="1"/>
  <c r="J1349" i="1"/>
  <c r="D1349" i="1"/>
  <c r="C1349" i="1"/>
  <c r="T1348" i="1"/>
  <c r="S1348" i="1"/>
  <c r="Q1348" i="1"/>
  <c r="R1348" i="1" s="1"/>
  <c r="P1348" i="1"/>
  <c r="O1348" i="1"/>
  <c r="N1348" i="1"/>
  <c r="K1348" i="1"/>
  <c r="J1348" i="1"/>
  <c r="D1348" i="1"/>
  <c r="C1348" i="1"/>
  <c r="T1347" i="1"/>
  <c r="S1347" i="1"/>
  <c r="Q1347" i="1"/>
  <c r="R1347" i="1" s="1"/>
  <c r="P1347" i="1"/>
  <c r="O1347" i="1"/>
  <c r="N1347" i="1"/>
  <c r="K1347" i="1"/>
  <c r="J1347" i="1"/>
  <c r="D1347" i="1"/>
  <c r="C1347" i="1"/>
  <c r="T1346" i="1"/>
  <c r="S1346" i="1"/>
  <c r="Q1346" i="1"/>
  <c r="R1346" i="1" s="1"/>
  <c r="P1346" i="1"/>
  <c r="O1346" i="1"/>
  <c r="N1346" i="1"/>
  <c r="K1346" i="1"/>
  <c r="J1346" i="1"/>
  <c r="D1346" i="1"/>
  <c r="C1346" i="1"/>
  <c r="T1345" i="1"/>
  <c r="S1345" i="1"/>
  <c r="R1345" i="1"/>
  <c r="Q1345" i="1"/>
  <c r="P1345" i="1"/>
  <c r="O1345" i="1"/>
  <c r="N1345" i="1"/>
  <c r="K1345" i="1"/>
  <c r="J1345" i="1"/>
  <c r="D1345" i="1"/>
  <c r="C1345" i="1"/>
  <c r="T1344" i="1"/>
  <c r="S1344" i="1"/>
  <c r="Q1344" i="1"/>
  <c r="R1344" i="1" s="1"/>
  <c r="P1344" i="1"/>
  <c r="O1344" i="1"/>
  <c r="N1344" i="1"/>
  <c r="K1344" i="1"/>
  <c r="J1344" i="1"/>
  <c r="D1344" i="1"/>
  <c r="C1344" i="1"/>
  <c r="T1343" i="1"/>
  <c r="S1343" i="1"/>
  <c r="Q1343" i="1"/>
  <c r="R1343" i="1" s="1"/>
  <c r="P1343" i="1"/>
  <c r="O1343" i="1"/>
  <c r="N1343" i="1"/>
  <c r="K1343" i="1"/>
  <c r="J1343" i="1"/>
  <c r="L1343" i="1" s="1"/>
  <c r="D1343" i="1"/>
  <c r="C1343" i="1"/>
  <c r="T1342" i="1"/>
  <c r="S1342" i="1"/>
  <c r="Q1342" i="1"/>
  <c r="R1342" i="1" s="1"/>
  <c r="P1342" i="1"/>
  <c r="O1342" i="1"/>
  <c r="N1342" i="1"/>
  <c r="K1342" i="1"/>
  <c r="J1342" i="1"/>
  <c r="D1342" i="1"/>
  <c r="C1342" i="1"/>
  <c r="T1341" i="1"/>
  <c r="S1341" i="1"/>
  <c r="Q1341" i="1"/>
  <c r="R1341" i="1" s="1"/>
  <c r="P1341" i="1"/>
  <c r="O1341" i="1"/>
  <c r="N1341" i="1"/>
  <c r="K1341" i="1"/>
  <c r="J1341" i="1"/>
  <c r="D1341" i="1"/>
  <c r="C1341" i="1"/>
  <c r="T1340" i="1"/>
  <c r="S1340" i="1"/>
  <c r="Q1340" i="1"/>
  <c r="R1340" i="1" s="1"/>
  <c r="P1340" i="1"/>
  <c r="O1340" i="1"/>
  <c r="N1340" i="1"/>
  <c r="K1340" i="1"/>
  <c r="J1340" i="1"/>
  <c r="D1340" i="1"/>
  <c r="C1340" i="1"/>
  <c r="T1339" i="1"/>
  <c r="S1339" i="1"/>
  <c r="Q1339" i="1"/>
  <c r="R1339" i="1" s="1"/>
  <c r="P1339" i="1"/>
  <c r="O1339" i="1"/>
  <c r="N1339" i="1"/>
  <c r="K1339" i="1"/>
  <c r="J1339" i="1"/>
  <c r="D1339" i="1"/>
  <c r="C1339" i="1"/>
  <c r="T1338" i="1"/>
  <c r="S1338" i="1"/>
  <c r="Q1338" i="1"/>
  <c r="R1338" i="1" s="1"/>
  <c r="P1338" i="1"/>
  <c r="O1338" i="1"/>
  <c r="N1338" i="1"/>
  <c r="K1338" i="1"/>
  <c r="J1338" i="1"/>
  <c r="D1338" i="1"/>
  <c r="C1338" i="1"/>
  <c r="T1337" i="1"/>
  <c r="S1337" i="1"/>
  <c r="R1337" i="1"/>
  <c r="Q1337" i="1"/>
  <c r="P1337" i="1"/>
  <c r="O1337" i="1"/>
  <c r="N1337" i="1"/>
  <c r="K1337" i="1"/>
  <c r="J1337" i="1"/>
  <c r="D1337" i="1"/>
  <c r="C1337" i="1"/>
  <c r="T1336" i="1"/>
  <c r="S1336" i="1"/>
  <c r="Q1336" i="1"/>
  <c r="R1336" i="1" s="1"/>
  <c r="P1336" i="1"/>
  <c r="O1336" i="1"/>
  <c r="N1336" i="1"/>
  <c r="K1336" i="1"/>
  <c r="J1336" i="1"/>
  <c r="D1336" i="1"/>
  <c r="C1336" i="1"/>
  <c r="T1335" i="1"/>
  <c r="S1335" i="1"/>
  <c r="Q1335" i="1"/>
  <c r="R1335" i="1" s="1"/>
  <c r="P1335" i="1"/>
  <c r="O1335" i="1"/>
  <c r="N1335" i="1"/>
  <c r="K1335" i="1"/>
  <c r="J1335" i="1"/>
  <c r="D1335" i="1"/>
  <c r="C1335" i="1"/>
  <c r="T1334" i="1"/>
  <c r="S1334" i="1"/>
  <c r="Q1334" i="1"/>
  <c r="R1334" i="1" s="1"/>
  <c r="P1334" i="1"/>
  <c r="O1334" i="1"/>
  <c r="N1334" i="1"/>
  <c r="K1334" i="1"/>
  <c r="J1334" i="1"/>
  <c r="D1334" i="1"/>
  <c r="C1334" i="1"/>
  <c r="T1333" i="1"/>
  <c r="S1333" i="1"/>
  <c r="Q1333" i="1"/>
  <c r="R1333" i="1" s="1"/>
  <c r="P1333" i="1"/>
  <c r="O1333" i="1"/>
  <c r="N1333" i="1"/>
  <c r="K1333" i="1"/>
  <c r="J1333" i="1"/>
  <c r="D1333" i="1"/>
  <c r="C1333" i="1"/>
  <c r="T1332" i="1"/>
  <c r="S1332" i="1"/>
  <c r="Q1332" i="1"/>
  <c r="R1332" i="1" s="1"/>
  <c r="P1332" i="1"/>
  <c r="O1332" i="1"/>
  <c r="N1332" i="1"/>
  <c r="K1332" i="1"/>
  <c r="J1332" i="1"/>
  <c r="D1332" i="1"/>
  <c r="C1332" i="1"/>
  <c r="T1331" i="1"/>
  <c r="S1331" i="1"/>
  <c r="Q1331" i="1"/>
  <c r="R1331" i="1" s="1"/>
  <c r="P1331" i="1"/>
  <c r="O1331" i="1"/>
  <c r="N1331" i="1"/>
  <c r="K1331" i="1"/>
  <c r="J1331" i="1"/>
  <c r="D1331" i="1"/>
  <c r="C1331" i="1"/>
  <c r="T1330" i="1"/>
  <c r="S1330" i="1"/>
  <c r="R1330" i="1"/>
  <c r="Q1330" i="1"/>
  <c r="P1330" i="1"/>
  <c r="O1330" i="1"/>
  <c r="N1330" i="1"/>
  <c r="K1330" i="1"/>
  <c r="J1330" i="1"/>
  <c r="L1330" i="1" s="1"/>
  <c r="D1330" i="1"/>
  <c r="C1330" i="1"/>
  <c r="T1329" i="1"/>
  <c r="S1329" i="1"/>
  <c r="Q1329" i="1"/>
  <c r="R1329" i="1" s="1"/>
  <c r="P1329" i="1"/>
  <c r="O1329" i="1"/>
  <c r="N1329" i="1"/>
  <c r="K1329" i="1"/>
  <c r="J1329" i="1"/>
  <c r="D1329" i="1"/>
  <c r="C1329" i="1"/>
  <c r="T1328" i="1"/>
  <c r="S1328" i="1"/>
  <c r="Q1328" i="1"/>
  <c r="R1328" i="1" s="1"/>
  <c r="P1328" i="1"/>
  <c r="O1328" i="1"/>
  <c r="N1328" i="1"/>
  <c r="K1328" i="1"/>
  <c r="J1328" i="1"/>
  <c r="D1328" i="1"/>
  <c r="C1328" i="1"/>
  <c r="T1327" i="1"/>
  <c r="S1327" i="1"/>
  <c r="Q1327" i="1"/>
  <c r="R1327" i="1" s="1"/>
  <c r="P1327" i="1"/>
  <c r="O1327" i="1"/>
  <c r="N1327" i="1"/>
  <c r="K1327" i="1"/>
  <c r="J1327" i="1"/>
  <c r="D1327" i="1"/>
  <c r="C1327" i="1"/>
  <c r="T1326" i="1"/>
  <c r="S1326" i="1"/>
  <c r="Q1326" i="1"/>
  <c r="R1326" i="1" s="1"/>
  <c r="P1326" i="1"/>
  <c r="O1326" i="1"/>
  <c r="N1326" i="1"/>
  <c r="K1326" i="1"/>
  <c r="J1326" i="1"/>
  <c r="D1326" i="1"/>
  <c r="C1326" i="1"/>
  <c r="T1325" i="1"/>
  <c r="S1325" i="1"/>
  <c r="Q1325" i="1"/>
  <c r="R1325" i="1" s="1"/>
  <c r="P1325" i="1"/>
  <c r="O1325" i="1"/>
  <c r="N1325" i="1"/>
  <c r="K1325" i="1"/>
  <c r="J1325" i="1"/>
  <c r="D1325" i="1"/>
  <c r="C1325" i="1"/>
  <c r="T1324" i="1"/>
  <c r="S1324" i="1"/>
  <c r="Q1324" i="1"/>
  <c r="R1324" i="1" s="1"/>
  <c r="P1324" i="1"/>
  <c r="O1324" i="1"/>
  <c r="N1324" i="1"/>
  <c r="K1324" i="1"/>
  <c r="J1324" i="1"/>
  <c r="D1324" i="1"/>
  <c r="C1324" i="1"/>
  <c r="T1323" i="1"/>
  <c r="S1323" i="1"/>
  <c r="Q1323" i="1"/>
  <c r="R1323" i="1" s="1"/>
  <c r="P1323" i="1"/>
  <c r="O1323" i="1"/>
  <c r="N1323" i="1"/>
  <c r="K1323" i="1"/>
  <c r="J1323" i="1"/>
  <c r="D1323" i="1"/>
  <c r="C1323" i="1"/>
  <c r="T1322" i="1"/>
  <c r="S1322" i="1"/>
  <c r="Q1322" i="1"/>
  <c r="R1322" i="1" s="1"/>
  <c r="P1322" i="1"/>
  <c r="O1322" i="1"/>
  <c r="N1322" i="1"/>
  <c r="K1322" i="1"/>
  <c r="J1322" i="1"/>
  <c r="D1322" i="1"/>
  <c r="C1322" i="1"/>
  <c r="T1321" i="1"/>
  <c r="S1321" i="1"/>
  <c r="Q1321" i="1"/>
  <c r="R1321" i="1" s="1"/>
  <c r="P1321" i="1"/>
  <c r="O1321" i="1"/>
  <c r="N1321" i="1"/>
  <c r="K1321" i="1"/>
  <c r="J1321" i="1"/>
  <c r="D1321" i="1"/>
  <c r="C1321" i="1"/>
  <c r="T1320" i="1"/>
  <c r="S1320" i="1"/>
  <c r="Q1320" i="1"/>
  <c r="R1320" i="1" s="1"/>
  <c r="P1320" i="1"/>
  <c r="O1320" i="1"/>
  <c r="N1320" i="1"/>
  <c r="K1320" i="1"/>
  <c r="J1320" i="1"/>
  <c r="D1320" i="1"/>
  <c r="C1320" i="1"/>
  <c r="T1319" i="1"/>
  <c r="S1319" i="1"/>
  <c r="Q1319" i="1"/>
  <c r="R1319" i="1" s="1"/>
  <c r="P1319" i="1"/>
  <c r="O1319" i="1"/>
  <c r="N1319" i="1"/>
  <c r="K1319" i="1"/>
  <c r="J1319" i="1"/>
  <c r="D1319" i="1"/>
  <c r="C1319" i="1"/>
  <c r="T1318" i="1"/>
  <c r="S1318" i="1"/>
  <c r="R1318" i="1"/>
  <c r="Q1318" i="1"/>
  <c r="P1318" i="1"/>
  <c r="O1318" i="1"/>
  <c r="N1318" i="1"/>
  <c r="K1318" i="1"/>
  <c r="J1318" i="1"/>
  <c r="D1318" i="1"/>
  <c r="C1318" i="1"/>
  <c r="T1317" i="1"/>
  <c r="S1317" i="1"/>
  <c r="Q1317" i="1"/>
  <c r="R1317" i="1" s="1"/>
  <c r="P1317" i="1"/>
  <c r="O1317" i="1"/>
  <c r="N1317" i="1"/>
  <c r="K1317" i="1"/>
  <c r="J1317" i="1"/>
  <c r="D1317" i="1"/>
  <c r="C1317" i="1"/>
  <c r="T1316" i="1"/>
  <c r="S1316" i="1"/>
  <c r="Q1316" i="1"/>
  <c r="R1316" i="1" s="1"/>
  <c r="P1316" i="1"/>
  <c r="O1316" i="1"/>
  <c r="N1316" i="1"/>
  <c r="K1316" i="1"/>
  <c r="J1316" i="1"/>
  <c r="D1316" i="1"/>
  <c r="C1316" i="1"/>
  <c r="T1315" i="1"/>
  <c r="S1315" i="1"/>
  <c r="Q1315" i="1"/>
  <c r="R1315" i="1" s="1"/>
  <c r="P1315" i="1"/>
  <c r="O1315" i="1"/>
  <c r="N1315" i="1"/>
  <c r="K1315" i="1"/>
  <c r="J1315" i="1"/>
  <c r="D1315" i="1"/>
  <c r="C1315" i="1"/>
  <c r="T1314" i="1"/>
  <c r="S1314" i="1"/>
  <c r="R1314" i="1"/>
  <c r="Q1314" i="1"/>
  <c r="P1314" i="1"/>
  <c r="O1314" i="1"/>
  <c r="N1314" i="1"/>
  <c r="K1314" i="1"/>
  <c r="J1314" i="1"/>
  <c r="L1314" i="1" s="1"/>
  <c r="D1314" i="1"/>
  <c r="C1314" i="1"/>
  <c r="T1313" i="1"/>
  <c r="S1313" i="1"/>
  <c r="Q1313" i="1"/>
  <c r="R1313" i="1" s="1"/>
  <c r="P1313" i="1"/>
  <c r="O1313" i="1"/>
  <c r="N1313" i="1"/>
  <c r="K1313" i="1"/>
  <c r="J1313" i="1"/>
  <c r="D1313" i="1"/>
  <c r="C1313" i="1"/>
  <c r="T1312" i="1"/>
  <c r="S1312" i="1"/>
  <c r="Q1312" i="1"/>
  <c r="R1312" i="1" s="1"/>
  <c r="P1312" i="1"/>
  <c r="O1312" i="1"/>
  <c r="N1312" i="1"/>
  <c r="K1312" i="1"/>
  <c r="J1312" i="1"/>
  <c r="D1312" i="1"/>
  <c r="C1312" i="1"/>
  <c r="T1311" i="1"/>
  <c r="S1311" i="1"/>
  <c r="Q1311" i="1"/>
  <c r="R1311" i="1" s="1"/>
  <c r="P1311" i="1"/>
  <c r="O1311" i="1"/>
  <c r="N1311" i="1"/>
  <c r="K1311" i="1"/>
  <c r="J1311" i="1"/>
  <c r="D1311" i="1"/>
  <c r="C1311" i="1"/>
  <c r="T1310" i="1"/>
  <c r="S1310" i="1"/>
  <c r="Q1310" i="1"/>
  <c r="R1310" i="1" s="1"/>
  <c r="P1310" i="1"/>
  <c r="O1310" i="1"/>
  <c r="N1310" i="1"/>
  <c r="K1310" i="1"/>
  <c r="J1310" i="1"/>
  <c r="D1310" i="1"/>
  <c r="C1310" i="1"/>
  <c r="T1309" i="1"/>
  <c r="S1309" i="1"/>
  <c r="R1309" i="1"/>
  <c r="Q1309" i="1"/>
  <c r="P1309" i="1"/>
  <c r="O1309" i="1"/>
  <c r="N1309" i="1"/>
  <c r="K1309" i="1"/>
  <c r="J1309" i="1"/>
  <c r="D1309" i="1"/>
  <c r="C1309" i="1"/>
  <c r="T1308" i="1"/>
  <c r="S1308" i="1"/>
  <c r="Q1308" i="1"/>
  <c r="R1308" i="1" s="1"/>
  <c r="P1308" i="1"/>
  <c r="O1308" i="1"/>
  <c r="N1308" i="1"/>
  <c r="K1308" i="1"/>
  <c r="J1308" i="1"/>
  <c r="D1308" i="1"/>
  <c r="C1308" i="1"/>
  <c r="T1307" i="1"/>
  <c r="S1307" i="1"/>
  <c r="Q1307" i="1"/>
  <c r="R1307" i="1" s="1"/>
  <c r="P1307" i="1"/>
  <c r="O1307" i="1"/>
  <c r="N1307" i="1"/>
  <c r="K1307" i="1"/>
  <c r="J1307" i="1"/>
  <c r="D1307" i="1"/>
  <c r="C1307" i="1"/>
  <c r="T1306" i="1"/>
  <c r="S1306" i="1"/>
  <c r="Q1306" i="1"/>
  <c r="R1306" i="1" s="1"/>
  <c r="P1306" i="1"/>
  <c r="O1306" i="1"/>
  <c r="N1306" i="1"/>
  <c r="K1306" i="1"/>
  <c r="J1306" i="1"/>
  <c r="D1306" i="1"/>
  <c r="C1306" i="1"/>
  <c r="T1305" i="1"/>
  <c r="S1305" i="1"/>
  <c r="Q1305" i="1"/>
  <c r="R1305" i="1" s="1"/>
  <c r="P1305" i="1"/>
  <c r="O1305" i="1"/>
  <c r="N1305" i="1"/>
  <c r="K1305" i="1"/>
  <c r="J1305" i="1"/>
  <c r="D1305" i="1"/>
  <c r="C1305" i="1"/>
  <c r="T1304" i="1"/>
  <c r="S1304" i="1"/>
  <c r="Q1304" i="1"/>
  <c r="R1304" i="1" s="1"/>
  <c r="P1304" i="1"/>
  <c r="O1304" i="1"/>
  <c r="N1304" i="1"/>
  <c r="K1304" i="1"/>
  <c r="J1304" i="1"/>
  <c r="D1304" i="1"/>
  <c r="C1304" i="1"/>
  <c r="T1303" i="1"/>
  <c r="S1303" i="1"/>
  <c r="Q1303" i="1"/>
  <c r="R1303" i="1" s="1"/>
  <c r="P1303" i="1"/>
  <c r="O1303" i="1"/>
  <c r="N1303" i="1"/>
  <c r="K1303" i="1"/>
  <c r="J1303" i="1"/>
  <c r="D1303" i="1"/>
  <c r="C1303" i="1"/>
  <c r="T1302" i="1"/>
  <c r="S1302" i="1"/>
  <c r="Q1302" i="1"/>
  <c r="R1302" i="1" s="1"/>
  <c r="P1302" i="1"/>
  <c r="O1302" i="1"/>
  <c r="N1302" i="1"/>
  <c r="K1302" i="1"/>
  <c r="J1302" i="1"/>
  <c r="D1302" i="1"/>
  <c r="C1302" i="1"/>
  <c r="T1301" i="1"/>
  <c r="S1301" i="1"/>
  <c r="Q1301" i="1"/>
  <c r="R1301" i="1" s="1"/>
  <c r="P1301" i="1"/>
  <c r="O1301" i="1"/>
  <c r="N1301" i="1"/>
  <c r="K1301" i="1"/>
  <c r="J1301" i="1"/>
  <c r="D1301" i="1"/>
  <c r="C1301" i="1"/>
  <c r="T1300" i="1"/>
  <c r="S1300" i="1"/>
  <c r="Q1300" i="1"/>
  <c r="R1300" i="1" s="1"/>
  <c r="P1300" i="1"/>
  <c r="O1300" i="1"/>
  <c r="N1300" i="1"/>
  <c r="K1300" i="1"/>
  <c r="J1300" i="1"/>
  <c r="D1300" i="1"/>
  <c r="C1300" i="1"/>
  <c r="T1299" i="1"/>
  <c r="S1299" i="1"/>
  <c r="Q1299" i="1"/>
  <c r="R1299" i="1" s="1"/>
  <c r="P1299" i="1"/>
  <c r="O1299" i="1"/>
  <c r="N1299" i="1"/>
  <c r="K1299" i="1"/>
  <c r="J1299" i="1"/>
  <c r="D1299" i="1"/>
  <c r="C1299" i="1"/>
  <c r="T1298" i="1"/>
  <c r="S1298" i="1"/>
  <c r="Q1298" i="1"/>
  <c r="R1298" i="1" s="1"/>
  <c r="P1298" i="1"/>
  <c r="O1298" i="1"/>
  <c r="N1298" i="1"/>
  <c r="K1298" i="1"/>
  <c r="J1298" i="1"/>
  <c r="L1298" i="1" s="1"/>
  <c r="D1298" i="1"/>
  <c r="C1298" i="1"/>
  <c r="T1297" i="1"/>
  <c r="S1297" i="1"/>
  <c r="Q1297" i="1"/>
  <c r="R1297" i="1" s="1"/>
  <c r="P1297" i="1"/>
  <c r="O1297" i="1"/>
  <c r="N1297" i="1"/>
  <c r="K1297" i="1"/>
  <c r="J1297" i="1"/>
  <c r="D1297" i="1"/>
  <c r="C1297" i="1"/>
  <c r="T1296" i="1"/>
  <c r="S1296" i="1"/>
  <c r="Q1296" i="1"/>
  <c r="R1296" i="1" s="1"/>
  <c r="P1296" i="1"/>
  <c r="O1296" i="1"/>
  <c r="N1296" i="1"/>
  <c r="K1296" i="1"/>
  <c r="J1296" i="1"/>
  <c r="D1296" i="1"/>
  <c r="C1296" i="1"/>
  <c r="T1295" i="1"/>
  <c r="S1295" i="1"/>
  <c r="Q1295" i="1"/>
  <c r="R1295" i="1" s="1"/>
  <c r="P1295" i="1"/>
  <c r="O1295" i="1"/>
  <c r="N1295" i="1"/>
  <c r="K1295" i="1"/>
  <c r="J1295" i="1"/>
  <c r="D1295" i="1"/>
  <c r="C1295" i="1"/>
  <c r="T1294" i="1"/>
  <c r="S1294" i="1"/>
  <c r="Q1294" i="1"/>
  <c r="R1294" i="1" s="1"/>
  <c r="P1294" i="1"/>
  <c r="O1294" i="1"/>
  <c r="N1294" i="1"/>
  <c r="K1294" i="1"/>
  <c r="J1294" i="1"/>
  <c r="D1294" i="1"/>
  <c r="C1294" i="1"/>
  <c r="T1293" i="1"/>
  <c r="S1293" i="1"/>
  <c r="Q1293" i="1"/>
  <c r="R1293" i="1" s="1"/>
  <c r="P1293" i="1"/>
  <c r="O1293" i="1"/>
  <c r="N1293" i="1"/>
  <c r="K1293" i="1"/>
  <c r="J1293" i="1"/>
  <c r="D1293" i="1"/>
  <c r="C1293" i="1"/>
  <c r="T1292" i="1"/>
  <c r="S1292" i="1"/>
  <c r="R1292" i="1"/>
  <c r="Q1292" i="1"/>
  <c r="P1292" i="1"/>
  <c r="O1292" i="1"/>
  <c r="N1292" i="1"/>
  <c r="K1292" i="1"/>
  <c r="J1292" i="1"/>
  <c r="D1292" i="1"/>
  <c r="C1292" i="1"/>
  <c r="T1291" i="1"/>
  <c r="S1291" i="1"/>
  <c r="Q1291" i="1"/>
  <c r="R1291" i="1" s="1"/>
  <c r="P1291" i="1"/>
  <c r="O1291" i="1"/>
  <c r="N1291" i="1"/>
  <c r="K1291" i="1"/>
  <c r="J1291" i="1"/>
  <c r="D1291" i="1"/>
  <c r="C1291" i="1"/>
  <c r="T1290" i="1"/>
  <c r="S1290" i="1"/>
  <c r="Q1290" i="1"/>
  <c r="R1290" i="1" s="1"/>
  <c r="P1290" i="1"/>
  <c r="O1290" i="1"/>
  <c r="N1290" i="1"/>
  <c r="K1290" i="1"/>
  <c r="J1290" i="1"/>
  <c r="D1290" i="1"/>
  <c r="C1290" i="1"/>
  <c r="T1289" i="1"/>
  <c r="S1289" i="1"/>
  <c r="Q1289" i="1"/>
  <c r="R1289" i="1" s="1"/>
  <c r="P1289" i="1"/>
  <c r="O1289" i="1"/>
  <c r="N1289" i="1"/>
  <c r="K1289" i="1"/>
  <c r="J1289" i="1"/>
  <c r="D1289" i="1"/>
  <c r="C1289" i="1"/>
  <c r="T1288" i="1"/>
  <c r="S1288" i="1"/>
  <c r="Q1288" i="1"/>
  <c r="R1288" i="1" s="1"/>
  <c r="P1288" i="1"/>
  <c r="O1288" i="1"/>
  <c r="N1288" i="1"/>
  <c r="K1288" i="1"/>
  <c r="J1288" i="1"/>
  <c r="D1288" i="1"/>
  <c r="C1288" i="1"/>
  <c r="T1287" i="1"/>
  <c r="S1287" i="1"/>
  <c r="Q1287" i="1"/>
  <c r="R1287" i="1" s="1"/>
  <c r="P1287" i="1"/>
  <c r="O1287" i="1"/>
  <c r="N1287" i="1"/>
  <c r="K1287" i="1"/>
  <c r="J1287" i="1"/>
  <c r="D1287" i="1"/>
  <c r="C1287" i="1"/>
  <c r="T1286" i="1"/>
  <c r="S1286" i="1"/>
  <c r="Q1286" i="1"/>
  <c r="R1286" i="1" s="1"/>
  <c r="P1286" i="1"/>
  <c r="O1286" i="1"/>
  <c r="N1286" i="1"/>
  <c r="K1286" i="1"/>
  <c r="J1286" i="1"/>
  <c r="D1286" i="1"/>
  <c r="C1286" i="1"/>
  <c r="T1285" i="1"/>
  <c r="S1285" i="1"/>
  <c r="Q1285" i="1"/>
  <c r="R1285" i="1" s="1"/>
  <c r="P1285" i="1"/>
  <c r="O1285" i="1"/>
  <c r="N1285" i="1"/>
  <c r="K1285" i="1"/>
  <c r="J1285" i="1"/>
  <c r="D1285" i="1"/>
  <c r="C1285" i="1"/>
  <c r="T1284" i="1"/>
  <c r="S1284" i="1"/>
  <c r="Q1284" i="1"/>
  <c r="R1284" i="1" s="1"/>
  <c r="P1284" i="1"/>
  <c r="O1284" i="1"/>
  <c r="N1284" i="1"/>
  <c r="K1284" i="1"/>
  <c r="J1284" i="1"/>
  <c r="L1284" i="1" s="1"/>
  <c r="D1284" i="1"/>
  <c r="C1284" i="1"/>
  <c r="T1283" i="1"/>
  <c r="S1283" i="1"/>
  <c r="Q1283" i="1"/>
  <c r="R1283" i="1" s="1"/>
  <c r="P1283" i="1"/>
  <c r="O1283" i="1"/>
  <c r="N1283" i="1"/>
  <c r="K1283" i="1"/>
  <c r="J1283" i="1"/>
  <c r="D1283" i="1"/>
  <c r="C1283" i="1"/>
  <c r="T1282" i="1"/>
  <c r="S1282" i="1"/>
  <c r="Q1282" i="1"/>
  <c r="R1282" i="1" s="1"/>
  <c r="P1282" i="1"/>
  <c r="O1282" i="1"/>
  <c r="N1282" i="1"/>
  <c r="K1282" i="1"/>
  <c r="J1282" i="1"/>
  <c r="D1282" i="1"/>
  <c r="C1282" i="1"/>
  <c r="T1281" i="1"/>
  <c r="S1281" i="1"/>
  <c r="Q1281" i="1"/>
  <c r="R1281" i="1" s="1"/>
  <c r="P1281" i="1"/>
  <c r="O1281" i="1"/>
  <c r="N1281" i="1"/>
  <c r="K1281" i="1"/>
  <c r="J1281" i="1"/>
  <c r="D1281" i="1"/>
  <c r="C1281" i="1"/>
  <c r="T1280" i="1"/>
  <c r="S1280" i="1"/>
  <c r="Q1280" i="1"/>
  <c r="R1280" i="1" s="1"/>
  <c r="P1280" i="1"/>
  <c r="O1280" i="1"/>
  <c r="N1280" i="1"/>
  <c r="K1280" i="1"/>
  <c r="J1280" i="1"/>
  <c r="D1280" i="1"/>
  <c r="C1280" i="1"/>
  <c r="T1279" i="1"/>
  <c r="S1279" i="1"/>
  <c r="R1279" i="1"/>
  <c r="Q1279" i="1"/>
  <c r="P1279" i="1"/>
  <c r="O1279" i="1"/>
  <c r="N1279" i="1"/>
  <c r="K1279" i="1"/>
  <c r="J1279" i="1"/>
  <c r="L1279" i="1" s="1"/>
  <c r="D1279" i="1"/>
  <c r="C1279" i="1"/>
  <c r="T1278" i="1"/>
  <c r="S1278" i="1"/>
  <c r="Q1278" i="1"/>
  <c r="R1278" i="1" s="1"/>
  <c r="P1278" i="1"/>
  <c r="O1278" i="1"/>
  <c r="N1278" i="1"/>
  <c r="K1278" i="1"/>
  <c r="J1278" i="1"/>
  <c r="D1278" i="1"/>
  <c r="C1278" i="1"/>
  <c r="T1277" i="1"/>
  <c r="S1277" i="1"/>
  <c r="Q1277" i="1"/>
  <c r="R1277" i="1" s="1"/>
  <c r="P1277" i="1"/>
  <c r="O1277" i="1"/>
  <c r="N1277" i="1"/>
  <c r="K1277" i="1"/>
  <c r="J1277" i="1"/>
  <c r="D1277" i="1"/>
  <c r="C1277" i="1"/>
  <c r="T1276" i="1"/>
  <c r="S1276" i="1"/>
  <c r="Q1276" i="1"/>
  <c r="R1276" i="1" s="1"/>
  <c r="P1276" i="1"/>
  <c r="O1276" i="1"/>
  <c r="N1276" i="1"/>
  <c r="K1276" i="1"/>
  <c r="J1276" i="1"/>
  <c r="D1276" i="1"/>
  <c r="C1276" i="1"/>
  <c r="T1275" i="1"/>
  <c r="S1275" i="1"/>
  <c r="Q1275" i="1"/>
  <c r="R1275" i="1" s="1"/>
  <c r="P1275" i="1"/>
  <c r="O1275" i="1"/>
  <c r="N1275" i="1"/>
  <c r="K1275" i="1"/>
  <c r="J1275" i="1"/>
  <c r="L1275" i="1" s="1"/>
  <c r="D1275" i="1"/>
  <c r="C1275" i="1"/>
  <c r="T1274" i="1"/>
  <c r="S1274" i="1"/>
  <c r="Q1274" i="1"/>
  <c r="R1274" i="1" s="1"/>
  <c r="P1274" i="1"/>
  <c r="O1274" i="1"/>
  <c r="N1274" i="1"/>
  <c r="K1274" i="1"/>
  <c r="J1274" i="1"/>
  <c r="D1274" i="1"/>
  <c r="C1274" i="1"/>
  <c r="T1273" i="1"/>
  <c r="S1273" i="1"/>
  <c r="Q1273" i="1"/>
  <c r="R1273" i="1" s="1"/>
  <c r="P1273" i="1"/>
  <c r="O1273" i="1"/>
  <c r="N1273" i="1"/>
  <c r="K1273" i="1"/>
  <c r="J1273" i="1"/>
  <c r="D1273" i="1"/>
  <c r="C1273" i="1"/>
  <c r="T1272" i="1"/>
  <c r="S1272" i="1"/>
  <c r="Q1272" i="1"/>
  <c r="R1272" i="1" s="1"/>
  <c r="P1272" i="1"/>
  <c r="O1272" i="1"/>
  <c r="N1272" i="1"/>
  <c r="K1272" i="1"/>
  <c r="J1272" i="1"/>
  <c r="D1272" i="1"/>
  <c r="C1272" i="1"/>
  <c r="T1271" i="1"/>
  <c r="S1271" i="1"/>
  <c r="Q1271" i="1"/>
  <c r="R1271" i="1" s="1"/>
  <c r="P1271" i="1"/>
  <c r="O1271" i="1"/>
  <c r="N1271" i="1"/>
  <c r="K1271" i="1"/>
  <c r="J1271" i="1"/>
  <c r="D1271" i="1"/>
  <c r="C1271" i="1"/>
  <c r="T1270" i="1"/>
  <c r="S1270" i="1"/>
  <c r="Q1270" i="1"/>
  <c r="R1270" i="1" s="1"/>
  <c r="P1270" i="1"/>
  <c r="O1270" i="1"/>
  <c r="N1270" i="1"/>
  <c r="K1270" i="1"/>
  <c r="J1270" i="1"/>
  <c r="D1270" i="1"/>
  <c r="C1270" i="1"/>
  <c r="T1269" i="1"/>
  <c r="S1269" i="1"/>
  <c r="Q1269" i="1"/>
  <c r="R1269" i="1" s="1"/>
  <c r="P1269" i="1"/>
  <c r="O1269" i="1"/>
  <c r="N1269" i="1"/>
  <c r="K1269" i="1"/>
  <c r="J1269" i="1"/>
  <c r="D1269" i="1"/>
  <c r="C1269" i="1"/>
  <c r="T1268" i="1"/>
  <c r="S1268" i="1"/>
  <c r="Q1268" i="1"/>
  <c r="R1268" i="1" s="1"/>
  <c r="P1268" i="1"/>
  <c r="O1268" i="1"/>
  <c r="N1268" i="1"/>
  <c r="K1268" i="1"/>
  <c r="J1268" i="1"/>
  <c r="D1268" i="1"/>
  <c r="C1268" i="1"/>
  <c r="T1267" i="1"/>
  <c r="S1267" i="1"/>
  <c r="Q1267" i="1"/>
  <c r="R1267" i="1" s="1"/>
  <c r="P1267" i="1"/>
  <c r="O1267" i="1"/>
  <c r="N1267" i="1"/>
  <c r="K1267" i="1"/>
  <c r="J1267" i="1"/>
  <c r="D1267" i="1"/>
  <c r="C1267" i="1"/>
  <c r="T1266" i="1"/>
  <c r="S1266" i="1"/>
  <c r="Q1266" i="1"/>
  <c r="R1266" i="1" s="1"/>
  <c r="P1266" i="1"/>
  <c r="O1266" i="1"/>
  <c r="N1266" i="1"/>
  <c r="K1266" i="1"/>
  <c r="J1266" i="1"/>
  <c r="D1266" i="1"/>
  <c r="C1266" i="1"/>
  <c r="T1265" i="1"/>
  <c r="S1265" i="1"/>
  <c r="R1265" i="1"/>
  <c r="Q1265" i="1"/>
  <c r="P1265" i="1"/>
  <c r="O1265" i="1"/>
  <c r="N1265" i="1"/>
  <c r="K1265" i="1"/>
  <c r="J1265" i="1"/>
  <c r="D1265" i="1"/>
  <c r="C1265" i="1"/>
  <c r="T1264" i="1"/>
  <c r="S1264" i="1"/>
  <c r="Q1264" i="1"/>
  <c r="R1264" i="1" s="1"/>
  <c r="P1264" i="1"/>
  <c r="O1264" i="1"/>
  <c r="N1264" i="1"/>
  <c r="K1264" i="1"/>
  <c r="J1264" i="1"/>
  <c r="D1264" i="1"/>
  <c r="C1264" i="1"/>
  <c r="T1263" i="1"/>
  <c r="S1263" i="1"/>
  <c r="R1263" i="1"/>
  <c r="Q1263" i="1"/>
  <c r="P1263" i="1"/>
  <c r="O1263" i="1"/>
  <c r="N1263" i="1"/>
  <c r="K1263" i="1"/>
  <c r="J1263" i="1"/>
  <c r="L1263" i="1" s="1"/>
  <c r="D1263" i="1"/>
  <c r="C1263" i="1"/>
  <c r="T1262" i="1"/>
  <c r="S1262" i="1"/>
  <c r="Q1262" i="1"/>
  <c r="R1262" i="1" s="1"/>
  <c r="P1262" i="1"/>
  <c r="O1262" i="1"/>
  <c r="N1262" i="1"/>
  <c r="K1262" i="1"/>
  <c r="J1262" i="1"/>
  <c r="D1262" i="1"/>
  <c r="C1262" i="1"/>
  <c r="T1261" i="1"/>
  <c r="S1261" i="1"/>
  <c r="Q1261" i="1"/>
  <c r="R1261" i="1" s="1"/>
  <c r="P1261" i="1"/>
  <c r="O1261" i="1"/>
  <c r="N1261" i="1"/>
  <c r="K1261" i="1"/>
  <c r="J1261" i="1"/>
  <c r="L1261" i="1" s="1"/>
  <c r="D1261" i="1"/>
  <c r="C1261" i="1"/>
  <c r="T1260" i="1"/>
  <c r="S1260" i="1"/>
  <c r="Q1260" i="1"/>
  <c r="R1260" i="1" s="1"/>
  <c r="P1260" i="1"/>
  <c r="O1260" i="1"/>
  <c r="N1260" i="1"/>
  <c r="K1260" i="1"/>
  <c r="J1260" i="1"/>
  <c r="D1260" i="1"/>
  <c r="C1260" i="1"/>
  <c r="T1259" i="1"/>
  <c r="S1259" i="1"/>
  <c r="Q1259" i="1"/>
  <c r="R1259" i="1" s="1"/>
  <c r="P1259" i="1"/>
  <c r="O1259" i="1"/>
  <c r="N1259" i="1"/>
  <c r="K1259" i="1"/>
  <c r="J1259" i="1"/>
  <c r="D1259" i="1"/>
  <c r="C1259" i="1"/>
  <c r="T1258" i="1"/>
  <c r="S1258" i="1"/>
  <c r="Q1258" i="1"/>
  <c r="R1258" i="1" s="1"/>
  <c r="P1258" i="1"/>
  <c r="O1258" i="1"/>
  <c r="N1258" i="1"/>
  <c r="K1258" i="1"/>
  <c r="J1258" i="1"/>
  <c r="D1258" i="1"/>
  <c r="C1258" i="1"/>
  <c r="T1257" i="1"/>
  <c r="S1257" i="1"/>
  <c r="Q1257" i="1"/>
  <c r="R1257" i="1" s="1"/>
  <c r="P1257" i="1"/>
  <c r="O1257" i="1"/>
  <c r="N1257" i="1"/>
  <c r="K1257" i="1"/>
  <c r="J1257" i="1"/>
  <c r="D1257" i="1"/>
  <c r="C1257" i="1"/>
  <c r="T1256" i="1"/>
  <c r="S1256" i="1"/>
  <c r="Q1256" i="1"/>
  <c r="R1256" i="1" s="1"/>
  <c r="P1256" i="1"/>
  <c r="O1256" i="1"/>
  <c r="N1256" i="1"/>
  <c r="K1256" i="1"/>
  <c r="J1256" i="1"/>
  <c r="D1256" i="1"/>
  <c r="C1256" i="1"/>
  <c r="T1255" i="1"/>
  <c r="S1255" i="1"/>
  <c r="Q1255" i="1"/>
  <c r="R1255" i="1" s="1"/>
  <c r="P1255" i="1"/>
  <c r="O1255" i="1"/>
  <c r="N1255" i="1"/>
  <c r="K1255" i="1"/>
  <c r="J1255" i="1"/>
  <c r="L1255" i="1" s="1"/>
  <c r="D1255" i="1"/>
  <c r="C1255" i="1"/>
  <c r="T1254" i="1"/>
  <c r="S1254" i="1"/>
  <c r="Q1254" i="1"/>
  <c r="R1254" i="1" s="1"/>
  <c r="P1254" i="1"/>
  <c r="O1254" i="1"/>
  <c r="N1254" i="1"/>
  <c r="K1254" i="1"/>
  <c r="J1254" i="1"/>
  <c r="D1254" i="1"/>
  <c r="C1254" i="1"/>
  <c r="T1253" i="1"/>
  <c r="S1253" i="1"/>
  <c r="Q1253" i="1"/>
  <c r="R1253" i="1" s="1"/>
  <c r="P1253" i="1"/>
  <c r="O1253" i="1"/>
  <c r="N1253" i="1"/>
  <c r="K1253" i="1"/>
  <c r="J1253" i="1"/>
  <c r="L1253" i="1" s="1"/>
  <c r="D1253" i="1"/>
  <c r="C1253" i="1"/>
  <c r="T1252" i="1"/>
  <c r="S1252" i="1"/>
  <c r="Q1252" i="1"/>
  <c r="R1252" i="1" s="1"/>
  <c r="P1252" i="1"/>
  <c r="O1252" i="1"/>
  <c r="N1252" i="1"/>
  <c r="K1252" i="1"/>
  <c r="J1252" i="1"/>
  <c r="D1252" i="1"/>
  <c r="C1252" i="1"/>
  <c r="T1251" i="1"/>
  <c r="S1251" i="1"/>
  <c r="Q1251" i="1"/>
  <c r="R1251" i="1" s="1"/>
  <c r="P1251" i="1"/>
  <c r="O1251" i="1"/>
  <c r="N1251" i="1"/>
  <c r="K1251" i="1"/>
  <c r="J1251" i="1"/>
  <c r="D1251" i="1"/>
  <c r="C1251" i="1"/>
  <c r="T1250" i="1"/>
  <c r="S1250" i="1"/>
  <c r="Q1250" i="1"/>
  <c r="R1250" i="1" s="1"/>
  <c r="P1250" i="1"/>
  <c r="O1250" i="1"/>
  <c r="N1250" i="1"/>
  <c r="K1250" i="1"/>
  <c r="J1250" i="1"/>
  <c r="D1250" i="1"/>
  <c r="C1250" i="1"/>
  <c r="T1249" i="1"/>
  <c r="S1249" i="1"/>
  <c r="Q1249" i="1"/>
  <c r="R1249" i="1" s="1"/>
  <c r="P1249" i="1"/>
  <c r="O1249" i="1"/>
  <c r="N1249" i="1"/>
  <c r="K1249" i="1"/>
  <c r="J1249" i="1"/>
  <c r="D1249" i="1"/>
  <c r="C1249" i="1"/>
  <c r="T1248" i="1"/>
  <c r="S1248" i="1"/>
  <c r="Q1248" i="1"/>
  <c r="R1248" i="1" s="1"/>
  <c r="P1248" i="1"/>
  <c r="O1248" i="1"/>
  <c r="N1248" i="1"/>
  <c r="K1248" i="1"/>
  <c r="J1248" i="1"/>
  <c r="D1248" i="1"/>
  <c r="C1248" i="1"/>
  <c r="T1247" i="1"/>
  <c r="S1247" i="1"/>
  <c r="Q1247" i="1"/>
  <c r="R1247" i="1" s="1"/>
  <c r="P1247" i="1"/>
  <c r="O1247" i="1"/>
  <c r="N1247" i="1"/>
  <c r="K1247" i="1"/>
  <c r="J1247" i="1"/>
  <c r="D1247" i="1"/>
  <c r="C1247" i="1"/>
  <c r="T1246" i="1"/>
  <c r="S1246" i="1"/>
  <c r="Q1246" i="1"/>
  <c r="R1246" i="1" s="1"/>
  <c r="P1246" i="1"/>
  <c r="O1246" i="1"/>
  <c r="N1246" i="1"/>
  <c r="K1246" i="1"/>
  <c r="J1246" i="1"/>
  <c r="D1246" i="1"/>
  <c r="C1246" i="1"/>
  <c r="T1245" i="1"/>
  <c r="S1245" i="1"/>
  <c r="Q1245" i="1"/>
  <c r="R1245" i="1" s="1"/>
  <c r="P1245" i="1"/>
  <c r="O1245" i="1"/>
  <c r="N1245" i="1"/>
  <c r="K1245" i="1"/>
  <c r="J1245" i="1"/>
  <c r="D1245" i="1"/>
  <c r="C1245" i="1"/>
  <c r="T1244" i="1"/>
  <c r="S1244" i="1"/>
  <c r="Q1244" i="1"/>
  <c r="R1244" i="1" s="1"/>
  <c r="P1244" i="1"/>
  <c r="O1244" i="1"/>
  <c r="N1244" i="1"/>
  <c r="K1244" i="1"/>
  <c r="J1244" i="1"/>
  <c r="D1244" i="1"/>
  <c r="C1244" i="1"/>
  <c r="T1243" i="1"/>
  <c r="S1243" i="1"/>
  <c r="Q1243" i="1"/>
  <c r="R1243" i="1" s="1"/>
  <c r="P1243" i="1"/>
  <c r="O1243" i="1"/>
  <c r="N1243" i="1"/>
  <c r="K1243" i="1"/>
  <c r="J1243" i="1"/>
  <c r="D1243" i="1"/>
  <c r="C1243" i="1"/>
  <c r="T1242" i="1"/>
  <c r="S1242" i="1"/>
  <c r="Q1242" i="1"/>
  <c r="R1242" i="1" s="1"/>
  <c r="P1242" i="1"/>
  <c r="O1242" i="1"/>
  <c r="N1242" i="1"/>
  <c r="K1242" i="1"/>
  <c r="J1242" i="1"/>
  <c r="D1242" i="1"/>
  <c r="C1242" i="1"/>
  <c r="T1241" i="1"/>
  <c r="S1241" i="1"/>
  <c r="R1241" i="1"/>
  <c r="Q1241" i="1"/>
  <c r="P1241" i="1"/>
  <c r="O1241" i="1"/>
  <c r="N1241" i="1"/>
  <c r="K1241" i="1"/>
  <c r="J1241" i="1"/>
  <c r="D1241" i="1"/>
  <c r="C1241" i="1"/>
  <c r="T1240" i="1"/>
  <c r="S1240" i="1"/>
  <c r="Q1240" i="1"/>
  <c r="R1240" i="1" s="1"/>
  <c r="P1240" i="1"/>
  <c r="O1240" i="1"/>
  <c r="N1240" i="1"/>
  <c r="K1240" i="1"/>
  <c r="J1240" i="1"/>
  <c r="D1240" i="1"/>
  <c r="C1240" i="1"/>
  <c r="T1239" i="1"/>
  <c r="S1239" i="1"/>
  <c r="Q1239" i="1"/>
  <c r="R1239" i="1" s="1"/>
  <c r="P1239" i="1"/>
  <c r="O1239" i="1"/>
  <c r="N1239" i="1"/>
  <c r="K1239" i="1"/>
  <c r="J1239" i="1"/>
  <c r="D1239" i="1"/>
  <c r="C1239" i="1"/>
  <c r="T1238" i="1"/>
  <c r="S1238" i="1"/>
  <c r="Q1238" i="1"/>
  <c r="R1238" i="1" s="1"/>
  <c r="P1238" i="1"/>
  <c r="O1238" i="1"/>
  <c r="N1238" i="1"/>
  <c r="K1238" i="1"/>
  <c r="J1238" i="1"/>
  <c r="D1238" i="1"/>
  <c r="C1238" i="1"/>
  <c r="T1237" i="1"/>
  <c r="S1237" i="1"/>
  <c r="Q1237" i="1"/>
  <c r="R1237" i="1" s="1"/>
  <c r="P1237" i="1"/>
  <c r="O1237" i="1"/>
  <c r="N1237" i="1"/>
  <c r="K1237" i="1"/>
  <c r="J1237" i="1"/>
  <c r="D1237" i="1"/>
  <c r="C1237" i="1"/>
  <c r="T1236" i="1"/>
  <c r="S1236" i="1"/>
  <c r="Q1236" i="1"/>
  <c r="R1236" i="1" s="1"/>
  <c r="P1236" i="1"/>
  <c r="O1236" i="1"/>
  <c r="N1236" i="1"/>
  <c r="K1236" i="1"/>
  <c r="J1236" i="1"/>
  <c r="D1236" i="1"/>
  <c r="C1236" i="1"/>
  <c r="T1235" i="1"/>
  <c r="S1235" i="1"/>
  <c r="Q1235" i="1"/>
  <c r="R1235" i="1" s="1"/>
  <c r="P1235" i="1"/>
  <c r="O1235" i="1"/>
  <c r="N1235" i="1"/>
  <c r="K1235" i="1"/>
  <c r="J1235" i="1"/>
  <c r="D1235" i="1"/>
  <c r="C1235" i="1"/>
  <c r="T1234" i="1"/>
  <c r="S1234" i="1"/>
  <c r="Q1234" i="1"/>
  <c r="R1234" i="1" s="1"/>
  <c r="P1234" i="1"/>
  <c r="O1234" i="1"/>
  <c r="N1234" i="1"/>
  <c r="K1234" i="1"/>
  <c r="J1234" i="1"/>
  <c r="D1234" i="1"/>
  <c r="C1234" i="1"/>
  <c r="T1233" i="1"/>
  <c r="S1233" i="1"/>
  <c r="R1233" i="1"/>
  <c r="Q1233" i="1"/>
  <c r="P1233" i="1"/>
  <c r="O1233" i="1"/>
  <c r="N1233" i="1"/>
  <c r="K1233" i="1"/>
  <c r="J1233" i="1"/>
  <c r="D1233" i="1"/>
  <c r="C1233" i="1"/>
  <c r="T1232" i="1"/>
  <c r="S1232" i="1"/>
  <c r="Q1232" i="1"/>
  <c r="R1232" i="1" s="1"/>
  <c r="P1232" i="1"/>
  <c r="O1232" i="1"/>
  <c r="N1232" i="1"/>
  <c r="K1232" i="1"/>
  <c r="J1232" i="1"/>
  <c r="D1232" i="1"/>
  <c r="C1232" i="1"/>
  <c r="T1231" i="1"/>
  <c r="S1231" i="1"/>
  <c r="Q1231" i="1"/>
  <c r="R1231" i="1" s="1"/>
  <c r="P1231" i="1"/>
  <c r="O1231" i="1"/>
  <c r="N1231" i="1"/>
  <c r="K1231" i="1"/>
  <c r="J1231" i="1"/>
  <c r="L1231" i="1" s="1"/>
  <c r="D1231" i="1"/>
  <c r="C1231" i="1"/>
  <c r="T1230" i="1"/>
  <c r="S1230" i="1"/>
  <c r="Q1230" i="1"/>
  <c r="R1230" i="1" s="1"/>
  <c r="P1230" i="1"/>
  <c r="O1230" i="1"/>
  <c r="N1230" i="1"/>
  <c r="K1230" i="1"/>
  <c r="J1230" i="1"/>
  <c r="D1230" i="1"/>
  <c r="C1230" i="1"/>
  <c r="T1229" i="1"/>
  <c r="S1229" i="1"/>
  <c r="Q1229" i="1"/>
  <c r="R1229" i="1" s="1"/>
  <c r="P1229" i="1"/>
  <c r="O1229" i="1"/>
  <c r="N1229" i="1"/>
  <c r="K1229" i="1"/>
  <c r="J1229" i="1"/>
  <c r="L1229" i="1" s="1"/>
  <c r="D1229" i="1"/>
  <c r="C1229" i="1"/>
  <c r="T1228" i="1"/>
  <c r="S1228" i="1"/>
  <c r="Q1228" i="1"/>
  <c r="R1228" i="1" s="1"/>
  <c r="P1228" i="1"/>
  <c r="O1228" i="1"/>
  <c r="N1228" i="1"/>
  <c r="K1228" i="1"/>
  <c r="J1228" i="1"/>
  <c r="D1228" i="1"/>
  <c r="C1228" i="1"/>
  <c r="T1227" i="1"/>
  <c r="S1227" i="1"/>
  <c r="Q1227" i="1"/>
  <c r="R1227" i="1" s="1"/>
  <c r="P1227" i="1"/>
  <c r="O1227" i="1"/>
  <c r="N1227" i="1"/>
  <c r="K1227" i="1"/>
  <c r="J1227" i="1"/>
  <c r="D1227" i="1"/>
  <c r="C1227" i="1"/>
  <c r="T1226" i="1"/>
  <c r="S1226" i="1"/>
  <c r="Q1226" i="1"/>
  <c r="R1226" i="1" s="1"/>
  <c r="P1226" i="1"/>
  <c r="O1226" i="1"/>
  <c r="N1226" i="1"/>
  <c r="K1226" i="1"/>
  <c r="J1226" i="1"/>
  <c r="D1226" i="1"/>
  <c r="C1226" i="1"/>
  <c r="T1225" i="1"/>
  <c r="S1225" i="1"/>
  <c r="Q1225" i="1"/>
  <c r="R1225" i="1" s="1"/>
  <c r="P1225" i="1"/>
  <c r="O1225" i="1"/>
  <c r="N1225" i="1"/>
  <c r="K1225" i="1"/>
  <c r="J1225" i="1"/>
  <c r="L1225" i="1" s="1"/>
  <c r="D1225" i="1"/>
  <c r="C1225" i="1"/>
  <c r="T1224" i="1"/>
  <c r="S1224" i="1"/>
  <c r="Q1224" i="1"/>
  <c r="R1224" i="1" s="1"/>
  <c r="P1224" i="1"/>
  <c r="O1224" i="1"/>
  <c r="N1224" i="1"/>
  <c r="K1224" i="1"/>
  <c r="J1224" i="1"/>
  <c r="D1224" i="1"/>
  <c r="C1224" i="1"/>
  <c r="T1223" i="1"/>
  <c r="S1223" i="1"/>
  <c r="Q1223" i="1"/>
  <c r="R1223" i="1" s="1"/>
  <c r="P1223" i="1"/>
  <c r="O1223" i="1"/>
  <c r="N1223" i="1"/>
  <c r="K1223" i="1"/>
  <c r="J1223" i="1"/>
  <c r="L1223" i="1" s="1"/>
  <c r="D1223" i="1"/>
  <c r="C1223" i="1"/>
  <c r="T1222" i="1"/>
  <c r="S1222" i="1"/>
  <c r="Q1222" i="1"/>
  <c r="R1222" i="1" s="1"/>
  <c r="P1222" i="1"/>
  <c r="O1222" i="1"/>
  <c r="N1222" i="1"/>
  <c r="K1222" i="1"/>
  <c r="J1222" i="1"/>
  <c r="D1222" i="1"/>
  <c r="C1222" i="1"/>
  <c r="T1221" i="1"/>
  <c r="S1221" i="1"/>
  <c r="Q1221" i="1"/>
  <c r="R1221" i="1" s="1"/>
  <c r="P1221" i="1"/>
  <c r="O1221" i="1"/>
  <c r="N1221" i="1"/>
  <c r="K1221" i="1"/>
  <c r="J1221" i="1"/>
  <c r="L1221" i="1" s="1"/>
  <c r="D1221" i="1"/>
  <c r="C1221" i="1"/>
  <c r="T1220" i="1"/>
  <c r="S1220" i="1"/>
  <c r="Q1220" i="1"/>
  <c r="R1220" i="1" s="1"/>
  <c r="P1220" i="1"/>
  <c r="O1220" i="1"/>
  <c r="N1220" i="1"/>
  <c r="K1220" i="1"/>
  <c r="J1220" i="1"/>
  <c r="D1220" i="1"/>
  <c r="C1220" i="1"/>
  <c r="T1219" i="1"/>
  <c r="S1219" i="1"/>
  <c r="Q1219" i="1"/>
  <c r="R1219" i="1" s="1"/>
  <c r="P1219" i="1"/>
  <c r="O1219" i="1"/>
  <c r="N1219" i="1"/>
  <c r="K1219" i="1"/>
  <c r="J1219" i="1"/>
  <c r="D1219" i="1"/>
  <c r="C1219" i="1"/>
  <c r="T1218" i="1"/>
  <c r="S1218" i="1"/>
  <c r="Q1218" i="1"/>
  <c r="R1218" i="1" s="1"/>
  <c r="P1218" i="1"/>
  <c r="O1218" i="1"/>
  <c r="N1218" i="1"/>
  <c r="K1218" i="1"/>
  <c r="J1218" i="1"/>
  <c r="D1218" i="1"/>
  <c r="C1218" i="1"/>
  <c r="T1217" i="1"/>
  <c r="S1217" i="1"/>
  <c r="Q1217" i="1"/>
  <c r="R1217" i="1" s="1"/>
  <c r="P1217" i="1"/>
  <c r="O1217" i="1"/>
  <c r="N1217" i="1"/>
  <c r="K1217" i="1"/>
  <c r="J1217" i="1"/>
  <c r="D1217" i="1"/>
  <c r="C1217" i="1"/>
  <c r="T1216" i="1"/>
  <c r="S1216" i="1"/>
  <c r="Q1216" i="1"/>
  <c r="R1216" i="1" s="1"/>
  <c r="P1216" i="1"/>
  <c r="O1216" i="1"/>
  <c r="N1216" i="1"/>
  <c r="K1216" i="1"/>
  <c r="J1216" i="1"/>
  <c r="D1216" i="1"/>
  <c r="C1216" i="1"/>
  <c r="T1215" i="1"/>
  <c r="S1215" i="1"/>
  <c r="Q1215" i="1"/>
  <c r="R1215" i="1" s="1"/>
  <c r="P1215" i="1"/>
  <c r="O1215" i="1"/>
  <c r="N1215" i="1"/>
  <c r="K1215" i="1"/>
  <c r="J1215" i="1"/>
  <c r="D1215" i="1"/>
  <c r="C1215" i="1"/>
  <c r="T1214" i="1"/>
  <c r="S1214" i="1"/>
  <c r="Q1214" i="1"/>
  <c r="R1214" i="1" s="1"/>
  <c r="P1214" i="1"/>
  <c r="O1214" i="1"/>
  <c r="N1214" i="1"/>
  <c r="K1214" i="1"/>
  <c r="J1214" i="1"/>
  <c r="D1214" i="1"/>
  <c r="C1214" i="1"/>
  <c r="T1213" i="1"/>
  <c r="S1213" i="1"/>
  <c r="Q1213" i="1"/>
  <c r="R1213" i="1" s="1"/>
  <c r="P1213" i="1"/>
  <c r="O1213" i="1"/>
  <c r="N1213" i="1"/>
  <c r="K1213" i="1"/>
  <c r="J1213" i="1"/>
  <c r="D1213" i="1"/>
  <c r="C1213" i="1"/>
  <c r="T1212" i="1"/>
  <c r="S1212" i="1"/>
  <c r="Q1212" i="1"/>
  <c r="R1212" i="1" s="1"/>
  <c r="P1212" i="1"/>
  <c r="O1212" i="1"/>
  <c r="N1212" i="1"/>
  <c r="K1212" i="1"/>
  <c r="J1212" i="1"/>
  <c r="D1212" i="1"/>
  <c r="C1212" i="1"/>
  <c r="T1211" i="1"/>
  <c r="S1211" i="1"/>
  <c r="Q1211" i="1"/>
  <c r="R1211" i="1" s="1"/>
  <c r="P1211" i="1"/>
  <c r="O1211" i="1"/>
  <c r="N1211" i="1"/>
  <c r="K1211" i="1"/>
  <c r="J1211" i="1"/>
  <c r="D1211" i="1"/>
  <c r="C1211" i="1"/>
  <c r="T1210" i="1"/>
  <c r="S1210" i="1"/>
  <c r="Q1210" i="1"/>
  <c r="R1210" i="1" s="1"/>
  <c r="P1210" i="1"/>
  <c r="O1210" i="1"/>
  <c r="N1210" i="1"/>
  <c r="K1210" i="1"/>
  <c r="J1210" i="1"/>
  <c r="D1210" i="1"/>
  <c r="C1210" i="1"/>
  <c r="T1209" i="1"/>
  <c r="S1209" i="1"/>
  <c r="Q1209" i="1"/>
  <c r="R1209" i="1" s="1"/>
  <c r="P1209" i="1"/>
  <c r="O1209" i="1"/>
  <c r="N1209" i="1"/>
  <c r="K1209" i="1"/>
  <c r="J1209" i="1"/>
  <c r="D1209" i="1"/>
  <c r="C1209" i="1"/>
  <c r="T1208" i="1"/>
  <c r="S1208" i="1"/>
  <c r="Q1208" i="1"/>
  <c r="R1208" i="1" s="1"/>
  <c r="P1208" i="1"/>
  <c r="O1208" i="1"/>
  <c r="N1208" i="1"/>
  <c r="K1208" i="1"/>
  <c r="J1208" i="1"/>
  <c r="D1208" i="1"/>
  <c r="C1208" i="1"/>
  <c r="T1207" i="1"/>
  <c r="S1207" i="1"/>
  <c r="Q1207" i="1"/>
  <c r="R1207" i="1" s="1"/>
  <c r="P1207" i="1"/>
  <c r="O1207" i="1"/>
  <c r="N1207" i="1"/>
  <c r="K1207" i="1"/>
  <c r="J1207" i="1"/>
  <c r="D1207" i="1"/>
  <c r="C1207" i="1"/>
  <c r="T1206" i="1"/>
  <c r="S1206" i="1"/>
  <c r="Q1206" i="1"/>
  <c r="R1206" i="1" s="1"/>
  <c r="P1206" i="1"/>
  <c r="O1206" i="1"/>
  <c r="N1206" i="1"/>
  <c r="K1206" i="1"/>
  <c r="J1206" i="1"/>
  <c r="D1206" i="1"/>
  <c r="C1206" i="1"/>
  <c r="T1205" i="1"/>
  <c r="S1205" i="1"/>
  <c r="Q1205" i="1"/>
  <c r="R1205" i="1" s="1"/>
  <c r="P1205" i="1"/>
  <c r="O1205" i="1"/>
  <c r="N1205" i="1"/>
  <c r="K1205" i="1"/>
  <c r="J1205" i="1"/>
  <c r="D1205" i="1"/>
  <c r="C1205" i="1"/>
  <c r="T1204" i="1"/>
  <c r="S1204" i="1"/>
  <c r="Q1204" i="1"/>
  <c r="R1204" i="1" s="1"/>
  <c r="P1204" i="1"/>
  <c r="O1204" i="1"/>
  <c r="N1204" i="1"/>
  <c r="K1204" i="1"/>
  <c r="J1204" i="1"/>
  <c r="D1204" i="1"/>
  <c r="C1204" i="1"/>
  <c r="T1203" i="1"/>
  <c r="S1203" i="1"/>
  <c r="Q1203" i="1"/>
  <c r="R1203" i="1" s="1"/>
  <c r="P1203" i="1"/>
  <c r="O1203" i="1"/>
  <c r="N1203" i="1"/>
  <c r="K1203" i="1"/>
  <c r="J1203" i="1"/>
  <c r="D1203" i="1"/>
  <c r="C1203" i="1"/>
  <c r="T1202" i="1"/>
  <c r="S1202" i="1"/>
  <c r="Q1202" i="1"/>
  <c r="R1202" i="1" s="1"/>
  <c r="P1202" i="1"/>
  <c r="O1202" i="1"/>
  <c r="N1202" i="1"/>
  <c r="K1202" i="1"/>
  <c r="J1202" i="1"/>
  <c r="D1202" i="1"/>
  <c r="C1202" i="1"/>
  <c r="T1201" i="1"/>
  <c r="S1201" i="1"/>
  <c r="Q1201" i="1"/>
  <c r="R1201" i="1" s="1"/>
  <c r="P1201" i="1"/>
  <c r="O1201" i="1"/>
  <c r="N1201" i="1"/>
  <c r="K1201" i="1"/>
  <c r="J1201" i="1"/>
  <c r="D1201" i="1"/>
  <c r="C1201" i="1"/>
  <c r="T1200" i="1"/>
  <c r="S1200" i="1"/>
  <c r="Q1200" i="1"/>
  <c r="R1200" i="1" s="1"/>
  <c r="P1200" i="1"/>
  <c r="O1200" i="1"/>
  <c r="N1200" i="1"/>
  <c r="K1200" i="1"/>
  <c r="J1200" i="1"/>
  <c r="D1200" i="1"/>
  <c r="C1200" i="1"/>
  <c r="T1199" i="1"/>
  <c r="S1199" i="1"/>
  <c r="Q1199" i="1"/>
  <c r="R1199" i="1" s="1"/>
  <c r="P1199" i="1"/>
  <c r="O1199" i="1"/>
  <c r="N1199" i="1"/>
  <c r="K1199" i="1"/>
  <c r="J1199" i="1"/>
  <c r="D1199" i="1"/>
  <c r="C1199" i="1"/>
  <c r="T1198" i="1"/>
  <c r="S1198" i="1"/>
  <c r="Q1198" i="1"/>
  <c r="R1198" i="1" s="1"/>
  <c r="P1198" i="1"/>
  <c r="O1198" i="1"/>
  <c r="N1198" i="1"/>
  <c r="K1198" i="1"/>
  <c r="J1198" i="1"/>
  <c r="D1198" i="1"/>
  <c r="C1198" i="1"/>
  <c r="T1197" i="1"/>
  <c r="S1197" i="1"/>
  <c r="Q1197" i="1"/>
  <c r="R1197" i="1" s="1"/>
  <c r="P1197" i="1"/>
  <c r="O1197" i="1"/>
  <c r="N1197" i="1"/>
  <c r="K1197" i="1"/>
  <c r="J1197" i="1"/>
  <c r="L1197" i="1" s="1"/>
  <c r="D1197" i="1"/>
  <c r="C1197" i="1"/>
  <c r="T1196" i="1"/>
  <c r="S1196" i="1"/>
  <c r="Q1196" i="1"/>
  <c r="R1196" i="1" s="1"/>
  <c r="P1196" i="1"/>
  <c r="O1196" i="1"/>
  <c r="N1196" i="1"/>
  <c r="K1196" i="1"/>
  <c r="J1196" i="1"/>
  <c r="D1196" i="1"/>
  <c r="C1196" i="1"/>
  <c r="T1195" i="1"/>
  <c r="S1195" i="1"/>
  <c r="Q1195" i="1"/>
  <c r="R1195" i="1" s="1"/>
  <c r="P1195" i="1"/>
  <c r="O1195" i="1"/>
  <c r="N1195" i="1"/>
  <c r="K1195" i="1"/>
  <c r="J1195" i="1"/>
  <c r="L1195" i="1" s="1"/>
  <c r="D1195" i="1"/>
  <c r="C1195" i="1"/>
  <c r="T1194" i="1"/>
  <c r="S1194" i="1"/>
  <c r="Q1194" i="1"/>
  <c r="R1194" i="1" s="1"/>
  <c r="P1194" i="1"/>
  <c r="O1194" i="1"/>
  <c r="N1194" i="1"/>
  <c r="K1194" i="1"/>
  <c r="J1194" i="1"/>
  <c r="D1194" i="1"/>
  <c r="C1194" i="1"/>
  <c r="T1193" i="1"/>
  <c r="S1193" i="1"/>
  <c r="Q1193" i="1"/>
  <c r="R1193" i="1" s="1"/>
  <c r="P1193" i="1"/>
  <c r="O1193" i="1"/>
  <c r="N1193" i="1"/>
  <c r="K1193" i="1"/>
  <c r="J1193" i="1"/>
  <c r="L1193" i="1" s="1"/>
  <c r="D1193" i="1"/>
  <c r="C1193" i="1"/>
  <c r="T1192" i="1"/>
  <c r="S1192" i="1"/>
  <c r="Q1192" i="1"/>
  <c r="R1192" i="1" s="1"/>
  <c r="P1192" i="1"/>
  <c r="O1192" i="1"/>
  <c r="N1192" i="1"/>
  <c r="K1192" i="1"/>
  <c r="J1192" i="1"/>
  <c r="D1192" i="1"/>
  <c r="C1192" i="1"/>
  <c r="T1191" i="1"/>
  <c r="S1191" i="1"/>
  <c r="Q1191" i="1"/>
  <c r="R1191" i="1" s="1"/>
  <c r="P1191" i="1"/>
  <c r="O1191" i="1"/>
  <c r="N1191" i="1"/>
  <c r="K1191" i="1"/>
  <c r="J1191" i="1"/>
  <c r="D1191" i="1"/>
  <c r="C1191" i="1"/>
  <c r="T1190" i="1"/>
  <c r="S1190" i="1"/>
  <c r="Q1190" i="1"/>
  <c r="R1190" i="1" s="1"/>
  <c r="P1190" i="1"/>
  <c r="O1190" i="1"/>
  <c r="N1190" i="1"/>
  <c r="K1190" i="1"/>
  <c r="J1190" i="1"/>
  <c r="D1190" i="1"/>
  <c r="C1190" i="1"/>
  <c r="T1189" i="1"/>
  <c r="S1189" i="1"/>
  <c r="Q1189" i="1"/>
  <c r="R1189" i="1" s="1"/>
  <c r="P1189" i="1"/>
  <c r="O1189" i="1"/>
  <c r="N1189" i="1"/>
  <c r="K1189" i="1"/>
  <c r="J1189" i="1"/>
  <c r="L1189" i="1" s="1"/>
  <c r="D1189" i="1"/>
  <c r="C1189" i="1"/>
  <c r="T1188" i="1"/>
  <c r="S1188" i="1"/>
  <c r="Q1188" i="1"/>
  <c r="R1188" i="1" s="1"/>
  <c r="P1188" i="1"/>
  <c r="O1188" i="1"/>
  <c r="N1188" i="1"/>
  <c r="K1188" i="1"/>
  <c r="J1188" i="1"/>
  <c r="D1188" i="1"/>
  <c r="C1188" i="1"/>
  <c r="T1187" i="1"/>
  <c r="S1187" i="1"/>
  <c r="Q1187" i="1"/>
  <c r="R1187" i="1" s="1"/>
  <c r="P1187" i="1"/>
  <c r="O1187" i="1"/>
  <c r="N1187" i="1"/>
  <c r="K1187" i="1"/>
  <c r="J1187" i="1"/>
  <c r="L1187" i="1" s="1"/>
  <c r="D1187" i="1"/>
  <c r="C1187" i="1"/>
  <c r="T1186" i="1"/>
  <c r="S1186" i="1"/>
  <c r="Q1186" i="1"/>
  <c r="R1186" i="1" s="1"/>
  <c r="P1186" i="1"/>
  <c r="O1186" i="1"/>
  <c r="N1186" i="1"/>
  <c r="K1186" i="1"/>
  <c r="J1186" i="1"/>
  <c r="D1186" i="1"/>
  <c r="C1186" i="1"/>
  <c r="T1185" i="1"/>
  <c r="S1185" i="1"/>
  <c r="Q1185" i="1"/>
  <c r="R1185" i="1" s="1"/>
  <c r="P1185" i="1"/>
  <c r="O1185" i="1"/>
  <c r="N1185" i="1"/>
  <c r="K1185" i="1"/>
  <c r="J1185" i="1"/>
  <c r="L1185" i="1" s="1"/>
  <c r="D1185" i="1"/>
  <c r="C1185" i="1"/>
  <c r="T1184" i="1"/>
  <c r="S1184" i="1"/>
  <c r="Q1184" i="1"/>
  <c r="R1184" i="1" s="1"/>
  <c r="P1184" i="1"/>
  <c r="O1184" i="1"/>
  <c r="N1184" i="1"/>
  <c r="K1184" i="1"/>
  <c r="J1184" i="1"/>
  <c r="D1184" i="1"/>
  <c r="C1184" i="1"/>
  <c r="T1183" i="1"/>
  <c r="S1183" i="1"/>
  <c r="Q1183" i="1"/>
  <c r="R1183" i="1" s="1"/>
  <c r="P1183" i="1"/>
  <c r="O1183" i="1"/>
  <c r="N1183" i="1"/>
  <c r="K1183" i="1"/>
  <c r="J1183" i="1"/>
  <c r="D1183" i="1"/>
  <c r="C1183" i="1"/>
  <c r="T1182" i="1"/>
  <c r="S1182" i="1"/>
  <c r="Q1182" i="1"/>
  <c r="R1182" i="1" s="1"/>
  <c r="P1182" i="1"/>
  <c r="O1182" i="1"/>
  <c r="N1182" i="1"/>
  <c r="K1182" i="1"/>
  <c r="J1182" i="1"/>
  <c r="D1182" i="1"/>
  <c r="C1182" i="1"/>
  <c r="T1181" i="1"/>
  <c r="S1181" i="1"/>
  <c r="Q1181" i="1"/>
  <c r="R1181" i="1" s="1"/>
  <c r="P1181" i="1"/>
  <c r="O1181" i="1"/>
  <c r="N1181" i="1"/>
  <c r="K1181" i="1"/>
  <c r="J1181" i="1"/>
  <c r="L1181" i="1" s="1"/>
  <c r="D1181" i="1"/>
  <c r="C1181" i="1"/>
  <c r="T1180" i="1"/>
  <c r="S1180" i="1"/>
  <c r="Q1180" i="1"/>
  <c r="R1180" i="1" s="1"/>
  <c r="P1180" i="1"/>
  <c r="O1180" i="1"/>
  <c r="N1180" i="1"/>
  <c r="K1180" i="1"/>
  <c r="J1180" i="1"/>
  <c r="D1180" i="1"/>
  <c r="C1180" i="1"/>
  <c r="T1179" i="1"/>
  <c r="S1179" i="1"/>
  <c r="Q1179" i="1"/>
  <c r="R1179" i="1" s="1"/>
  <c r="P1179" i="1"/>
  <c r="O1179" i="1"/>
  <c r="N1179" i="1"/>
  <c r="K1179" i="1"/>
  <c r="J1179" i="1"/>
  <c r="L1179" i="1" s="1"/>
  <c r="D1179" i="1"/>
  <c r="C1179" i="1"/>
  <c r="T1178" i="1"/>
  <c r="S1178" i="1"/>
  <c r="Q1178" i="1"/>
  <c r="R1178" i="1" s="1"/>
  <c r="P1178" i="1"/>
  <c r="O1178" i="1"/>
  <c r="N1178" i="1"/>
  <c r="K1178" i="1"/>
  <c r="J1178" i="1"/>
  <c r="D1178" i="1"/>
  <c r="C1178" i="1"/>
  <c r="T1177" i="1"/>
  <c r="S1177" i="1"/>
  <c r="Q1177" i="1"/>
  <c r="R1177" i="1" s="1"/>
  <c r="P1177" i="1"/>
  <c r="O1177" i="1"/>
  <c r="N1177" i="1"/>
  <c r="K1177" i="1"/>
  <c r="J1177" i="1"/>
  <c r="L1177" i="1" s="1"/>
  <c r="D1177" i="1"/>
  <c r="C1177" i="1"/>
  <c r="T1176" i="1"/>
  <c r="S1176" i="1"/>
  <c r="Q1176" i="1"/>
  <c r="R1176" i="1" s="1"/>
  <c r="P1176" i="1"/>
  <c r="O1176" i="1"/>
  <c r="N1176" i="1"/>
  <c r="K1176" i="1"/>
  <c r="J1176" i="1"/>
  <c r="D1176" i="1"/>
  <c r="C1176" i="1"/>
  <c r="T1175" i="1"/>
  <c r="S1175" i="1"/>
  <c r="Q1175" i="1"/>
  <c r="R1175" i="1" s="1"/>
  <c r="P1175" i="1"/>
  <c r="O1175" i="1"/>
  <c r="N1175" i="1"/>
  <c r="K1175" i="1"/>
  <c r="J1175" i="1"/>
  <c r="D1175" i="1"/>
  <c r="C1175" i="1"/>
  <c r="T1174" i="1"/>
  <c r="S1174" i="1"/>
  <c r="Q1174" i="1"/>
  <c r="R1174" i="1" s="1"/>
  <c r="P1174" i="1"/>
  <c r="O1174" i="1"/>
  <c r="N1174" i="1"/>
  <c r="K1174" i="1"/>
  <c r="J1174" i="1"/>
  <c r="D1174" i="1"/>
  <c r="C1174" i="1"/>
  <c r="T1173" i="1"/>
  <c r="S1173" i="1"/>
  <c r="Q1173" i="1"/>
  <c r="R1173" i="1" s="1"/>
  <c r="P1173" i="1"/>
  <c r="O1173" i="1"/>
  <c r="N1173" i="1"/>
  <c r="K1173" i="1"/>
  <c r="J1173" i="1"/>
  <c r="D1173" i="1"/>
  <c r="C1173" i="1"/>
  <c r="T1172" i="1"/>
  <c r="S1172" i="1"/>
  <c r="Q1172" i="1"/>
  <c r="R1172" i="1" s="1"/>
  <c r="P1172" i="1"/>
  <c r="O1172" i="1"/>
  <c r="N1172" i="1"/>
  <c r="K1172" i="1"/>
  <c r="J1172" i="1"/>
  <c r="D1172" i="1"/>
  <c r="C1172" i="1"/>
  <c r="T1171" i="1"/>
  <c r="S1171" i="1"/>
  <c r="Q1171" i="1"/>
  <c r="R1171" i="1" s="1"/>
  <c r="P1171" i="1"/>
  <c r="O1171" i="1"/>
  <c r="N1171" i="1"/>
  <c r="K1171" i="1"/>
  <c r="J1171" i="1"/>
  <c r="D1171" i="1"/>
  <c r="C1171" i="1"/>
  <c r="T1170" i="1"/>
  <c r="S1170" i="1"/>
  <c r="Q1170" i="1"/>
  <c r="R1170" i="1" s="1"/>
  <c r="P1170" i="1"/>
  <c r="O1170" i="1"/>
  <c r="N1170" i="1"/>
  <c r="K1170" i="1"/>
  <c r="J1170" i="1"/>
  <c r="D1170" i="1"/>
  <c r="C1170" i="1"/>
  <c r="T1169" i="1"/>
  <c r="S1169" i="1"/>
  <c r="Q1169" i="1"/>
  <c r="R1169" i="1" s="1"/>
  <c r="P1169" i="1"/>
  <c r="O1169" i="1"/>
  <c r="N1169" i="1"/>
  <c r="K1169" i="1"/>
  <c r="J1169" i="1"/>
  <c r="D1169" i="1"/>
  <c r="C1169" i="1"/>
  <c r="T1168" i="1"/>
  <c r="S1168" i="1"/>
  <c r="Q1168" i="1"/>
  <c r="R1168" i="1" s="1"/>
  <c r="P1168" i="1"/>
  <c r="O1168" i="1"/>
  <c r="N1168" i="1"/>
  <c r="K1168" i="1"/>
  <c r="J1168" i="1"/>
  <c r="D1168" i="1"/>
  <c r="C1168" i="1"/>
  <c r="T1167" i="1"/>
  <c r="S1167" i="1"/>
  <c r="Q1167" i="1"/>
  <c r="R1167" i="1" s="1"/>
  <c r="P1167" i="1"/>
  <c r="O1167" i="1"/>
  <c r="N1167" i="1"/>
  <c r="K1167" i="1"/>
  <c r="J1167" i="1"/>
  <c r="D1167" i="1"/>
  <c r="C1167" i="1"/>
  <c r="T1166" i="1"/>
  <c r="S1166" i="1"/>
  <c r="Q1166" i="1"/>
  <c r="R1166" i="1" s="1"/>
  <c r="P1166" i="1"/>
  <c r="O1166" i="1"/>
  <c r="N1166" i="1"/>
  <c r="K1166" i="1"/>
  <c r="J1166" i="1"/>
  <c r="D1166" i="1"/>
  <c r="C1166" i="1"/>
  <c r="T1165" i="1"/>
  <c r="S1165" i="1"/>
  <c r="R1165" i="1"/>
  <c r="Q1165" i="1"/>
  <c r="P1165" i="1"/>
  <c r="O1165" i="1"/>
  <c r="N1165" i="1"/>
  <c r="K1165" i="1"/>
  <c r="J1165" i="1"/>
  <c r="D1165" i="1"/>
  <c r="C1165" i="1"/>
  <c r="T1164" i="1"/>
  <c r="S1164" i="1"/>
  <c r="Q1164" i="1"/>
  <c r="R1164" i="1" s="1"/>
  <c r="P1164" i="1"/>
  <c r="O1164" i="1"/>
  <c r="N1164" i="1"/>
  <c r="K1164" i="1"/>
  <c r="J1164" i="1"/>
  <c r="D1164" i="1"/>
  <c r="C1164" i="1"/>
  <c r="T1163" i="1"/>
  <c r="S1163" i="1"/>
  <c r="Q1163" i="1"/>
  <c r="R1163" i="1" s="1"/>
  <c r="P1163" i="1"/>
  <c r="O1163" i="1"/>
  <c r="N1163" i="1"/>
  <c r="K1163" i="1"/>
  <c r="J1163" i="1"/>
  <c r="D1163" i="1"/>
  <c r="C1163" i="1"/>
  <c r="T1162" i="1"/>
  <c r="S1162" i="1"/>
  <c r="Q1162" i="1"/>
  <c r="R1162" i="1" s="1"/>
  <c r="P1162" i="1"/>
  <c r="O1162" i="1"/>
  <c r="N1162" i="1"/>
  <c r="K1162" i="1"/>
  <c r="J1162" i="1"/>
  <c r="D1162" i="1"/>
  <c r="C1162" i="1"/>
  <c r="T1161" i="1"/>
  <c r="S1161" i="1"/>
  <c r="Q1161" i="1"/>
  <c r="R1161" i="1" s="1"/>
  <c r="P1161" i="1"/>
  <c r="O1161" i="1"/>
  <c r="N1161" i="1"/>
  <c r="K1161" i="1"/>
  <c r="J1161" i="1"/>
  <c r="D1161" i="1"/>
  <c r="C1161" i="1"/>
  <c r="T1160" i="1"/>
  <c r="S1160" i="1"/>
  <c r="Q1160" i="1"/>
  <c r="R1160" i="1" s="1"/>
  <c r="P1160" i="1"/>
  <c r="O1160" i="1"/>
  <c r="N1160" i="1"/>
  <c r="K1160" i="1"/>
  <c r="J1160" i="1"/>
  <c r="D1160" i="1"/>
  <c r="C1160" i="1"/>
  <c r="T1159" i="1"/>
  <c r="S1159" i="1"/>
  <c r="Q1159" i="1"/>
  <c r="R1159" i="1" s="1"/>
  <c r="P1159" i="1"/>
  <c r="O1159" i="1"/>
  <c r="N1159" i="1"/>
  <c r="K1159" i="1"/>
  <c r="J1159" i="1"/>
  <c r="D1159" i="1"/>
  <c r="C1159" i="1"/>
  <c r="T1158" i="1"/>
  <c r="S1158" i="1"/>
  <c r="Q1158" i="1"/>
  <c r="R1158" i="1" s="1"/>
  <c r="P1158" i="1"/>
  <c r="O1158" i="1"/>
  <c r="N1158" i="1"/>
  <c r="K1158" i="1"/>
  <c r="J1158" i="1"/>
  <c r="D1158" i="1"/>
  <c r="C1158" i="1"/>
  <c r="T1157" i="1"/>
  <c r="S1157" i="1"/>
  <c r="R1157" i="1"/>
  <c r="Q1157" i="1"/>
  <c r="P1157" i="1"/>
  <c r="O1157" i="1"/>
  <c r="N1157" i="1"/>
  <c r="K1157" i="1"/>
  <c r="J1157" i="1"/>
  <c r="L1157" i="1" s="1"/>
  <c r="D1157" i="1"/>
  <c r="C1157" i="1"/>
  <c r="T1156" i="1"/>
  <c r="S1156" i="1"/>
  <c r="Q1156" i="1"/>
  <c r="R1156" i="1" s="1"/>
  <c r="P1156" i="1"/>
  <c r="O1156" i="1"/>
  <c r="N1156" i="1"/>
  <c r="K1156" i="1"/>
  <c r="J1156" i="1"/>
  <c r="D1156" i="1"/>
  <c r="C1156" i="1"/>
  <c r="T1155" i="1"/>
  <c r="S1155" i="1"/>
  <c r="Q1155" i="1"/>
  <c r="R1155" i="1" s="1"/>
  <c r="P1155" i="1"/>
  <c r="O1155" i="1"/>
  <c r="N1155" i="1"/>
  <c r="K1155" i="1"/>
  <c r="J1155" i="1"/>
  <c r="L1155" i="1" s="1"/>
  <c r="D1155" i="1"/>
  <c r="C1155" i="1"/>
  <c r="T1154" i="1"/>
  <c r="S1154" i="1"/>
  <c r="Q1154" i="1"/>
  <c r="R1154" i="1" s="1"/>
  <c r="P1154" i="1"/>
  <c r="O1154" i="1"/>
  <c r="N1154" i="1"/>
  <c r="K1154" i="1"/>
  <c r="J1154" i="1"/>
  <c r="D1154" i="1"/>
  <c r="C1154" i="1"/>
  <c r="T1153" i="1"/>
  <c r="S1153" i="1"/>
  <c r="Q1153" i="1"/>
  <c r="R1153" i="1" s="1"/>
  <c r="P1153" i="1"/>
  <c r="O1153" i="1"/>
  <c r="N1153" i="1"/>
  <c r="K1153" i="1"/>
  <c r="J1153" i="1"/>
  <c r="L1153" i="1" s="1"/>
  <c r="D1153" i="1"/>
  <c r="C1153" i="1"/>
  <c r="T1152" i="1"/>
  <c r="S1152" i="1"/>
  <c r="Q1152" i="1"/>
  <c r="R1152" i="1" s="1"/>
  <c r="P1152" i="1"/>
  <c r="O1152" i="1"/>
  <c r="N1152" i="1"/>
  <c r="K1152" i="1"/>
  <c r="J1152" i="1"/>
  <c r="D1152" i="1"/>
  <c r="C1152" i="1"/>
  <c r="T1151" i="1"/>
  <c r="S1151" i="1"/>
  <c r="Q1151" i="1"/>
  <c r="R1151" i="1" s="1"/>
  <c r="P1151" i="1"/>
  <c r="O1151" i="1"/>
  <c r="N1151" i="1"/>
  <c r="K1151" i="1"/>
  <c r="J1151" i="1"/>
  <c r="D1151" i="1"/>
  <c r="C1151" i="1"/>
  <c r="T1150" i="1"/>
  <c r="S1150" i="1"/>
  <c r="Q1150" i="1"/>
  <c r="R1150" i="1" s="1"/>
  <c r="P1150" i="1"/>
  <c r="O1150" i="1"/>
  <c r="N1150" i="1"/>
  <c r="K1150" i="1"/>
  <c r="J1150" i="1"/>
  <c r="D1150" i="1"/>
  <c r="C1150" i="1"/>
  <c r="T1149" i="1"/>
  <c r="S1149" i="1"/>
  <c r="Q1149" i="1"/>
  <c r="R1149" i="1" s="1"/>
  <c r="P1149" i="1"/>
  <c r="O1149" i="1"/>
  <c r="N1149" i="1"/>
  <c r="K1149" i="1"/>
  <c r="J1149" i="1"/>
  <c r="L1149" i="1" s="1"/>
  <c r="D1149" i="1"/>
  <c r="C1149" i="1"/>
  <c r="T1148" i="1"/>
  <c r="S1148" i="1"/>
  <c r="Q1148" i="1"/>
  <c r="R1148" i="1" s="1"/>
  <c r="P1148" i="1"/>
  <c r="O1148" i="1"/>
  <c r="N1148" i="1"/>
  <c r="K1148" i="1"/>
  <c r="J1148" i="1"/>
  <c r="D1148" i="1"/>
  <c r="C1148" i="1"/>
  <c r="T1147" i="1"/>
  <c r="S1147" i="1"/>
  <c r="Q1147" i="1"/>
  <c r="R1147" i="1" s="1"/>
  <c r="P1147" i="1"/>
  <c r="O1147" i="1"/>
  <c r="N1147" i="1"/>
  <c r="K1147" i="1"/>
  <c r="J1147" i="1"/>
  <c r="L1147" i="1" s="1"/>
  <c r="D1147" i="1"/>
  <c r="C1147" i="1"/>
  <c r="T1146" i="1"/>
  <c r="S1146" i="1"/>
  <c r="Q1146" i="1"/>
  <c r="R1146" i="1" s="1"/>
  <c r="P1146" i="1"/>
  <c r="O1146" i="1"/>
  <c r="N1146" i="1"/>
  <c r="K1146" i="1"/>
  <c r="J1146" i="1"/>
  <c r="D1146" i="1"/>
  <c r="C1146" i="1"/>
  <c r="T1145" i="1"/>
  <c r="S1145" i="1"/>
  <c r="Q1145" i="1"/>
  <c r="R1145" i="1" s="1"/>
  <c r="P1145" i="1"/>
  <c r="O1145" i="1"/>
  <c r="N1145" i="1"/>
  <c r="K1145" i="1"/>
  <c r="J1145" i="1"/>
  <c r="L1145" i="1" s="1"/>
  <c r="D1145" i="1"/>
  <c r="C1145" i="1"/>
  <c r="T1144" i="1"/>
  <c r="S1144" i="1"/>
  <c r="Q1144" i="1"/>
  <c r="R1144" i="1" s="1"/>
  <c r="P1144" i="1"/>
  <c r="O1144" i="1"/>
  <c r="N1144" i="1"/>
  <c r="K1144" i="1"/>
  <c r="J1144" i="1"/>
  <c r="D1144" i="1"/>
  <c r="C1144" i="1"/>
  <c r="T1143" i="1"/>
  <c r="S1143" i="1"/>
  <c r="Q1143" i="1"/>
  <c r="R1143" i="1" s="1"/>
  <c r="P1143" i="1"/>
  <c r="O1143" i="1"/>
  <c r="N1143" i="1"/>
  <c r="K1143" i="1"/>
  <c r="J1143" i="1"/>
  <c r="D1143" i="1"/>
  <c r="C1143" i="1"/>
  <c r="T1142" i="1"/>
  <c r="S1142" i="1"/>
  <c r="Q1142" i="1"/>
  <c r="R1142" i="1" s="1"/>
  <c r="P1142" i="1"/>
  <c r="O1142" i="1"/>
  <c r="N1142" i="1"/>
  <c r="K1142" i="1"/>
  <c r="J1142" i="1"/>
  <c r="D1142" i="1"/>
  <c r="C1142" i="1"/>
  <c r="T1141" i="1"/>
  <c r="S1141" i="1"/>
  <c r="Q1141" i="1"/>
  <c r="R1141" i="1" s="1"/>
  <c r="P1141" i="1"/>
  <c r="O1141" i="1"/>
  <c r="N1141" i="1"/>
  <c r="K1141" i="1"/>
  <c r="J1141" i="1"/>
  <c r="D1141" i="1"/>
  <c r="C1141" i="1"/>
  <c r="T1140" i="1"/>
  <c r="S1140" i="1"/>
  <c r="Q1140" i="1"/>
  <c r="R1140" i="1" s="1"/>
  <c r="P1140" i="1"/>
  <c r="O1140" i="1"/>
  <c r="N1140" i="1"/>
  <c r="K1140" i="1"/>
  <c r="J1140" i="1"/>
  <c r="D1140" i="1"/>
  <c r="C1140" i="1"/>
  <c r="T1139" i="1"/>
  <c r="S1139" i="1"/>
  <c r="Q1139" i="1"/>
  <c r="R1139" i="1" s="1"/>
  <c r="P1139" i="1"/>
  <c r="O1139" i="1"/>
  <c r="N1139" i="1"/>
  <c r="K1139" i="1"/>
  <c r="J1139" i="1"/>
  <c r="D1139" i="1"/>
  <c r="C1139" i="1"/>
  <c r="T1138" i="1"/>
  <c r="S1138" i="1"/>
  <c r="Q1138" i="1"/>
  <c r="R1138" i="1" s="1"/>
  <c r="P1138" i="1"/>
  <c r="O1138" i="1"/>
  <c r="N1138" i="1"/>
  <c r="K1138" i="1"/>
  <c r="J1138" i="1"/>
  <c r="D1138" i="1"/>
  <c r="C1138" i="1"/>
  <c r="T1137" i="1"/>
  <c r="S1137" i="1"/>
  <c r="Q1137" i="1"/>
  <c r="R1137" i="1" s="1"/>
  <c r="P1137" i="1"/>
  <c r="O1137" i="1"/>
  <c r="N1137" i="1"/>
  <c r="K1137" i="1"/>
  <c r="J1137" i="1"/>
  <c r="D1137" i="1"/>
  <c r="C1137" i="1"/>
  <c r="T1136" i="1"/>
  <c r="S1136" i="1"/>
  <c r="Q1136" i="1"/>
  <c r="R1136" i="1" s="1"/>
  <c r="P1136" i="1"/>
  <c r="O1136" i="1"/>
  <c r="N1136" i="1"/>
  <c r="K1136" i="1"/>
  <c r="J1136" i="1"/>
  <c r="D1136" i="1"/>
  <c r="C1136" i="1"/>
  <c r="T1135" i="1"/>
  <c r="S1135" i="1"/>
  <c r="Q1135" i="1"/>
  <c r="R1135" i="1" s="1"/>
  <c r="P1135" i="1"/>
  <c r="O1135" i="1"/>
  <c r="N1135" i="1"/>
  <c r="K1135" i="1"/>
  <c r="J1135" i="1"/>
  <c r="D1135" i="1"/>
  <c r="C1135" i="1"/>
  <c r="T1134" i="1"/>
  <c r="S1134" i="1"/>
  <c r="Q1134" i="1"/>
  <c r="R1134" i="1" s="1"/>
  <c r="P1134" i="1"/>
  <c r="O1134" i="1"/>
  <c r="N1134" i="1"/>
  <c r="K1134" i="1"/>
  <c r="J1134" i="1"/>
  <c r="D1134" i="1"/>
  <c r="C1134" i="1"/>
  <c r="T1133" i="1"/>
  <c r="S1133" i="1"/>
  <c r="R1133" i="1"/>
  <c r="Q1133" i="1"/>
  <c r="P1133" i="1"/>
  <c r="O1133" i="1"/>
  <c r="N1133" i="1"/>
  <c r="K1133" i="1"/>
  <c r="J1133" i="1"/>
  <c r="D1133" i="1"/>
  <c r="C1133" i="1"/>
  <c r="T1132" i="1"/>
  <c r="S1132" i="1"/>
  <c r="Q1132" i="1"/>
  <c r="R1132" i="1" s="1"/>
  <c r="P1132" i="1"/>
  <c r="O1132" i="1"/>
  <c r="N1132" i="1"/>
  <c r="K1132" i="1"/>
  <c r="J1132" i="1"/>
  <c r="D1132" i="1"/>
  <c r="C1132" i="1"/>
  <c r="T1131" i="1"/>
  <c r="S1131" i="1"/>
  <c r="Q1131" i="1"/>
  <c r="R1131" i="1" s="1"/>
  <c r="P1131" i="1"/>
  <c r="O1131" i="1"/>
  <c r="N1131" i="1"/>
  <c r="K1131" i="1"/>
  <c r="J1131" i="1"/>
  <c r="D1131" i="1"/>
  <c r="C1131" i="1"/>
  <c r="T1130" i="1"/>
  <c r="S1130" i="1"/>
  <c r="Q1130" i="1"/>
  <c r="R1130" i="1" s="1"/>
  <c r="P1130" i="1"/>
  <c r="O1130" i="1"/>
  <c r="N1130" i="1"/>
  <c r="K1130" i="1"/>
  <c r="J1130" i="1"/>
  <c r="D1130" i="1"/>
  <c r="C1130" i="1"/>
  <c r="T1129" i="1"/>
  <c r="S1129" i="1"/>
  <c r="Q1129" i="1"/>
  <c r="R1129" i="1" s="1"/>
  <c r="P1129" i="1"/>
  <c r="O1129" i="1"/>
  <c r="N1129" i="1"/>
  <c r="K1129" i="1"/>
  <c r="J1129" i="1"/>
  <c r="D1129" i="1"/>
  <c r="C1129" i="1"/>
  <c r="T1128" i="1"/>
  <c r="S1128" i="1"/>
  <c r="Q1128" i="1"/>
  <c r="R1128" i="1" s="1"/>
  <c r="P1128" i="1"/>
  <c r="O1128" i="1"/>
  <c r="N1128" i="1"/>
  <c r="K1128" i="1"/>
  <c r="J1128" i="1"/>
  <c r="D1128" i="1"/>
  <c r="C1128" i="1"/>
  <c r="T1127" i="1"/>
  <c r="S1127" i="1"/>
  <c r="Q1127" i="1"/>
  <c r="R1127" i="1" s="1"/>
  <c r="P1127" i="1"/>
  <c r="O1127" i="1"/>
  <c r="N1127" i="1"/>
  <c r="K1127" i="1"/>
  <c r="J1127" i="1"/>
  <c r="D1127" i="1"/>
  <c r="C1127" i="1"/>
  <c r="T1126" i="1"/>
  <c r="S1126" i="1"/>
  <c r="Q1126" i="1"/>
  <c r="R1126" i="1" s="1"/>
  <c r="P1126" i="1"/>
  <c r="O1126" i="1"/>
  <c r="N1126" i="1"/>
  <c r="K1126" i="1"/>
  <c r="J1126" i="1"/>
  <c r="D1126" i="1"/>
  <c r="C1126" i="1"/>
  <c r="T1125" i="1"/>
  <c r="S1125" i="1"/>
  <c r="R1125" i="1"/>
  <c r="Q1125" i="1"/>
  <c r="P1125" i="1"/>
  <c r="O1125" i="1"/>
  <c r="N1125" i="1"/>
  <c r="K1125" i="1"/>
  <c r="J1125" i="1"/>
  <c r="L1125" i="1" s="1"/>
  <c r="D1125" i="1"/>
  <c r="C1125" i="1"/>
  <c r="T1124" i="1"/>
  <c r="S1124" i="1"/>
  <c r="Q1124" i="1"/>
  <c r="R1124" i="1" s="1"/>
  <c r="P1124" i="1"/>
  <c r="O1124" i="1"/>
  <c r="N1124" i="1"/>
  <c r="K1124" i="1"/>
  <c r="J1124" i="1"/>
  <c r="D1124" i="1"/>
  <c r="C1124" i="1"/>
  <c r="T1123" i="1"/>
  <c r="S1123" i="1"/>
  <c r="Q1123" i="1"/>
  <c r="R1123" i="1" s="1"/>
  <c r="P1123" i="1"/>
  <c r="O1123" i="1"/>
  <c r="N1123" i="1"/>
  <c r="K1123" i="1"/>
  <c r="J1123" i="1"/>
  <c r="L1123" i="1" s="1"/>
  <c r="D1123" i="1"/>
  <c r="C1123" i="1"/>
  <c r="T1122" i="1"/>
  <c r="S1122" i="1"/>
  <c r="Q1122" i="1"/>
  <c r="R1122" i="1" s="1"/>
  <c r="P1122" i="1"/>
  <c r="O1122" i="1"/>
  <c r="N1122" i="1"/>
  <c r="K1122" i="1"/>
  <c r="J1122" i="1"/>
  <c r="D1122" i="1"/>
  <c r="C1122" i="1"/>
  <c r="T1121" i="1"/>
  <c r="S1121" i="1"/>
  <c r="Q1121" i="1"/>
  <c r="R1121" i="1" s="1"/>
  <c r="P1121" i="1"/>
  <c r="O1121" i="1"/>
  <c r="N1121" i="1"/>
  <c r="K1121" i="1"/>
  <c r="J1121" i="1"/>
  <c r="L1121" i="1" s="1"/>
  <c r="D1121" i="1"/>
  <c r="C1121" i="1"/>
  <c r="T1120" i="1"/>
  <c r="S1120" i="1"/>
  <c r="Q1120" i="1"/>
  <c r="R1120" i="1" s="1"/>
  <c r="P1120" i="1"/>
  <c r="O1120" i="1"/>
  <c r="N1120" i="1"/>
  <c r="K1120" i="1"/>
  <c r="J1120" i="1"/>
  <c r="D1120" i="1"/>
  <c r="C1120" i="1"/>
  <c r="T1119" i="1"/>
  <c r="S1119" i="1"/>
  <c r="Q1119" i="1"/>
  <c r="R1119" i="1" s="1"/>
  <c r="P1119" i="1"/>
  <c r="O1119" i="1"/>
  <c r="N1119" i="1"/>
  <c r="K1119" i="1"/>
  <c r="J1119" i="1"/>
  <c r="D1119" i="1"/>
  <c r="C1119" i="1"/>
  <c r="T1118" i="1"/>
  <c r="S1118" i="1"/>
  <c r="Q1118" i="1"/>
  <c r="R1118" i="1" s="1"/>
  <c r="P1118" i="1"/>
  <c r="O1118" i="1"/>
  <c r="N1118" i="1"/>
  <c r="K1118" i="1"/>
  <c r="J1118" i="1"/>
  <c r="D1118" i="1"/>
  <c r="C1118" i="1"/>
  <c r="T1117" i="1"/>
  <c r="S1117" i="1"/>
  <c r="Q1117" i="1"/>
  <c r="R1117" i="1" s="1"/>
  <c r="P1117" i="1"/>
  <c r="O1117" i="1"/>
  <c r="N1117" i="1"/>
  <c r="K1117" i="1"/>
  <c r="J1117" i="1"/>
  <c r="L1117" i="1" s="1"/>
  <c r="D1117" i="1"/>
  <c r="C1117" i="1"/>
  <c r="T1116" i="1"/>
  <c r="S1116" i="1"/>
  <c r="Q1116" i="1"/>
  <c r="R1116" i="1" s="1"/>
  <c r="P1116" i="1"/>
  <c r="O1116" i="1"/>
  <c r="N1116" i="1"/>
  <c r="K1116" i="1"/>
  <c r="J1116" i="1"/>
  <c r="D1116" i="1"/>
  <c r="C1116" i="1"/>
  <c r="T1115" i="1"/>
  <c r="S1115" i="1"/>
  <c r="Q1115" i="1"/>
  <c r="R1115" i="1" s="1"/>
  <c r="P1115" i="1"/>
  <c r="O1115" i="1"/>
  <c r="N1115" i="1"/>
  <c r="K1115" i="1"/>
  <c r="J1115" i="1"/>
  <c r="L1115" i="1" s="1"/>
  <c r="D1115" i="1"/>
  <c r="C1115" i="1"/>
  <c r="T1114" i="1"/>
  <c r="S1114" i="1"/>
  <c r="Q1114" i="1"/>
  <c r="R1114" i="1" s="1"/>
  <c r="P1114" i="1"/>
  <c r="O1114" i="1"/>
  <c r="N1114" i="1"/>
  <c r="K1114" i="1"/>
  <c r="J1114" i="1"/>
  <c r="D1114" i="1"/>
  <c r="C1114" i="1"/>
  <c r="T1113" i="1"/>
  <c r="S1113" i="1"/>
  <c r="Q1113" i="1"/>
  <c r="R1113" i="1" s="1"/>
  <c r="P1113" i="1"/>
  <c r="O1113" i="1"/>
  <c r="N1113" i="1"/>
  <c r="K1113" i="1"/>
  <c r="J1113" i="1"/>
  <c r="L1113" i="1" s="1"/>
  <c r="D1113" i="1"/>
  <c r="C1113" i="1"/>
  <c r="T1112" i="1"/>
  <c r="S1112" i="1"/>
  <c r="Q1112" i="1"/>
  <c r="R1112" i="1" s="1"/>
  <c r="P1112" i="1"/>
  <c r="O1112" i="1"/>
  <c r="N1112" i="1"/>
  <c r="K1112" i="1"/>
  <c r="J1112" i="1"/>
  <c r="D1112" i="1"/>
  <c r="C1112" i="1"/>
  <c r="T1111" i="1"/>
  <c r="S1111" i="1"/>
  <c r="Q1111" i="1"/>
  <c r="R1111" i="1" s="1"/>
  <c r="P1111" i="1"/>
  <c r="O1111" i="1"/>
  <c r="N1111" i="1"/>
  <c r="K1111" i="1"/>
  <c r="J1111" i="1"/>
  <c r="D1111" i="1"/>
  <c r="C1111" i="1"/>
  <c r="T1110" i="1"/>
  <c r="S1110" i="1"/>
  <c r="Q1110" i="1"/>
  <c r="R1110" i="1" s="1"/>
  <c r="P1110" i="1"/>
  <c r="O1110" i="1"/>
  <c r="N1110" i="1"/>
  <c r="K1110" i="1"/>
  <c r="J1110" i="1"/>
  <c r="D1110" i="1"/>
  <c r="C1110" i="1"/>
  <c r="T1109" i="1"/>
  <c r="S1109" i="1"/>
  <c r="Q1109" i="1"/>
  <c r="R1109" i="1" s="1"/>
  <c r="P1109" i="1"/>
  <c r="O1109" i="1"/>
  <c r="N1109" i="1"/>
  <c r="K1109" i="1"/>
  <c r="J1109" i="1"/>
  <c r="D1109" i="1"/>
  <c r="C1109" i="1"/>
  <c r="T1108" i="1"/>
  <c r="S1108" i="1"/>
  <c r="Q1108" i="1"/>
  <c r="R1108" i="1" s="1"/>
  <c r="P1108" i="1"/>
  <c r="O1108" i="1"/>
  <c r="N1108" i="1"/>
  <c r="K1108" i="1"/>
  <c r="J1108" i="1"/>
  <c r="D1108" i="1"/>
  <c r="C1108" i="1"/>
  <c r="T1107" i="1"/>
  <c r="S1107" i="1"/>
  <c r="Q1107" i="1"/>
  <c r="R1107" i="1" s="1"/>
  <c r="P1107" i="1"/>
  <c r="O1107" i="1"/>
  <c r="N1107" i="1"/>
  <c r="K1107" i="1"/>
  <c r="J1107" i="1"/>
  <c r="D1107" i="1"/>
  <c r="C1107" i="1"/>
  <c r="T1106" i="1"/>
  <c r="S1106" i="1"/>
  <c r="Q1106" i="1"/>
  <c r="R1106" i="1" s="1"/>
  <c r="P1106" i="1"/>
  <c r="O1106" i="1"/>
  <c r="N1106" i="1"/>
  <c r="K1106" i="1"/>
  <c r="J1106" i="1"/>
  <c r="D1106" i="1"/>
  <c r="C1106" i="1"/>
  <c r="T1105" i="1"/>
  <c r="S1105" i="1"/>
  <c r="Q1105" i="1"/>
  <c r="R1105" i="1" s="1"/>
  <c r="P1105" i="1"/>
  <c r="O1105" i="1"/>
  <c r="N1105" i="1"/>
  <c r="K1105" i="1"/>
  <c r="J1105" i="1"/>
  <c r="D1105" i="1"/>
  <c r="C1105" i="1"/>
  <c r="T1104" i="1"/>
  <c r="S1104" i="1"/>
  <c r="Q1104" i="1"/>
  <c r="R1104" i="1" s="1"/>
  <c r="P1104" i="1"/>
  <c r="O1104" i="1"/>
  <c r="N1104" i="1"/>
  <c r="K1104" i="1"/>
  <c r="J1104" i="1"/>
  <c r="D1104" i="1"/>
  <c r="C1104" i="1"/>
  <c r="T1103" i="1"/>
  <c r="S1103" i="1"/>
  <c r="Q1103" i="1"/>
  <c r="R1103" i="1" s="1"/>
  <c r="P1103" i="1"/>
  <c r="O1103" i="1"/>
  <c r="N1103" i="1"/>
  <c r="K1103" i="1"/>
  <c r="J1103" i="1"/>
  <c r="D1103" i="1"/>
  <c r="C1103" i="1"/>
  <c r="T1102" i="1"/>
  <c r="S1102" i="1"/>
  <c r="Q1102" i="1"/>
  <c r="R1102" i="1" s="1"/>
  <c r="P1102" i="1"/>
  <c r="O1102" i="1"/>
  <c r="N1102" i="1"/>
  <c r="K1102" i="1"/>
  <c r="J1102" i="1"/>
  <c r="D1102" i="1"/>
  <c r="C1102" i="1"/>
  <c r="T1101" i="1"/>
  <c r="S1101" i="1"/>
  <c r="Q1101" i="1"/>
  <c r="R1101" i="1" s="1"/>
  <c r="P1101" i="1"/>
  <c r="O1101" i="1"/>
  <c r="N1101" i="1"/>
  <c r="K1101" i="1"/>
  <c r="J1101" i="1"/>
  <c r="D1101" i="1"/>
  <c r="C1101" i="1"/>
  <c r="T1100" i="1"/>
  <c r="S1100" i="1"/>
  <c r="Q1100" i="1"/>
  <c r="R1100" i="1" s="1"/>
  <c r="P1100" i="1"/>
  <c r="O1100" i="1"/>
  <c r="N1100" i="1"/>
  <c r="K1100" i="1"/>
  <c r="J1100" i="1"/>
  <c r="D1100" i="1"/>
  <c r="C1100" i="1"/>
  <c r="T1099" i="1"/>
  <c r="S1099" i="1"/>
  <c r="Q1099" i="1"/>
  <c r="R1099" i="1" s="1"/>
  <c r="P1099" i="1"/>
  <c r="O1099" i="1"/>
  <c r="N1099" i="1"/>
  <c r="K1099" i="1"/>
  <c r="J1099" i="1"/>
  <c r="D1099" i="1"/>
  <c r="C1099" i="1"/>
  <c r="T1098" i="1"/>
  <c r="S1098" i="1"/>
  <c r="Q1098" i="1"/>
  <c r="R1098" i="1" s="1"/>
  <c r="P1098" i="1"/>
  <c r="O1098" i="1"/>
  <c r="N1098" i="1"/>
  <c r="K1098" i="1"/>
  <c r="J1098" i="1"/>
  <c r="D1098" i="1"/>
  <c r="C1098" i="1"/>
  <c r="T1097" i="1"/>
  <c r="S1097" i="1"/>
  <c r="Q1097" i="1"/>
  <c r="R1097" i="1" s="1"/>
  <c r="P1097" i="1"/>
  <c r="O1097" i="1"/>
  <c r="N1097" i="1"/>
  <c r="K1097" i="1"/>
  <c r="J1097" i="1"/>
  <c r="D1097" i="1"/>
  <c r="C1097" i="1"/>
  <c r="T1096" i="1"/>
  <c r="S1096" i="1"/>
  <c r="Q1096" i="1"/>
  <c r="R1096" i="1" s="1"/>
  <c r="P1096" i="1"/>
  <c r="O1096" i="1"/>
  <c r="N1096" i="1"/>
  <c r="K1096" i="1"/>
  <c r="J1096" i="1"/>
  <c r="D1096" i="1"/>
  <c r="C1096" i="1"/>
  <c r="T1095" i="1"/>
  <c r="S1095" i="1"/>
  <c r="Q1095" i="1"/>
  <c r="R1095" i="1" s="1"/>
  <c r="P1095" i="1"/>
  <c r="O1095" i="1"/>
  <c r="N1095" i="1"/>
  <c r="K1095" i="1"/>
  <c r="J1095" i="1"/>
  <c r="D1095" i="1"/>
  <c r="C1095" i="1"/>
  <c r="T1094" i="1"/>
  <c r="S1094" i="1"/>
  <c r="Q1094" i="1"/>
  <c r="R1094" i="1" s="1"/>
  <c r="P1094" i="1"/>
  <c r="O1094" i="1"/>
  <c r="N1094" i="1"/>
  <c r="K1094" i="1"/>
  <c r="J1094" i="1"/>
  <c r="D1094" i="1"/>
  <c r="C1094" i="1"/>
  <c r="T1093" i="1"/>
  <c r="S1093" i="1"/>
  <c r="R1093" i="1"/>
  <c r="Q1093" i="1"/>
  <c r="P1093" i="1"/>
  <c r="O1093" i="1"/>
  <c r="N1093" i="1"/>
  <c r="K1093" i="1"/>
  <c r="J1093" i="1"/>
  <c r="L1093" i="1" s="1"/>
  <c r="D1093" i="1"/>
  <c r="C1093" i="1"/>
  <c r="T1092" i="1"/>
  <c r="S1092" i="1"/>
  <c r="Q1092" i="1"/>
  <c r="R1092" i="1" s="1"/>
  <c r="P1092" i="1"/>
  <c r="O1092" i="1"/>
  <c r="N1092" i="1"/>
  <c r="K1092" i="1"/>
  <c r="J1092" i="1"/>
  <c r="D1092" i="1"/>
  <c r="C1092" i="1"/>
  <c r="T1091" i="1"/>
  <c r="S1091" i="1"/>
  <c r="Q1091" i="1"/>
  <c r="R1091" i="1" s="1"/>
  <c r="P1091" i="1"/>
  <c r="O1091" i="1"/>
  <c r="N1091" i="1"/>
  <c r="K1091" i="1"/>
  <c r="J1091" i="1"/>
  <c r="L1091" i="1" s="1"/>
  <c r="D1091" i="1"/>
  <c r="C1091" i="1"/>
  <c r="T1090" i="1"/>
  <c r="S1090" i="1"/>
  <c r="Q1090" i="1"/>
  <c r="R1090" i="1" s="1"/>
  <c r="P1090" i="1"/>
  <c r="O1090" i="1"/>
  <c r="N1090" i="1"/>
  <c r="K1090" i="1"/>
  <c r="J1090" i="1"/>
  <c r="D1090" i="1"/>
  <c r="C1090" i="1"/>
  <c r="T1089" i="1"/>
  <c r="S1089" i="1"/>
  <c r="Q1089" i="1"/>
  <c r="R1089" i="1" s="1"/>
  <c r="P1089" i="1"/>
  <c r="O1089" i="1"/>
  <c r="N1089" i="1"/>
  <c r="K1089" i="1"/>
  <c r="J1089" i="1"/>
  <c r="D1089" i="1"/>
  <c r="C1089" i="1"/>
  <c r="T1088" i="1"/>
  <c r="S1088" i="1"/>
  <c r="Q1088" i="1"/>
  <c r="R1088" i="1" s="1"/>
  <c r="P1088" i="1"/>
  <c r="O1088" i="1"/>
  <c r="N1088" i="1"/>
  <c r="K1088" i="1"/>
  <c r="J1088" i="1"/>
  <c r="D1088" i="1"/>
  <c r="C1088" i="1"/>
  <c r="T1087" i="1"/>
  <c r="S1087" i="1"/>
  <c r="Q1087" i="1"/>
  <c r="R1087" i="1" s="1"/>
  <c r="P1087" i="1"/>
  <c r="O1087" i="1"/>
  <c r="N1087" i="1"/>
  <c r="K1087" i="1"/>
  <c r="J1087" i="1"/>
  <c r="D1087" i="1"/>
  <c r="C1087" i="1"/>
  <c r="T1086" i="1"/>
  <c r="S1086" i="1"/>
  <c r="Q1086" i="1"/>
  <c r="R1086" i="1" s="1"/>
  <c r="P1086" i="1"/>
  <c r="O1086" i="1"/>
  <c r="N1086" i="1"/>
  <c r="K1086" i="1"/>
  <c r="J1086" i="1"/>
  <c r="D1086" i="1"/>
  <c r="C1086" i="1"/>
  <c r="T1085" i="1"/>
  <c r="S1085" i="1"/>
  <c r="Q1085" i="1"/>
  <c r="R1085" i="1" s="1"/>
  <c r="P1085" i="1"/>
  <c r="O1085" i="1"/>
  <c r="N1085" i="1"/>
  <c r="K1085" i="1"/>
  <c r="J1085" i="1"/>
  <c r="D1085" i="1"/>
  <c r="C1085" i="1"/>
  <c r="T1084" i="1"/>
  <c r="S1084" i="1"/>
  <c r="Q1084" i="1"/>
  <c r="R1084" i="1" s="1"/>
  <c r="P1084" i="1"/>
  <c r="O1084" i="1"/>
  <c r="N1084" i="1"/>
  <c r="K1084" i="1"/>
  <c r="J1084" i="1"/>
  <c r="D1084" i="1"/>
  <c r="C1084" i="1"/>
  <c r="T1083" i="1"/>
  <c r="S1083" i="1"/>
  <c r="Q1083" i="1"/>
  <c r="R1083" i="1" s="1"/>
  <c r="P1083" i="1"/>
  <c r="O1083" i="1"/>
  <c r="N1083" i="1"/>
  <c r="K1083" i="1"/>
  <c r="J1083" i="1"/>
  <c r="L1083" i="1" s="1"/>
  <c r="D1083" i="1"/>
  <c r="C1083" i="1"/>
  <c r="T1082" i="1"/>
  <c r="S1082" i="1"/>
  <c r="Q1082" i="1"/>
  <c r="R1082" i="1" s="1"/>
  <c r="P1082" i="1"/>
  <c r="O1082" i="1"/>
  <c r="N1082" i="1"/>
  <c r="K1082" i="1"/>
  <c r="J1082" i="1"/>
  <c r="D1082" i="1"/>
  <c r="C1082" i="1"/>
  <c r="T1081" i="1"/>
  <c r="S1081" i="1"/>
  <c r="Q1081" i="1"/>
  <c r="R1081" i="1" s="1"/>
  <c r="P1081" i="1"/>
  <c r="O1081" i="1"/>
  <c r="N1081" i="1"/>
  <c r="K1081" i="1"/>
  <c r="J1081" i="1"/>
  <c r="L1081" i="1" s="1"/>
  <c r="D1081" i="1"/>
  <c r="C1081" i="1"/>
  <c r="T1080" i="1"/>
  <c r="S1080" i="1"/>
  <c r="Q1080" i="1"/>
  <c r="R1080" i="1" s="1"/>
  <c r="P1080" i="1"/>
  <c r="O1080" i="1"/>
  <c r="N1080" i="1"/>
  <c r="K1080" i="1"/>
  <c r="J1080" i="1"/>
  <c r="D1080" i="1"/>
  <c r="C1080" i="1"/>
  <c r="T1079" i="1"/>
  <c r="S1079" i="1"/>
  <c r="Q1079" i="1"/>
  <c r="R1079" i="1" s="1"/>
  <c r="P1079" i="1"/>
  <c r="O1079" i="1"/>
  <c r="N1079" i="1"/>
  <c r="K1079" i="1"/>
  <c r="J1079" i="1"/>
  <c r="D1079" i="1"/>
  <c r="C1079" i="1"/>
  <c r="T1078" i="1"/>
  <c r="S1078" i="1"/>
  <c r="Q1078" i="1"/>
  <c r="R1078" i="1" s="1"/>
  <c r="P1078" i="1"/>
  <c r="O1078" i="1"/>
  <c r="N1078" i="1"/>
  <c r="K1078" i="1"/>
  <c r="J1078" i="1"/>
  <c r="D1078" i="1"/>
  <c r="C1078" i="1"/>
  <c r="T1077" i="1"/>
  <c r="S1077" i="1"/>
  <c r="Q1077" i="1"/>
  <c r="R1077" i="1" s="1"/>
  <c r="P1077" i="1"/>
  <c r="O1077" i="1"/>
  <c r="N1077" i="1"/>
  <c r="K1077" i="1"/>
  <c r="J1077" i="1"/>
  <c r="D1077" i="1"/>
  <c r="C1077" i="1"/>
  <c r="T1076" i="1"/>
  <c r="S1076" i="1"/>
  <c r="Q1076" i="1"/>
  <c r="R1076" i="1" s="1"/>
  <c r="P1076" i="1"/>
  <c r="O1076" i="1"/>
  <c r="N1076" i="1"/>
  <c r="K1076" i="1"/>
  <c r="J1076" i="1"/>
  <c r="D1076" i="1"/>
  <c r="C1076" i="1"/>
  <c r="T1075" i="1"/>
  <c r="S1075" i="1"/>
  <c r="Q1075" i="1"/>
  <c r="R1075" i="1" s="1"/>
  <c r="P1075" i="1"/>
  <c r="O1075" i="1"/>
  <c r="N1075" i="1"/>
  <c r="K1075" i="1"/>
  <c r="J1075" i="1"/>
  <c r="D1075" i="1"/>
  <c r="C1075" i="1"/>
  <c r="T1074" i="1"/>
  <c r="S1074" i="1"/>
  <c r="Q1074" i="1"/>
  <c r="R1074" i="1" s="1"/>
  <c r="P1074" i="1"/>
  <c r="O1074" i="1"/>
  <c r="N1074" i="1"/>
  <c r="K1074" i="1"/>
  <c r="J1074" i="1"/>
  <c r="D1074" i="1"/>
  <c r="C1074" i="1"/>
  <c r="T1073" i="1"/>
  <c r="S1073" i="1"/>
  <c r="Q1073" i="1"/>
  <c r="R1073" i="1" s="1"/>
  <c r="P1073" i="1"/>
  <c r="O1073" i="1"/>
  <c r="N1073" i="1"/>
  <c r="K1073" i="1"/>
  <c r="J1073" i="1"/>
  <c r="D1073" i="1"/>
  <c r="C1073" i="1"/>
  <c r="T1072" i="1"/>
  <c r="S1072" i="1"/>
  <c r="Q1072" i="1"/>
  <c r="R1072" i="1" s="1"/>
  <c r="P1072" i="1"/>
  <c r="O1072" i="1"/>
  <c r="N1072" i="1"/>
  <c r="K1072" i="1"/>
  <c r="J1072" i="1"/>
  <c r="D1072" i="1"/>
  <c r="C1072" i="1"/>
  <c r="T1071" i="1"/>
  <c r="S1071" i="1"/>
  <c r="Q1071" i="1"/>
  <c r="R1071" i="1" s="1"/>
  <c r="P1071" i="1"/>
  <c r="O1071" i="1"/>
  <c r="N1071" i="1"/>
  <c r="K1071" i="1"/>
  <c r="J1071" i="1"/>
  <c r="D1071" i="1"/>
  <c r="C1071" i="1"/>
  <c r="T1070" i="1"/>
  <c r="S1070" i="1"/>
  <c r="Q1070" i="1"/>
  <c r="R1070" i="1" s="1"/>
  <c r="P1070" i="1"/>
  <c r="O1070" i="1"/>
  <c r="N1070" i="1"/>
  <c r="K1070" i="1"/>
  <c r="J1070" i="1"/>
  <c r="D1070" i="1"/>
  <c r="C1070" i="1"/>
  <c r="T1069" i="1"/>
  <c r="S1069" i="1"/>
  <c r="Q1069" i="1"/>
  <c r="R1069" i="1" s="1"/>
  <c r="P1069" i="1"/>
  <c r="O1069" i="1"/>
  <c r="N1069" i="1"/>
  <c r="K1069" i="1"/>
  <c r="J1069" i="1"/>
  <c r="D1069" i="1"/>
  <c r="C1069" i="1"/>
  <c r="T1068" i="1"/>
  <c r="S1068" i="1"/>
  <c r="Q1068" i="1"/>
  <c r="R1068" i="1" s="1"/>
  <c r="P1068" i="1"/>
  <c r="O1068" i="1"/>
  <c r="N1068" i="1"/>
  <c r="K1068" i="1"/>
  <c r="J1068" i="1"/>
  <c r="D1068" i="1"/>
  <c r="C1068" i="1"/>
  <c r="T1067" i="1"/>
  <c r="S1067" i="1"/>
  <c r="Q1067" i="1"/>
  <c r="R1067" i="1" s="1"/>
  <c r="P1067" i="1"/>
  <c r="O1067" i="1"/>
  <c r="N1067" i="1"/>
  <c r="K1067" i="1"/>
  <c r="J1067" i="1"/>
  <c r="D1067" i="1"/>
  <c r="C1067" i="1"/>
  <c r="T1066" i="1"/>
  <c r="S1066" i="1"/>
  <c r="Q1066" i="1"/>
  <c r="R1066" i="1" s="1"/>
  <c r="P1066" i="1"/>
  <c r="O1066" i="1"/>
  <c r="N1066" i="1"/>
  <c r="K1066" i="1"/>
  <c r="J1066" i="1"/>
  <c r="D1066" i="1"/>
  <c r="C1066" i="1"/>
  <c r="T1065" i="1"/>
  <c r="S1065" i="1"/>
  <c r="Q1065" i="1"/>
  <c r="R1065" i="1" s="1"/>
  <c r="P1065" i="1"/>
  <c r="O1065" i="1"/>
  <c r="N1065" i="1"/>
  <c r="K1065" i="1"/>
  <c r="J1065" i="1"/>
  <c r="D1065" i="1"/>
  <c r="C1065" i="1"/>
  <c r="T1064" i="1"/>
  <c r="S1064" i="1"/>
  <c r="Q1064" i="1"/>
  <c r="R1064" i="1" s="1"/>
  <c r="P1064" i="1"/>
  <c r="O1064" i="1"/>
  <c r="N1064" i="1"/>
  <c r="K1064" i="1"/>
  <c r="J1064" i="1"/>
  <c r="D1064" i="1"/>
  <c r="C1064" i="1"/>
  <c r="T1063" i="1"/>
  <c r="S1063" i="1"/>
  <c r="Q1063" i="1"/>
  <c r="R1063" i="1" s="1"/>
  <c r="P1063" i="1"/>
  <c r="O1063" i="1"/>
  <c r="N1063" i="1"/>
  <c r="K1063" i="1"/>
  <c r="J1063" i="1"/>
  <c r="D1063" i="1"/>
  <c r="C1063" i="1"/>
  <c r="T1062" i="1"/>
  <c r="S1062" i="1"/>
  <c r="Q1062" i="1"/>
  <c r="R1062" i="1" s="1"/>
  <c r="P1062" i="1"/>
  <c r="O1062" i="1"/>
  <c r="N1062" i="1"/>
  <c r="K1062" i="1"/>
  <c r="J1062" i="1"/>
  <c r="D1062" i="1"/>
  <c r="C1062" i="1"/>
  <c r="T1061" i="1"/>
  <c r="S1061" i="1"/>
  <c r="R1061" i="1"/>
  <c r="Q1061" i="1"/>
  <c r="P1061" i="1"/>
  <c r="O1061" i="1"/>
  <c r="N1061" i="1"/>
  <c r="K1061" i="1"/>
  <c r="J1061" i="1"/>
  <c r="L1061" i="1" s="1"/>
  <c r="D1061" i="1"/>
  <c r="C1061" i="1"/>
  <c r="T1060" i="1"/>
  <c r="S1060" i="1"/>
  <c r="Q1060" i="1"/>
  <c r="R1060" i="1" s="1"/>
  <c r="P1060" i="1"/>
  <c r="O1060" i="1"/>
  <c r="N1060" i="1"/>
  <c r="K1060" i="1"/>
  <c r="J1060" i="1"/>
  <c r="D1060" i="1"/>
  <c r="C1060" i="1"/>
  <c r="T1059" i="1"/>
  <c r="S1059" i="1"/>
  <c r="Q1059" i="1"/>
  <c r="R1059" i="1" s="1"/>
  <c r="P1059" i="1"/>
  <c r="O1059" i="1"/>
  <c r="N1059" i="1"/>
  <c r="K1059" i="1"/>
  <c r="J1059" i="1"/>
  <c r="L1059" i="1" s="1"/>
  <c r="D1059" i="1"/>
  <c r="C1059" i="1"/>
  <c r="T1058" i="1"/>
  <c r="S1058" i="1"/>
  <c r="Q1058" i="1"/>
  <c r="R1058" i="1" s="1"/>
  <c r="P1058" i="1"/>
  <c r="O1058" i="1"/>
  <c r="N1058" i="1"/>
  <c r="K1058" i="1"/>
  <c r="J1058" i="1"/>
  <c r="D1058" i="1"/>
  <c r="C1058" i="1"/>
  <c r="T1057" i="1"/>
  <c r="S1057" i="1"/>
  <c r="Q1057" i="1"/>
  <c r="R1057" i="1" s="1"/>
  <c r="P1057" i="1"/>
  <c r="O1057" i="1"/>
  <c r="N1057" i="1"/>
  <c r="K1057" i="1"/>
  <c r="J1057" i="1"/>
  <c r="D1057" i="1"/>
  <c r="C1057" i="1"/>
  <c r="T1056" i="1"/>
  <c r="S1056" i="1"/>
  <c r="Q1056" i="1"/>
  <c r="R1056" i="1" s="1"/>
  <c r="P1056" i="1"/>
  <c r="O1056" i="1"/>
  <c r="N1056" i="1"/>
  <c r="K1056" i="1"/>
  <c r="J1056" i="1"/>
  <c r="D1056" i="1"/>
  <c r="C1056" i="1"/>
  <c r="T1055" i="1"/>
  <c r="S1055" i="1"/>
  <c r="Q1055" i="1"/>
  <c r="R1055" i="1" s="1"/>
  <c r="P1055" i="1"/>
  <c r="O1055" i="1"/>
  <c r="N1055" i="1"/>
  <c r="K1055" i="1"/>
  <c r="J1055" i="1"/>
  <c r="D1055" i="1"/>
  <c r="C1055" i="1"/>
  <c r="T1054" i="1"/>
  <c r="S1054" i="1"/>
  <c r="Q1054" i="1"/>
  <c r="R1054" i="1" s="1"/>
  <c r="P1054" i="1"/>
  <c r="O1054" i="1"/>
  <c r="N1054" i="1"/>
  <c r="K1054" i="1"/>
  <c r="J1054" i="1"/>
  <c r="D1054" i="1"/>
  <c r="C1054" i="1"/>
  <c r="T1053" i="1"/>
  <c r="S1053" i="1"/>
  <c r="Q1053" i="1"/>
  <c r="R1053" i="1" s="1"/>
  <c r="P1053" i="1"/>
  <c r="O1053" i="1"/>
  <c r="N1053" i="1"/>
  <c r="K1053" i="1"/>
  <c r="J1053" i="1"/>
  <c r="D1053" i="1"/>
  <c r="C1053" i="1"/>
  <c r="T1052" i="1"/>
  <c r="S1052" i="1"/>
  <c r="Q1052" i="1"/>
  <c r="R1052" i="1" s="1"/>
  <c r="P1052" i="1"/>
  <c r="O1052" i="1"/>
  <c r="N1052" i="1"/>
  <c r="K1052" i="1"/>
  <c r="J1052" i="1"/>
  <c r="D1052" i="1"/>
  <c r="C1052" i="1"/>
  <c r="T1051" i="1"/>
  <c r="S1051" i="1"/>
  <c r="Q1051" i="1"/>
  <c r="R1051" i="1" s="1"/>
  <c r="P1051" i="1"/>
  <c r="O1051" i="1"/>
  <c r="N1051" i="1"/>
  <c r="K1051" i="1"/>
  <c r="J1051" i="1"/>
  <c r="D1051" i="1"/>
  <c r="C1051" i="1"/>
  <c r="T1050" i="1"/>
  <c r="S1050" i="1"/>
  <c r="Q1050" i="1"/>
  <c r="R1050" i="1" s="1"/>
  <c r="P1050" i="1"/>
  <c r="O1050" i="1"/>
  <c r="N1050" i="1"/>
  <c r="K1050" i="1"/>
  <c r="J1050" i="1"/>
  <c r="D1050" i="1"/>
  <c r="C1050" i="1"/>
  <c r="T1049" i="1"/>
  <c r="S1049" i="1"/>
  <c r="Q1049" i="1"/>
  <c r="R1049" i="1" s="1"/>
  <c r="P1049" i="1"/>
  <c r="O1049" i="1"/>
  <c r="N1049" i="1"/>
  <c r="K1049" i="1"/>
  <c r="J1049" i="1"/>
  <c r="D1049" i="1"/>
  <c r="C1049" i="1"/>
  <c r="T1048" i="1"/>
  <c r="S1048" i="1"/>
  <c r="R1048" i="1"/>
  <c r="Q1048" i="1"/>
  <c r="P1048" i="1"/>
  <c r="O1048" i="1"/>
  <c r="N1048" i="1"/>
  <c r="K1048" i="1"/>
  <c r="J1048" i="1"/>
  <c r="D1048" i="1"/>
  <c r="C1048" i="1"/>
  <c r="T1047" i="1"/>
  <c r="S1047" i="1"/>
  <c r="Q1047" i="1"/>
  <c r="R1047" i="1" s="1"/>
  <c r="P1047" i="1"/>
  <c r="O1047" i="1"/>
  <c r="N1047" i="1"/>
  <c r="K1047" i="1"/>
  <c r="J1047" i="1"/>
  <c r="D1047" i="1"/>
  <c r="C1047" i="1"/>
  <c r="T1046" i="1"/>
  <c r="S1046" i="1"/>
  <c r="Q1046" i="1"/>
  <c r="R1046" i="1" s="1"/>
  <c r="P1046" i="1"/>
  <c r="O1046" i="1"/>
  <c r="N1046" i="1"/>
  <c r="K1046" i="1"/>
  <c r="J1046" i="1"/>
  <c r="D1046" i="1"/>
  <c r="C1046" i="1"/>
  <c r="T1045" i="1"/>
  <c r="S1045" i="1"/>
  <c r="Q1045" i="1"/>
  <c r="R1045" i="1" s="1"/>
  <c r="P1045" i="1"/>
  <c r="O1045" i="1"/>
  <c r="N1045" i="1"/>
  <c r="K1045" i="1"/>
  <c r="J1045" i="1"/>
  <c r="D1045" i="1"/>
  <c r="C1045" i="1"/>
  <c r="T1044" i="1"/>
  <c r="S1044" i="1"/>
  <c r="Q1044" i="1"/>
  <c r="R1044" i="1" s="1"/>
  <c r="P1044" i="1"/>
  <c r="O1044" i="1"/>
  <c r="N1044" i="1"/>
  <c r="K1044" i="1"/>
  <c r="J1044" i="1"/>
  <c r="D1044" i="1"/>
  <c r="C1044" i="1"/>
  <c r="T1043" i="1"/>
  <c r="S1043" i="1"/>
  <c r="Q1043" i="1"/>
  <c r="R1043" i="1" s="1"/>
  <c r="P1043" i="1"/>
  <c r="O1043" i="1"/>
  <c r="N1043" i="1"/>
  <c r="K1043" i="1"/>
  <c r="J1043" i="1"/>
  <c r="D1043" i="1"/>
  <c r="C1043" i="1"/>
  <c r="T1042" i="1"/>
  <c r="S1042" i="1"/>
  <c r="Q1042" i="1"/>
  <c r="R1042" i="1" s="1"/>
  <c r="P1042" i="1"/>
  <c r="O1042" i="1"/>
  <c r="N1042" i="1"/>
  <c r="K1042" i="1"/>
  <c r="J1042" i="1"/>
  <c r="D1042" i="1"/>
  <c r="C1042" i="1"/>
  <c r="T1041" i="1"/>
  <c r="S1041" i="1"/>
  <c r="Q1041" i="1"/>
  <c r="R1041" i="1" s="1"/>
  <c r="P1041" i="1"/>
  <c r="O1041" i="1"/>
  <c r="N1041" i="1"/>
  <c r="K1041" i="1"/>
  <c r="J1041" i="1"/>
  <c r="D1041" i="1"/>
  <c r="C1041" i="1"/>
  <c r="T1040" i="1"/>
  <c r="S1040" i="1"/>
  <c r="R1040" i="1"/>
  <c r="Q1040" i="1"/>
  <c r="P1040" i="1"/>
  <c r="O1040" i="1"/>
  <c r="N1040" i="1"/>
  <c r="K1040" i="1"/>
  <c r="J1040" i="1"/>
  <c r="L1040" i="1" s="1"/>
  <c r="D1040" i="1"/>
  <c r="C1040" i="1"/>
  <c r="T1039" i="1"/>
  <c r="S1039" i="1"/>
  <c r="Q1039" i="1"/>
  <c r="R1039" i="1" s="1"/>
  <c r="P1039" i="1"/>
  <c r="O1039" i="1"/>
  <c r="N1039" i="1"/>
  <c r="K1039" i="1"/>
  <c r="J1039" i="1"/>
  <c r="D1039" i="1"/>
  <c r="C1039" i="1"/>
  <c r="T1038" i="1"/>
  <c r="S1038" i="1"/>
  <c r="Q1038" i="1"/>
  <c r="R1038" i="1" s="1"/>
  <c r="P1038" i="1"/>
  <c r="O1038" i="1"/>
  <c r="N1038" i="1"/>
  <c r="K1038" i="1"/>
  <c r="J1038" i="1"/>
  <c r="L1038" i="1" s="1"/>
  <c r="D1038" i="1"/>
  <c r="C1038" i="1"/>
  <c r="T1037" i="1"/>
  <c r="S1037" i="1"/>
  <c r="Q1037" i="1"/>
  <c r="R1037" i="1" s="1"/>
  <c r="P1037" i="1"/>
  <c r="O1037" i="1"/>
  <c r="N1037" i="1"/>
  <c r="K1037" i="1"/>
  <c r="J1037" i="1"/>
  <c r="D1037" i="1"/>
  <c r="C1037" i="1"/>
  <c r="T1036" i="1"/>
  <c r="S1036" i="1"/>
  <c r="Q1036" i="1"/>
  <c r="R1036" i="1" s="1"/>
  <c r="P1036" i="1"/>
  <c r="O1036" i="1"/>
  <c r="N1036" i="1"/>
  <c r="K1036" i="1"/>
  <c r="J1036" i="1"/>
  <c r="L1036" i="1" s="1"/>
  <c r="D1036" i="1"/>
  <c r="C1036" i="1"/>
  <c r="T1035" i="1"/>
  <c r="S1035" i="1"/>
  <c r="Q1035" i="1"/>
  <c r="R1035" i="1" s="1"/>
  <c r="P1035" i="1"/>
  <c r="O1035" i="1"/>
  <c r="N1035" i="1"/>
  <c r="K1035" i="1"/>
  <c r="J1035" i="1"/>
  <c r="D1035" i="1"/>
  <c r="C1035" i="1"/>
  <c r="T1034" i="1"/>
  <c r="S1034" i="1"/>
  <c r="Q1034" i="1"/>
  <c r="R1034" i="1" s="1"/>
  <c r="P1034" i="1"/>
  <c r="O1034" i="1"/>
  <c r="N1034" i="1"/>
  <c r="K1034" i="1"/>
  <c r="J1034" i="1"/>
  <c r="D1034" i="1"/>
  <c r="C1034" i="1"/>
  <c r="T1033" i="1"/>
  <c r="S1033" i="1"/>
  <c r="Q1033" i="1"/>
  <c r="R1033" i="1" s="1"/>
  <c r="P1033" i="1"/>
  <c r="O1033" i="1"/>
  <c r="N1033" i="1"/>
  <c r="K1033" i="1"/>
  <c r="J1033" i="1"/>
  <c r="D1033" i="1"/>
  <c r="C1033" i="1"/>
  <c r="T1032" i="1"/>
  <c r="S1032" i="1"/>
  <c r="Q1032" i="1"/>
  <c r="R1032" i="1" s="1"/>
  <c r="P1032" i="1"/>
  <c r="O1032" i="1"/>
  <c r="N1032" i="1"/>
  <c r="K1032" i="1"/>
  <c r="J1032" i="1"/>
  <c r="L1032" i="1" s="1"/>
  <c r="D1032" i="1"/>
  <c r="C1032" i="1"/>
  <c r="T1031" i="1"/>
  <c r="S1031" i="1"/>
  <c r="Q1031" i="1"/>
  <c r="R1031" i="1" s="1"/>
  <c r="P1031" i="1"/>
  <c r="O1031" i="1"/>
  <c r="N1031" i="1"/>
  <c r="K1031" i="1"/>
  <c r="J1031" i="1"/>
  <c r="D1031" i="1"/>
  <c r="C1031" i="1"/>
  <c r="T1030" i="1"/>
  <c r="S1030" i="1"/>
  <c r="Q1030" i="1"/>
  <c r="R1030" i="1" s="1"/>
  <c r="P1030" i="1"/>
  <c r="O1030" i="1"/>
  <c r="N1030" i="1"/>
  <c r="K1030" i="1"/>
  <c r="J1030" i="1"/>
  <c r="L1030" i="1" s="1"/>
  <c r="D1030" i="1"/>
  <c r="C1030" i="1"/>
  <c r="T1029" i="1"/>
  <c r="S1029" i="1"/>
  <c r="Q1029" i="1"/>
  <c r="R1029" i="1" s="1"/>
  <c r="P1029" i="1"/>
  <c r="O1029" i="1"/>
  <c r="N1029" i="1"/>
  <c r="K1029" i="1"/>
  <c r="J1029" i="1"/>
  <c r="D1029" i="1"/>
  <c r="C1029" i="1"/>
  <c r="T1028" i="1"/>
  <c r="S1028" i="1"/>
  <c r="Q1028" i="1"/>
  <c r="R1028" i="1" s="1"/>
  <c r="P1028" i="1"/>
  <c r="O1028" i="1"/>
  <c r="N1028" i="1"/>
  <c r="K1028" i="1"/>
  <c r="J1028" i="1"/>
  <c r="L1028" i="1" s="1"/>
  <c r="D1028" i="1"/>
  <c r="C1028" i="1"/>
  <c r="T1027" i="1"/>
  <c r="S1027" i="1"/>
  <c r="Q1027" i="1"/>
  <c r="R1027" i="1" s="1"/>
  <c r="P1027" i="1"/>
  <c r="O1027" i="1"/>
  <c r="N1027" i="1"/>
  <c r="K1027" i="1"/>
  <c r="J1027" i="1"/>
  <c r="D1027" i="1"/>
  <c r="C1027" i="1"/>
  <c r="T1026" i="1"/>
  <c r="S1026" i="1"/>
  <c r="Q1026" i="1"/>
  <c r="R1026" i="1" s="1"/>
  <c r="P1026" i="1"/>
  <c r="O1026" i="1"/>
  <c r="N1026" i="1"/>
  <c r="K1026" i="1"/>
  <c r="J1026" i="1"/>
  <c r="D1026" i="1"/>
  <c r="C1026" i="1"/>
  <c r="T1025" i="1"/>
  <c r="S1025" i="1"/>
  <c r="Q1025" i="1"/>
  <c r="R1025" i="1" s="1"/>
  <c r="P1025" i="1"/>
  <c r="O1025" i="1"/>
  <c r="N1025" i="1"/>
  <c r="K1025" i="1"/>
  <c r="J1025" i="1"/>
  <c r="D1025" i="1"/>
  <c r="C1025" i="1"/>
  <c r="T1024" i="1"/>
  <c r="S1024" i="1"/>
  <c r="Q1024" i="1"/>
  <c r="R1024" i="1" s="1"/>
  <c r="P1024" i="1"/>
  <c r="O1024" i="1"/>
  <c r="N1024" i="1"/>
  <c r="K1024" i="1"/>
  <c r="J1024" i="1"/>
  <c r="D1024" i="1"/>
  <c r="C1024" i="1"/>
  <c r="T1023" i="1"/>
  <c r="S1023" i="1"/>
  <c r="Q1023" i="1"/>
  <c r="R1023" i="1" s="1"/>
  <c r="P1023" i="1"/>
  <c r="O1023" i="1"/>
  <c r="N1023" i="1"/>
  <c r="K1023" i="1"/>
  <c r="J1023" i="1"/>
  <c r="D1023" i="1"/>
  <c r="C1023" i="1"/>
  <c r="T1022" i="1"/>
  <c r="S1022" i="1"/>
  <c r="Q1022" i="1"/>
  <c r="R1022" i="1" s="1"/>
  <c r="P1022" i="1"/>
  <c r="O1022" i="1"/>
  <c r="N1022" i="1"/>
  <c r="K1022" i="1"/>
  <c r="J1022" i="1"/>
  <c r="D1022" i="1"/>
  <c r="C1022" i="1"/>
  <c r="T1021" i="1"/>
  <c r="S1021" i="1"/>
  <c r="Q1021" i="1"/>
  <c r="R1021" i="1" s="1"/>
  <c r="P1021" i="1"/>
  <c r="O1021" i="1"/>
  <c r="N1021" i="1"/>
  <c r="K1021" i="1"/>
  <c r="J1021" i="1"/>
  <c r="D1021" i="1"/>
  <c r="C1021" i="1"/>
  <c r="T1020" i="1"/>
  <c r="S1020" i="1"/>
  <c r="Q1020" i="1"/>
  <c r="R1020" i="1" s="1"/>
  <c r="P1020" i="1"/>
  <c r="O1020" i="1"/>
  <c r="N1020" i="1"/>
  <c r="K1020" i="1"/>
  <c r="J1020" i="1"/>
  <c r="D1020" i="1"/>
  <c r="C1020" i="1"/>
  <c r="T1019" i="1"/>
  <c r="S1019" i="1"/>
  <c r="Q1019" i="1"/>
  <c r="R1019" i="1" s="1"/>
  <c r="P1019" i="1"/>
  <c r="O1019" i="1"/>
  <c r="N1019" i="1"/>
  <c r="K1019" i="1"/>
  <c r="J1019" i="1"/>
  <c r="D1019" i="1"/>
  <c r="C1019" i="1"/>
  <c r="T1018" i="1"/>
  <c r="S1018" i="1"/>
  <c r="Q1018" i="1"/>
  <c r="R1018" i="1" s="1"/>
  <c r="P1018" i="1"/>
  <c r="O1018" i="1"/>
  <c r="N1018" i="1"/>
  <c r="K1018" i="1"/>
  <c r="J1018" i="1"/>
  <c r="D1018" i="1"/>
  <c r="C1018" i="1"/>
  <c r="T1017" i="1"/>
  <c r="S1017" i="1"/>
  <c r="Q1017" i="1"/>
  <c r="R1017" i="1" s="1"/>
  <c r="P1017" i="1"/>
  <c r="O1017" i="1"/>
  <c r="N1017" i="1"/>
  <c r="K1017" i="1"/>
  <c r="J1017" i="1"/>
  <c r="D1017" i="1"/>
  <c r="C1017" i="1"/>
  <c r="T1016" i="1"/>
  <c r="S1016" i="1"/>
  <c r="R1016" i="1"/>
  <c r="Q1016" i="1"/>
  <c r="P1016" i="1"/>
  <c r="O1016" i="1"/>
  <c r="N1016" i="1"/>
  <c r="K1016" i="1"/>
  <c r="J1016" i="1"/>
  <c r="D1016" i="1"/>
  <c r="C1016" i="1"/>
  <c r="T1015" i="1"/>
  <c r="S1015" i="1"/>
  <c r="Q1015" i="1"/>
  <c r="R1015" i="1" s="1"/>
  <c r="P1015" i="1"/>
  <c r="O1015" i="1"/>
  <c r="N1015" i="1"/>
  <c r="K1015" i="1"/>
  <c r="J1015" i="1"/>
  <c r="D1015" i="1"/>
  <c r="C1015" i="1"/>
  <c r="T1014" i="1"/>
  <c r="S1014" i="1"/>
  <c r="Q1014" i="1"/>
  <c r="R1014" i="1" s="1"/>
  <c r="P1014" i="1"/>
  <c r="O1014" i="1"/>
  <c r="N1014" i="1"/>
  <c r="K1014" i="1"/>
  <c r="J1014" i="1"/>
  <c r="D1014" i="1"/>
  <c r="C1014" i="1"/>
  <c r="T1013" i="1"/>
  <c r="S1013" i="1"/>
  <c r="Q1013" i="1"/>
  <c r="R1013" i="1" s="1"/>
  <c r="P1013" i="1"/>
  <c r="O1013" i="1"/>
  <c r="N1013" i="1"/>
  <c r="K1013" i="1"/>
  <c r="J1013" i="1"/>
  <c r="D1013" i="1"/>
  <c r="C1013" i="1"/>
  <c r="T1012" i="1"/>
  <c r="S1012" i="1"/>
  <c r="Q1012" i="1"/>
  <c r="R1012" i="1" s="1"/>
  <c r="P1012" i="1"/>
  <c r="O1012" i="1"/>
  <c r="N1012" i="1"/>
  <c r="K1012" i="1"/>
  <c r="J1012" i="1"/>
  <c r="D1012" i="1"/>
  <c r="C1012" i="1"/>
  <c r="T1011" i="1"/>
  <c r="S1011" i="1"/>
  <c r="Q1011" i="1"/>
  <c r="R1011" i="1" s="1"/>
  <c r="P1011" i="1"/>
  <c r="O1011" i="1"/>
  <c r="N1011" i="1"/>
  <c r="K1011" i="1"/>
  <c r="J1011" i="1"/>
  <c r="D1011" i="1"/>
  <c r="C1011" i="1"/>
  <c r="T1010" i="1"/>
  <c r="S1010" i="1"/>
  <c r="Q1010" i="1"/>
  <c r="R1010" i="1" s="1"/>
  <c r="P1010" i="1"/>
  <c r="O1010" i="1"/>
  <c r="N1010" i="1"/>
  <c r="K1010" i="1"/>
  <c r="J1010" i="1"/>
  <c r="D1010" i="1"/>
  <c r="C1010" i="1"/>
  <c r="T1009" i="1"/>
  <c r="S1009" i="1"/>
  <c r="Q1009" i="1"/>
  <c r="R1009" i="1" s="1"/>
  <c r="P1009" i="1"/>
  <c r="O1009" i="1"/>
  <c r="N1009" i="1"/>
  <c r="K1009" i="1"/>
  <c r="J1009" i="1"/>
  <c r="D1009" i="1"/>
  <c r="C1009" i="1"/>
  <c r="T1008" i="1"/>
  <c r="S1008" i="1"/>
  <c r="R1008" i="1"/>
  <c r="Q1008" i="1"/>
  <c r="P1008" i="1"/>
  <c r="O1008" i="1"/>
  <c r="N1008" i="1"/>
  <c r="K1008" i="1"/>
  <c r="J1008" i="1"/>
  <c r="L1008" i="1" s="1"/>
  <c r="D1008" i="1"/>
  <c r="C1008" i="1"/>
  <c r="T1007" i="1"/>
  <c r="S1007" i="1"/>
  <c r="Q1007" i="1"/>
  <c r="R1007" i="1" s="1"/>
  <c r="P1007" i="1"/>
  <c r="O1007" i="1"/>
  <c r="N1007" i="1"/>
  <c r="K1007" i="1"/>
  <c r="J1007" i="1"/>
  <c r="D1007" i="1"/>
  <c r="C1007" i="1"/>
  <c r="T1006" i="1"/>
  <c r="S1006" i="1"/>
  <c r="Q1006" i="1"/>
  <c r="R1006" i="1" s="1"/>
  <c r="P1006" i="1"/>
  <c r="O1006" i="1"/>
  <c r="N1006" i="1"/>
  <c r="K1006" i="1"/>
  <c r="J1006" i="1"/>
  <c r="L1006" i="1" s="1"/>
  <c r="D1006" i="1"/>
  <c r="C1006" i="1"/>
  <c r="T1005" i="1"/>
  <c r="S1005" i="1"/>
  <c r="Q1005" i="1"/>
  <c r="R1005" i="1" s="1"/>
  <c r="P1005" i="1"/>
  <c r="O1005" i="1"/>
  <c r="N1005" i="1"/>
  <c r="K1005" i="1"/>
  <c r="J1005" i="1"/>
  <c r="D1005" i="1"/>
  <c r="C1005" i="1"/>
  <c r="T1004" i="1"/>
  <c r="S1004" i="1"/>
  <c r="Q1004" i="1"/>
  <c r="R1004" i="1" s="1"/>
  <c r="P1004" i="1"/>
  <c r="O1004" i="1"/>
  <c r="N1004" i="1"/>
  <c r="K1004" i="1"/>
  <c r="J1004" i="1"/>
  <c r="L1004" i="1" s="1"/>
  <c r="D1004" i="1"/>
  <c r="C1004" i="1"/>
  <c r="T1003" i="1"/>
  <c r="S1003" i="1"/>
  <c r="Q1003" i="1"/>
  <c r="R1003" i="1" s="1"/>
  <c r="P1003" i="1"/>
  <c r="O1003" i="1"/>
  <c r="N1003" i="1"/>
  <c r="K1003" i="1"/>
  <c r="J1003" i="1"/>
  <c r="D1003" i="1"/>
  <c r="C1003" i="1"/>
  <c r="T1002" i="1"/>
  <c r="S1002" i="1"/>
  <c r="Q1002" i="1"/>
  <c r="R1002" i="1" s="1"/>
  <c r="P1002" i="1"/>
  <c r="O1002" i="1"/>
  <c r="N1002" i="1"/>
  <c r="K1002" i="1"/>
  <c r="J1002" i="1"/>
  <c r="D1002" i="1"/>
  <c r="C1002" i="1"/>
  <c r="T1001" i="1"/>
  <c r="S1001" i="1"/>
  <c r="Q1001" i="1"/>
  <c r="R1001" i="1" s="1"/>
  <c r="P1001" i="1"/>
  <c r="O1001" i="1"/>
  <c r="N1001" i="1"/>
  <c r="K1001" i="1"/>
  <c r="J1001" i="1"/>
  <c r="D1001" i="1"/>
  <c r="C1001" i="1"/>
  <c r="T1000" i="1"/>
  <c r="S1000" i="1"/>
  <c r="Q1000" i="1"/>
  <c r="R1000" i="1" s="1"/>
  <c r="P1000" i="1"/>
  <c r="O1000" i="1"/>
  <c r="N1000" i="1"/>
  <c r="K1000" i="1"/>
  <c r="J1000" i="1"/>
  <c r="L1000" i="1" s="1"/>
  <c r="D1000" i="1"/>
  <c r="C1000" i="1"/>
  <c r="T999" i="1"/>
  <c r="S999" i="1"/>
  <c r="Q999" i="1"/>
  <c r="R999" i="1" s="1"/>
  <c r="P999" i="1"/>
  <c r="O999" i="1"/>
  <c r="N999" i="1"/>
  <c r="K999" i="1"/>
  <c r="J999" i="1"/>
  <c r="D999" i="1"/>
  <c r="C999" i="1"/>
  <c r="T998" i="1"/>
  <c r="S998" i="1"/>
  <c r="Q998" i="1"/>
  <c r="R998" i="1" s="1"/>
  <c r="P998" i="1"/>
  <c r="O998" i="1"/>
  <c r="N998" i="1"/>
  <c r="K998" i="1"/>
  <c r="J998" i="1"/>
  <c r="L998" i="1" s="1"/>
  <c r="D998" i="1"/>
  <c r="C998" i="1"/>
  <c r="T997" i="1"/>
  <c r="S997" i="1"/>
  <c r="Q997" i="1"/>
  <c r="R997" i="1" s="1"/>
  <c r="P997" i="1"/>
  <c r="O997" i="1"/>
  <c r="N997" i="1"/>
  <c r="K997" i="1"/>
  <c r="J997" i="1"/>
  <c r="D997" i="1"/>
  <c r="C997" i="1"/>
  <c r="T996" i="1"/>
  <c r="S996" i="1"/>
  <c r="Q996" i="1"/>
  <c r="R996" i="1" s="1"/>
  <c r="P996" i="1"/>
  <c r="O996" i="1"/>
  <c r="N996" i="1"/>
  <c r="K996" i="1"/>
  <c r="J996" i="1"/>
  <c r="L996" i="1" s="1"/>
  <c r="D996" i="1"/>
  <c r="C996" i="1"/>
  <c r="T995" i="1"/>
  <c r="S995" i="1"/>
  <c r="Q995" i="1"/>
  <c r="R995" i="1" s="1"/>
  <c r="P995" i="1"/>
  <c r="O995" i="1"/>
  <c r="N995" i="1"/>
  <c r="K995" i="1"/>
  <c r="J995" i="1"/>
  <c r="D995" i="1"/>
  <c r="C995" i="1"/>
  <c r="T994" i="1"/>
  <c r="S994" i="1"/>
  <c r="Q994" i="1"/>
  <c r="R994" i="1" s="1"/>
  <c r="P994" i="1"/>
  <c r="O994" i="1"/>
  <c r="N994" i="1"/>
  <c r="K994" i="1"/>
  <c r="J994" i="1"/>
  <c r="D994" i="1"/>
  <c r="C994" i="1"/>
  <c r="T993" i="1"/>
  <c r="S993" i="1"/>
  <c r="Q993" i="1"/>
  <c r="R993" i="1" s="1"/>
  <c r="P993" i="1"/>
  <c r="O993" i="1"/>
  <c r="N993" i="1"/>
  <c r="K993" i="1"/>
  <c r="J993" i="1"/>
  <c r="D993" i="1"/>
  <c r="C993" i="1"/>
  <c r="T992" i="1"/>
  <c r="S992" i="1"/>
  <c r="Q992" i="1"/>
  <c r="R992" i="1" s="1"/>
  <c r="P992" i="1"/>
  <c r="O992" i="1"/>
  <c r="N992" i="1"/>
  <c r="K992" i="1"/>
  <c r="J992" i="1"/>
  <c r="D992" i="1"/>
  <c r="C992" i="1"/>
  <c r="T991" i="1"/>
  <c r="S991" i="1"/>
  <c r="Q991" i="1"/>
  <c r="R991" i="1" s="1"/>
  <c r="P991" i="1"/>
  <c r="O991" i="1"/>
  <c r="N991" i="1"/>
  <c r="K991" i="1"/>
  <c r="J991" i="1"/>
  <c r="D991" i="1"/>
  <c r="C991" i="1"/>
  <c r="T990" i="1"/>
  <c r="S990" i="1"/>
  <c r="Q990" i="1"/>
  <c r="R990" i="1" s="1"/>
  <c r="P990" i="1"/>
  <c r="O990" i="1"/>
  <c r="N990" i="1"/>
  <c r="K990" i="1"/>
  <c r="J990" i="1"/>
  <c r="D990" i="1"/>
  <c r="C990" i="1"/>
  <c r="T989" i="1"/>
  <c r="S989" i="1"/>
  <c r="Q989" i="1"/>
  <c r="R989" i="1" s="1"/>
  <c r="P989" i="1"/>
  <c r="O989" i="1"/>
  <c r="N989" i="1"/>
  <c r="K989" i="1"/>
  <c r="J989" i="1"/>
  <c r="D989" i="1"/>
  <c r="C989" i="1"/>
  <c r="T988" i="1"/>
  <c r="S988" i="1"/>
  <c r="Q988" i="1"/>
  <c r="R988" i="1" s="1"/>
  <c r="P988" i="1"/>
  <c r="O988" i="1"/>
  <c r="N988" i="1"/>
  <c r="K988" i="1"/>
  <c r="J988" i="1"/>
  <c r="D988" i="1"/>
  <c r="C988" i="1"/>
  <c r="T987" i="1"/>
  <c r="S987" i="1"/>
  <c r="Q987" i="1"/>
  <c r="R987" i="1" s="1"/>
  <c r="P987" i="1"/>
  <c r="O987" i="1"/>
  <c r="N987" i="1"/>
  <c r="K987" i="1"/>
  <c r="J987" i="1"/>
  <c r="D987" i="1"/>
  <c r="C987" i="1"/>
  <c r="T986" i="1"/>
  <c r="S986" i="1"/>
  <c r="Q986" i="1"/>
  <c r="R986" i="1" s="1"/>
  <c r="P986" i="1"/>
  <c r="O986" i="1"/>
  <c r="N986" i="1"/>
  <c r="K986" i="1"/>
  <c r="J986" i="1"/>
  <c r="D986" i="1"/>
  <c r="C986" i="1"/>
  <c r="T985" i="1"/>
  <c r="S985" i="1"/>
  <c r="Q985" i="1"/>
  <c r="R985" i="1" s="1"/>
  <c r="P985" i="1"/>
  <c r="O985" i="1"/>
  <c r="N985" i="1"/>
  <c r="K985" i="1"/>
  <c r="J985" i="1"/>
  <c r="D985" i="1"/>
  <c r="C985" i="1"/>
  <c r="T984" i="1"/>
  <c r="S984" i="1"/>
  <c r="R984" i="1"/>
  <c r="Q984" i="1"/>
  <c r="P984" i="1"/>
  <c r="O984" i="1"/>
  <c r="N984" i="1"/>
  <c r="K984" i="1"/>
  <c r="J984" i="1"/>
  <c r="D984" i="1"/>
  <c r="C984" i="1"/>
  <c r="T983" i="1"/>
  <c r="S983" i="1"/>
  <c r="Q983" i="1"/>
  <c r="R983" i="1" s="1"/>
  <c r="P983" i="1"/>
  <c r="O983" i="1"/>
  <c r="N983" i="1"/>
  <c r="K983" i="1"/>
  <c r="J983" i="1"/>
  <c r="D983" i="1"/>
  <c r="C983" i="1"/>
  <c r="T982" i="1"/>
  <c r="S982" i="1"/>
  <c r="Q982" i="1"/>
  <c r="R982" i="1" s="1"/>
  <c r="P982" i="1"/>
  <c r="O982" i="1"/>
  <c r="N982" i="1"/>
  <c r="K982" i="1"/>
  <c r="J982" i="1"/>
  <c r="D982" i="1"/>
  <c r="C982" i="1"/>
  <c r="T981" i="1"/>
  <c r="S981" i="1"/>
  <c r="Q981" i="1"/>
  <c r="R981" i="1" s="1"/>
  <c r="P981" i="1"/>
  <c r="O981" i="1"/>
  <c r="N981" i="1"/>
  <c r="K981" i="1"/>
  <c r="J981" i="1"/>
  <c r="D981" i="1"/>
  <c r="C981" i="1"/>
  <c r="T980" i="1"/>
  <c r="S980" i="1"/>
  <c r="Q980" i="1"/>
  <c r="R980" i="1" s="1"/>
  <c r="P980" i="1"/>
  <c r="O980" i="1"/>
  <c r="N980" i="1"/>
  <c r="K980" i="1"/>
  <c r="J980" i="1"/>
  <c r="D980" i="1"/>
  <c r="C980" i="1"/>
  <c r="T979" i="1"/>
  <c r="S979" i="1"/>
  <c r="Q979" i="1"/>
  <c r="R979" i="1" s="1"/>
  <c r="P979" i="1"/>
  <c r="O979" i="1"/>
  <c r="N979" i="1"/>
  <c r="K979" i="1"/>
  <c r="J979" i="1"/>
  <c r="D979" i="1"/>
  <c r="C979" i="1"/>
  <c r="T978" i="1"/>
  <c r="S978" i="1"/>
  <c r="Q978" i="1"/>
  <c r="R978" i="1" s="1"/>
  <c r="P978" i="1"/>
  <c r="O978" i="1"/>
  <c r="N978" i="1"/>
  <c r="K978" i="1"/>
  <c r="J978" i="1"/>
  <c r="D978" i="1"/>
  <c r="C978" i="1"/>
  <c r="T977" i="1"/>
  <c r="S977" i="1"/>
  <c r="Q977" i="1"/>
  <c r="R977" i="1" s="1"/>
  <c r="P977" i="1"/>
  <c r="O977" i="1"/>
  <c r="N977" i="1"/>
  <c r="K977" i="1"/>
  <c r="J977" i="1"/>
  <c r="D977" i="1"/>
  <c r="C977" i="1"/>
  <c r="T976" i="1"/>
  <c r="S976" i="1"/>
  <c r="Q976" i="1"/>
  <c r="R976" i="1" s="1"/>
  <c r="P976" i="1"/>
  <c r="O976" i="1"/>
  <c r="N976" i="1"/>
  <c r="K976" i="1"/>
  <c r="J976" i="1"/>
  <c r="L976" i="1" s="1"/>
  <c r="D976" i="1"/>
  <c r="C976" i="1"/>
  <c r="T975" i="1"/>
  <c r="S975" i="1"/>
  <c r="Q975" i="1"/>
  <c r="R975" i="1" s="1"/>
  <c r="P975" i="1"/>
  <c r="O975" i="1"/>
  <c r="N975" i="1"/>
  <c r="K975" i="1"/>
  <c r="J975" i="1"/>
  <c r="D975" i="1"/>
  <c r="C975" i="1"/>
  <c r="T974" i="1"/>
  <c r="S974" i="1"/>
  <c r="Q974" i="1"/>
  <c r="R974" i="1" s="1"/>
  <c r="P974" i="1"/>
  <c r="O974" i="1"/>
  <c r="N974" i="1"/>
  <c r="K974" i="1"/>
  <c r="J974" i="1"/>
  <c r="L974" i="1" s="1"/>
  <c r="D974" i="1"/>
  <c r="C974" i="1"/>
  <c r="T973" i="1"/>
  <c r="S973" i="1"/>
  <c r="Q973" i="1"/>
  <c r="R973" i="1" s="1"/>
  <c r="P973" i="1"/>
  <c r="O973" i="1"/>
  <c r="N973" i="1"/>
  <c r="K973" i="1"/>
  <c r="J973" i="1"/>
  <c r="D973" i="1"/>
  <c r="C973" i="1"/>
  <c r="T972" i="1"/>
  <c r="S972" i="1"/>
  <c r="Q972" i="1"/>
  <c r="R972" i="1" s="1"/>
  <c r="P972" i="1"/>
  <c r="O972" i="1"/>
  <c r="N972" i="1"/>
  <c r="K972" i="1"/>
  <c r="J972" i="1"/>
  <c r="L972" i="1" s="1"/>
  <c r="D972" i="1"/>
  <c r="C972" i="1"/>
  <c r="T971" i="1"/>
  <c r="S971" i="1"/>
  <c r="Q971" i="1"/>
  <c r="R971" i="1" s="1"/>
  <c r="P971" i="1"/>
  <c r="O971" i="1"/>
  <c r="N971" i="1"/>
  <c r="K971" i="1"/>
  <c r="J971" i="1"/>
  <c r="D971" i="1"/>
  <c r="C971" i="1"/>
  <c r="T970" i="1"/>
  <c r="S970" i="1"/>
  <c r="Q970" i="1"/>
  <c r="R970" i="1" s="1"/>
  <c r="P970" i="1"/>
  <c r="O970" i="1"/>
  <c r="N970" i="1"/>
  <c r="K970" i="1"/>
  <c r="J970" i="1"/>
  <c r="D970" i="1"/>
  <c r="C970" i="1"/>
  <c r="T969" i="1"/>
  <c r="S969" i="1"/>
  <c r="Q969" i="1"/>
  <c r="R969" i="1" s="1"/>
  <c r="P969" i="1"/>
  <c r="O969" i="1"/>
  <c r="N969" i="1"/>
  <c r="K969" i="1"/>
  <c r="J969" i="1"/>
  <c r="D969" i="1"/>
  <c r="C969" i="1"/>
  <c r="T968" i="1"/>
  <c r="S968" i="1"/>
  <c r="Q968" i="1"/>
  <c r="R968" i="1" s="1"/>
  <c r="P968" i="1"/>
  <c r="O968" i="1"/>
  <c r="N968" i="1"/>
  <c r="K968" i="1"/>
  <c r="J968" i="1"/>
  <c r="L968" i="1" s="1"/>
  <c r="D968" i="1"/>
  <c r="C968" i="1"/>
  <c r="T967" i="1"/>
  <c r="S967" i="1"/>
  <c r="Q967" i="1"/>
  <c r="R967" i="1" s="1"/>
  <c r="P967" i="1"/>
  <c r="O967" i="1"/>
  <c r="N967" i="1"/>
  <c r="K967" i="1"/>
  <c r="J967" i="1"/>
  <c r="D967" i="1"/>
  <c r="C967" i="1"/>
  <c r="T966" i="1"/>
  <c r="S966" i="1"/>
  <c r="Q966" i="1"/>
  <c r="R966" i="1" s="1"/>
  <c r="P966" i="1"/>
  <c r="O966" i="1"/>
  <c r="N966" i="1"/>
  <c r="K966" i="1"/>
  <c r="J966" i="1"/>
  <c r="L966" i="1" s="1"/>
  <c r="D966" i="1"/>
  <c r="C966" i="1"/>
  <c r="T965" i="1"/>
  <c r="S965" i="1"/>
  <c r="Q965" i="1"/>
  <c r="R965" i="1" s="1"/>
  <c r="P965" i="1"/>
  <c r="O965" i="1"/>
  <c r="N965" i="1"/>
  <c r="K965" i="1"/>
  <c r="J965" i="1"/>
  <c r="D965" i="1"/>
  <c r="C965" i="1"/>
  <c r="T964" i="1"/>
  <c r="S964" i="1"/>
  <c r="Q964" i="1"/>
  <c r="R964" i="1" s="1"/>
  <c r="P964" i="1"/>
  <c r="O964" i="1"/>
  <c r="N964" i="1"/>
  <c r="K964" i="1"/>
  <c r="J964" i="1"/>
  <c r="L964" i="1" s="1"/>
  <c r="D964" i="1"/>
  <c r="C964" i="1"/>
  <c r="T963" i="1"/>
  <c r="S963" i="1"/>
  <c r="Q963" i="1"/>
  <c r="R963" i="1" s="1"/>
  <c r="P963" i="1"/>
  <c r="O963" i="1"/>
  <c r="N963" i="1"/>
  <c r="K963" i="1"/>
  <c r="J963" i="1"/>
  <c r="D963" i="1"/>
  <c r="C963" i="1"/>
  <c r="T962" i="1"/>
  <c r="S962" i="1"/>
  <c r="Q962" i="1"/>
  <c r="R962" i="1" s="1"/>
  <c r="P962" i="1"/>
  <c r="O962" i="1"/>
  <c r="N962" i="1"/>
  <c r="K962" i="1"/>
  <c r="J962" i="1"/>
  <c r="D962" i="1"/>
  <c r="C962" i="1"/>
  <c r="T961" i="1"/>
  <c r="S961" i="1"/>
  <c r="Q961" i="1"/>
  <c r="R961" i="1" s="1"/>
  <c r="P961" i="1"/>
  <c r="O961" i="1"/>
  <c r="N961" i="1"/>
  <c r="K961" i="1"/>
  <c r="J961" i="1"/>
  <c r="D961" i="1"/>
  <c r="C961" i="1"/>
  <c r="T960" i="1"/>
  <c r="S960" i="1"/>
  <c r="Q960" i="1"/>
  <c r="R960" i="1" s="1"/>
  <c r="P960" i="1"/>
  <c r="O960" i="1"/>
  <c r="N960" i="1"/>
  <c r="K960" i="1"/>
  <c r="J960" i="1"/>
  <c r="D960" i="1"/>
  <c r="C960" i="1"/>
  <c r="T959" i="1"/>
  <c r="S959" i="1"/>
  <c r="Q959" i="1"/>
  <c r="R959" i="1" s="1"/>
  <c r="P959" i="1"/>
  <c r="O959" i="1"/>
  <c r="N959" i="1"/>
  <c r="K959" i="1"/>
  <c r="J959" i="1"/>
  <c r="D959" i="1"/>
  <c r="C959" i="1"/>
  <c r="T958" i="1"/>
  <c r="S958" i="1"/>
  <c r="Q958" i="1"/>
  <c r="R958" i="1" s="1"/>
  <c r="P958" i="1"/>
  <c r="O958" i="1"/>
  <c r="N958" i="1"/>
  <c r="K958" i="1"/>
  <c r="J958" i="1"/>
  <c r="D958" i="1"/>
  <c r="C958" i="1"/>
  <c r="T957" i="1"/>
  <c r="S957" i="1"/>
  <c r="Q957" i="1"/>
  <c r="R957" i="1" s="1"/>
  <c r="P957" i="1"/>
  <c r="O957" i="1"/>
  <c r="N957" i="1"/>
  <c r="K957" i="1"/>
  <c r="J957" i="1"/>
  <c r="D957" i="1"/>
  <c r="C957" i="1"/>
  <c r="T956" i="1"/>
  <c r="S956" i="1"/>
  <c r="Q956" i="1"/>
  <c r="R956" i="1" s="1"/>
  <c r="P956" i="1"/>
  <c r="O956" i="1"/>
  <c r="N956" i="1"/>
  <c r="K956" i="1"/>
  <c r="J956" i="1"/>
  <c r="D956" i="1"/>
  <c r="C956" i="1"/>
  <c r="T955" i="1"/>
  <c r="S955" i="1"/>
  <c r="Q955" i="1"/>
  <c r="R955" i="1" s="1"/>
  <c r="P955" i="1"/>
  <c r="O955" i="1"/>
  <c r="N955" i="1"/>
  <c r="K955" i="1"/>
  <c r="J955" i="1"/>
  <c r="D955" i="1"/>
  <c r="C955" i="1"/>
  <c r="T954" i="1"/>
  <c r="S954" i="1"/>
  <c r="Q954" i="1"/>
  <c r="R954" i="1" s="1"/>
  <c r="P954" i="1"/>
  <c r="O954" i="1"/>
  <c r="N954" i="1"/>
  <c r="K954" i="1"/>
  <c r="J954" i="1"/>
  <c r="D954" i="1"/>
  <c r="C954" i="1"/>
  <c r="T953" i="1"/>
  <c r="S953" i="1"/>
  <c r="Q953" i="1"/>
  <c r="R953" i="1" s="1"/>
  <c r="P953" i="1"/>
  <c r="O953" i="1"/>
  <c r="N953" i="1"/>
  <c r="K953" i="1"/>
  <c r="J953" i="1"/>
  <c r="D953" i="1"/>
  <c r="C953" i="1"/>
  <c r="T952" i="1"/>
  <c r="S952" i="1"/>
  <c r="R952" i="1"/>
  <c r="Q952" i="1"/>
  <c r="P952" i="1"/>
  <c r="O952" i="1"/>
  <c r="N952" i="1"/>
  <c r="K952" i="1"/>
  <c r="J952" i="1"/>
  <c r="L952" i="1" s="1"/>
  <c r="D952" i="1"/>
  <c r="C952" i="1"/>
  <c r="T951" i="1"/>
  <c r="S951" i="1"/>
  <c r="Q951" i="1"/>
  <c r="R951" i="1" s="1"/>
  <c r="P951" i="1"/>
  <c r="O951" i="1"/>
  <c r="N951" i="1"/>
  <c r="K951" i="1"/>
  <c r="J951" i="1"/>
  <c r="D951" i="1"/>
  <c r="C951" i="1"/>
  <c r="T950" i="1"/>
  <c r="S950" i="1"/>
  <c r="Q950" i="1"/>
  <c r="R950" i="1" s="1"/>
  <c r="P950" i="1"/>
  <c r="O950" i="1"/>
  <c r="N950" i="1"/>
  <c r="K950" i="1"/>
  <c r="J950" i="1"/>
  <c r="L950" i="1" s="1"/>
  <c r="D950" i="1"/>
  <c r="C950" i="1"/>
  <c r="T949" i="1"/>
  <c r="S949" i="1"/>
  <c r="Q949" i="1"/>
  <c r="R949" i="1" s="1"/>
  <c r="P949" i="1"/>
  <c r="O949" i="1"/>
  <c r="N949" i="1"/>
  <c r="K949" i="1"/>
  <c r="J949" i="1"/>
  <c r="D949" i="1"/>
  <c r="C949" i="1"/>
  <c r="T948" i="1"/>
  <c r="S948" i="1"/>
  <c r="Q948" i="1"/>
  <c r="R948" i="1" s="1"/>
  <c r="P948" i="1"/>
  <c r="O948" i="1"/>
  <c r="N948" i="1"/>
  <c r="K948" i="1"/>
  <c r="J948" i="1"/>
  <c r="L948" i="1" s="1"/>
  <c r="D948" i="1"/>
  <c r="C948" i="1"/>
  <c r="T947" i="1"/>
  <c r="S947" i="1"/>
  <c r="Q947" i="1"/>
  <c r="R947" i="1" s="1"/>
  <c r="P947" i="1"/>
  <c r="O947" i="1"/>
  <c r="N947" i="1"/>
  <c r="K947" i="1"/>
  <c r="J947" i="1"/>
  <c r="D947" i="1"/>
  <c r="C947" i="1"/>
  <c r="T946" i="1"/>
  <c r="S946" i="1"/>
  <c r="Q946" i="1"/>
  <c r="R946" i="1" s="1"/>
  <c r="P946" i="1"/>
  <c r="O946" i="1"/>
  <c r="N946" i="1"/>
  <c r="K946" i="1"/>
  <c r="J946" i="1"/>
  <c r="D946" i="1"/>
  <c r="C946" i="1"/>
  <c r="T945" i="1"/>
  <c r="S945" i="1"/>
  <c r="Q945" i="1"/>
  <c r="R945" i="1" s="1"/>
  <c r="P945" i="1"/>
  <c r="O945" i="1"/>
  <c r="N945" i="1"/>
  <c r="K945" i="1"/>
  <c r="J945" i="1"/>
  <c r="D945" i="1"/>
  <c r="C945" i="1"/>
  <c r="T944" i="1"/>
  <c r="S944" i="1"/>
  <c r="R944" i="1"/>
  <c r="Q944" i="1"/>
  <c r="P944" i="1"/>
  <c r="O944" i="1"/>
  <c r="N944" i="1"/>
  <c r="K944" i="1"/>
  <c r="J944" i="1"/>
  <c r="L944" i="1" s="1"/>
  <c r="D944" i="1"/>
  <c r="C944" i="1"/>
  <c r="T943" i="1"/>
  <c r="S943" i="1"/>
  <c r="Q943" i="1"/>
  <c r="R943" i="1" s="1"/>
  <c r="P943" i="1"/>
  <c r="O943" i="1"/>
  <c r="N943" i="1"/>
  <c r="K943" i="1"/>
  <c r="J943" i="1"/>
  <c r="D943" i="1"/>
  <c r="C943" i="1"/>
  <c r="T942" i="1"/>
  <c r="S942" i="1"/>
  <c r="Q942" i="1"/>
  <c r="R942" i="1" s="1"/>
  <c r="P942" i="1"/>
  <c r="O942" i="1"/>
  <c r="N942" i="1"/>
  <c r="K942" i="1"/>
  <c r="J942" i="1"/>
  <c r="L942" i="1" s="1"/>
  <c r="D942" i="1"/>
  <c r="C942" i="1"/>
  <c r="T941" i="1"/>
  <c r="S941" i="1"/>
  <c r="R941" i="1"/>
  <c r="Q941" i="1"/>
  <c r="P941" i="1"/>
  <c r="O941" i="1"/>
  <c r="N941" i="1"/>
  <c r="K941" i="1"/>
  <c r="J941" i="1"/>
  <c r="D941" i="1"/>
  <c r="C941" i="1"/>
  <c r="T940" i="1"/>
  <c r="S940" i="1"/>
  <c r="Q940" i="1"/>
  <c r="R940" i="1" s="1"/>
  <c r="P940" i="1"/>
  <c r="O940" i="1"/>
  <c r="N940" i="1"/>
  <c r="K940" i="1"/>
  <c r="J940" i="1"/>
  <c r="D940" i="1"/>
  <c r="C940" i="1"/>
  <c r="T939" i="1"/>
  <c r="S939" i="1"/>
  <c r="Q939" i="1"/>
  <c r="R939" i="1" s="1"/>
  <c r="P939" i="1"/>
  <c r="O939" i="1"/>
  <c r="N939" i="1"/>
  <c r="K939" i="1"/>
  <c r="J939" i="1"/>
  <c r="D939" i="1"/>
  <c r="C939" i="1"/>
  <c r="T938" i="1"/>
  <c r="S938" i="1"/>
  <c r="Q938" i="1"/>
  <c r="R938" i="1" s="1"/>
  <c r="P938" i="1"/>
  <c r="O938" i="1"/>
  <c r="N938" i="1"/>
  <c r="K938" i="1"/>
  <c r="J938" i="1"/>
  <c r="D938" i="1"/>
  <c r="C938" i="1"/>
  <c r="T937" i="1"/>
  <c r="S937" i="1"/>
  <c r="Q937" i="1"/>
  <c r="R937" i="1" s="1"/>
  <c r="P937" i="1"/>
  <c r="O937" i="1"/>
  <c r="N937" i="1"/>
  <c r="K937" i="1"/>
  <c r="J937" i="1"/>
  <c r="D937" i="1"/>
  <c r="C937" i="1"/>
  <c r="T936" i="1"/>
  <c r="S936" i="1"/>
  <c r="Q936" i="1"/>
  <c r="R936" i="1" s="1"/>
  <c r="P936" i="1"/>
  <c r="O936" i="1"/>
  <c r="N936" i="1"/>
  <c r="K936" i="1"/>
  <c r="J936" i="1"/>
  <c r="D936" i="1"/>
  <c r="C936" i="1"/>
  <c r="T935" i="1"/>
  <c r="S935" i="1"/>
  <c r="Q935" i="1"/>
  <c r="R935" i="1" s="1"/>
  <c r="P935" i="1"/>
  <c r="O935" i="1"/>
  <c r="N935" i="1"/>
  <c r="K935" i="1"/>
  <c r="J935" i="1"/>
  <c r="D935" i="1"/>
  <c r="C935" i="1"/>
  <c r="T934" i="1"/>
  <c r="S934" i="1"/>
  <c r="Q934" i="1"/>
  <c r="R934" i="1" s="1"/>
  <c r="P934" i="1"/>
  <c r="O934" i="1"/>
  <c r="N934" i="1"/>
  <c r="K934" i="1"/>
  <c r="J934" i="1"/>
  <c r="D934" i="1"/>
  <c r="C934" i="1"/>
  <c r="T933" i="1"/>
  <c r="S933" i="1"/>
  <c r="Q933" i="1"/>
  <c r="R933" i="1" s="1"/>
  <c r="P933" i="1"/>
  <c r="O933" i="1"/>
  <c r="N933" i="1"/>
  <c r="K933" i="1"/>
  <c r="J933" i="1"/>
  <c r="D933" i="1"/>
  <c r="C933" i="1"/>
  <c r="T932" i="1"/>
  <c r="S932" i="1"/>
  <c r="Q932" i="1"/>
  <c r="R932" i="1" s="1"/>
  <c r="P932" i="1"/>
  <c r="O932" i="1"/>
  <c r="N932" i="1"/>
  <c r="K932" i="1"/>
  <c r="J932" i="1"/>
  <c r="D932" i="1"/>
  <c r="C932" i="1"/>
  <c r="T931" i="1"/>
  <c r="S931" i="1"/>
  <c r="Q931" i="1"/>
  <c r="R931" i="1" s="1"/>
  <c r="P931" i="1"/>
  <c r="O931" i="1"/>
  <c r="N931" i="1"/>
  <c r="K931" i="1"/>
  <c r="J931" i="1"/>
  <c r="D931" i="1"/>
  <c r="C931" i="1"/>
  <c r="T930" i="1"/>
  <c r="S930" i="1"/>
  <c r="Q930" i="1"/>
  <c r="R930" i="1" s="1"/>
  <c r="P930" i="1"/>
  <c r="O930" i="1"/>
  <c r="N930" i="1"/>
  <c r="K930" i="1"/>
  <c r="J930" i="1"/>
  <c r="D930" i="1"/>
  <c r="C930" i="1"/>
  <c r="T929" i="1"/>
  <c r="S929" i="1"/>
  <c r="Q929" i="1"/>
  <c r="R929" i="1" s="1"/>
  <c r="P929" i="1"/>
  <c r="O929" i="1"/>
  <c r="N929" i="1"/>
  <c r="K929" i="1"/>
  <c r="J929" i="1"/>
  <c r="D929" i="1"/>
  <c r="C929" i="1"/>
  <c r="T928" i="1"/>
  <c r="S928" i="1"/>
  <c r="R928" i="1"/>
  <c r="Q928" i="1"/>
  <c r="P928" i="1"/>
  <c r="O928" i="1"/>
  <c r="N928" i="1"/>
  <c r="K928" i="1"/>
  <c r="J928" i="1"/>
  <c r="D928" i="1"/>
  <c r="C928" i="1"/>
  <c r="T927" i="1"/>
  <c r="S927" i="1"/>
  <c r="Q927" i="1"/>
  <c r="R927" i="1" s="1"/>
  <c r="P927" i="1"/>
  <c r="O927" i="1"/>
  <c r="N927" i="1"/>
  <c r="K927" i="1"/>
  <c r="J927" i="1"/>
  <c r="D927" i="1"/>
  <c r="C927" i="1"/>
  <c r="T926" i="1"/>
  <c r="S926" i="1"/>
  <c r="Q926" i="1"/>
  <c r="R926" i="1" s="1"/>
  <c r="P926" i="1"/>
  <c r="O926" i="1"/>
  <c r="N926" i="1"/>
  <c r="K926" i="1"/>
  <c r="J926" i="1"/>
  <c r="L926" i="1" s="1"/>
  <c r="D926" i="1"/>
  <c r="C926" i="1"/>
  <c r="T925" i="1"/>
  <c r="S925" i="1"/>
  <c r="Q925" i="1"/>
  <c r="R925" i="1" s="1"/>
  <c r="P925" i="1"/>
  <c r="O925" i="1"/>
  <c r="N925" i="1"/>
  <c r="K925" i="1"/>
  <c r="J925" i="1"/>
  <c r="D925" i="1"/>
  <c r="C925" i="1"/>
  <c r="T924" i="1"/>
  <c r="S924" i="1"/>
  <c r="Q924" i="1"/>
  <c r="R924" i="1" s="1"/>
  <c r="P924" i="1"/>
  <c r="O924" i="1"/>
  <c r="N924" i="1"/>
  <c r="K924" i="1"/>
  <c r="J924" i="1"/>
  <c r="D924" i="1"/>
  <c r="C924" i="1"/>
  <c r="T923" i="1"/>
  <c r="S923" i="1"/>
  <c r="Q923" i="1"/>
  <c r="R923" i="1" s="1"/>
  <c r="P923" i="1"/>
  <c r="O923" i="1"/>
  <c r="N923" i="1"/>
  <c r="K923" i="1"/>
  <c r="J923" i="1"/>
  <c r="D923" i="1"/>
  <c r="C923" i="1"/>
  <c r="T922" i="1"/>
  <c r="S922" i="1"/>
  <c r="Q922" i="1"/>
  <c r="R922" i="1" s="1"/>
  <c r="P922" i="1"/>
  <c r="O922" i="1"/>
  <c r="N922" i="1"/>
  <c r="K922" i="1"/>
  <c r="J922" i="1"/>
  <c r="L922" i="1" s="1"/>
  <c r="D922" i="1"/>
  <c r="C922" i="1"/>
  <c r="T921" i="1"/>
  <c r="S921" i="1"/>
  <c r="Q921" i="1"/>
  <c r="R921" i="1" s="1"/>
  <c r="P921" i="1"/>
  <c r="O921" i="1"/>
  <c r="N921" i="1"/>
  <c r="K921" i="1"/>
  <c r="J921" i="1"/>
  <c r="D921" i="1"/>
  <c r="C921" i="1"/>
  <c r="T920" i="1"/>
  <c r="S920" i="1"/>
  <c r="Q920" i="1"/>
  <c r="R920" i="1" s="1"/>
  <c r="P920" i="1"/>
  <c r="O920" i="1"/>
  <c r="N920" i="1"/>
  <c r="K920" i="1"/>
  <c r="J920" i="1"/>
  <c r="D920" i="1"/>
  <c r="C920" i="1"/>
  <c r="T919" i="1"/>
  <c r="S919" i="1"/>
  <c r="Q919" i="1"/>
  <c r="R919" i="1" s="1"/>
  <c r="P919" i="1"/>
  <c r="O919" i="1"/>
  <c r="N919" i="1"/>
  <c r="K919" i="1"/>
  <c r="J919" i="1"/>
  <c r="D919" i="1"/>
  <c r="C919" i="1"/>
  <c r="T918" i="1"/>
  <c r="S918" i="1"/>
  <c r="Q918" i="1"/>
  <c r="R918" i="1" s="1"/>
  <c r="P918" i="1"/>
  <c r="O918" i="1"/>
  <c r="N918" i="1"/>
  <c r="K918" i="1"/>
  <c r="J918" i="1"/>
  <c r="D918" i="1"/>
  <c r="C918" i="1"/>
  <c r="T917" i="1"/>
  <c r="S917" i="1"/>
  <c r="Q917" i="1"/>
  <c r="R917" i="1" s="1"/>
  <c r="P917" i="1"/>
  <c r="O917" i="1"/>
  <c r="N917" i="1"/>
  <c r="K917" i="1"/>
  <c r="J917" i="1"/>
  <c r="D917" i="1"/>
  <c r="C917" i="1"/>
  <c r="T916" i="1"/>
  <c r="S916" i="1"/>
  <c r="Q916" i="1"/>
  <c r="R916" i="1" s="1"/>
  <c r="P916" i="1"/>
  <c r="O916" i="1"/>
  <c r="N916" i="1"/>
  <c r="K916" i="1"/>
  <c r="J916" i="1"/>
  <c r="D916" i="1"/>
  <c r="C916" i="1"/>
  <c r="T915" i="1"/>
  <c r="S915" i="1"/>
  <c r="Q915" i="1"/>
  <c r="R915" i="1" s="1"/>
  <c r="P915" i="1"/>
  <c r="O915" i="1"/>
  <c r="N915" i="1"/>
  <c r="K915" i="1"/>
  <c r="J915" i="1"/>
  <c r="D915" i="1"/>
  <c r="C915" i="1"/>
  <c r="T914" i="1"/>
  <c r="S914" i="1"/>
  <c r="Q914" i="1"/>
  <c r="R914" i="1" s="1"/>
  <c r="P914" i="1"/>
  <c r="O914" i="1"/>
  <c r="N914" i="1"/>
  <c r="K914" i="1"/>
  <c r="J914" i="1"/>
  <c r="L914" i="1" s="1"/>
  <c r="D914" i="1"/>
  <c r="C914" i="1"/>
  <c r="T913" i="1"/>
  <c r="S913" i="1"/>
  <c r="Q913" i="1"/>
  <c r="R913" i="1" s="1"/>
  <c r="P913" i="1"/>
  <c r="O913" i="1"/>
  <c r="N913" i="1"/>
  <c r="K913" i="1"/>
  <c r="J913" i="1"/>
  <c r="D913" i="1"/>
  <c r="C913" i="1"/>
  <c r="T912" i="1"/>
  <c r="S912" i="1"/>
  <c r="Q912" i="1"/>
  <c r="R912" i="1" s="1"/>
  <c r="P912" i="1"/>
  <c r="O912" i="1"/>
  <c r="N912" i="1"/>
  <c r="K912" i="1"/>
  <c r="J912" i="1"/>
  <c r="D912" i="1"/>
  <c r="C912" i="1"/>
  <c r="T911" i="1"/>
  <c r="S911" i="1"/>
  <c r="Q911" i="1"/>
  <c r="R911" i="1" s="1"/>
  <c r="P911" i="1"/>
  <c r="O911" i="1"/>
  <c r="N911" i="1"/>
  <c r="K911" i="1"/>
  <c r="J911" i="1"/>
  <c r="D911" i="1"/>
  <c r="C911" i="1"/>
  <c r="T910" i="1"/>
  <c r="S910" i="1"/>
  <c r="Q910" i="1"/>
  <c r="R910" i="1" s="1"/>
  <c r="P910" i="1"/>
  <c r="O910" i="1"/>
  <c r="N910" i="1"/>
  <c r="K910" i="1"/>
  <c r="J910" i="1"/>
  <c r="D910" i="1"/>
  <c r="C910" i="1"/>
  <c r="T909" i="1"/>
  <c r="S909" i="1"/>
  <c r="Q909" i="1"/>
  <c r="R909" i="1" s="1"/>
  <c r="P909" i="1"/>
  <c r="O909" i="1"/>
  <c r="N909" i="1"/>
  <c r="K909" i="1"/>
  <c r="J909" i="1"/>
  <c r="D909" i="1"/>
  <c r="C909" i="1"/>
  <c r="T908" i="1"/>
  <c r="S908" i="1"/>
  <c r="Q908" i="1"/>
  <c r="R908" i="1" s="1"/>
  <c r="P908" i="1"/>
  <c r="O908" i="1"/>
  <c r="N908" i="1"/>
  <c r="K908" i="1"/>
  <c r="J908" i="1"/>
  <c r="D908" i="1"/>
  <c r="C908" i="1"/>
  <c r="T907" i="1"/>
  <c r="S907" i="1"/>
  <c r="Q907" i="1"/>
  <c r="R907" i="1" s="1"/>
  <c r="P907" i="1"/>
  <c r="O907" i="1"/>
  <c r="N907" i="1"/>
  <c r="K907" i="1"/>
  <c r="J907" i="1"/>
  <c r="D907" i="1"/>
  <c r="C907" i="1"/>
  <c r="T906" i="1"/>
  <c r="S906" i="1"/>
  <c r="R906" i="1"/>
  <c r="Q906" i="1"/>
  <c r="P906" i="1"/>
  <c r="O906" i="1"/>
  <c r="N906" i="1"/>
  <c r="K906" i="1"/>
  <c r="J906" i="1"/>
  <c r="L906" i="1" s="1"/>
  <c r="D906" i="1"/>
  <c r="C906" i="1"/>
  <c r="T905" i="1"/>
  <c r="S905" i="1"/>
  <c r="Q905" i="1"/>
  <c r="R905" i="1" s="1"/>
  <c r="P905" i="1"/>
  <c r="O905" i="1"/>
  <c r="N905" i="1"/>
  <c r="K905" i="1"/>
  <c r="J905" i="1"/>
  <c r="D905" i="1"/>
  <c r="C905" i="1"/>
  <c r="T904" i="1"/>
  <c r="S904" i="1"/>
  <c r="Q904" i="1"/>
  <c r="R904" i="1" s="1"/>
  <c r="P904" i="1"/>
  <c r="O904" i="1"/>
  <c r="N904" i="1"/>
  <c r="K904" i="1"/>
  <c r="J904" i="1"/>
  <c r="D904" i="1"/>
  <c r="C904" i="1"/>
  <c r="T903" i="1"/>
  <c r="S903" i="1"/>
  <c r="Q903" i="1"/>
  <c r="R903" i="1" s="1"/>
  <c r="P903" i="1"/>
  <c r="O903" i="1"/>
  <c r="N903" i="1"/>
  <c r="K903" i="1"/>
  <c r="J903" i="1"/>
  <c r="D903" i="1"/>
  <c r="C903" i="1"/>
  <c r="T902" i="1"/>
  <c r="S902" i="1"/>
  <c r="Q902" i="1"/>
  <c r="R902" i="1" s="1"/>
  <c r="P902" i="1"/>
  <c r="O902" i="1"/>
  <c r="N902" i="1"/>
  <c r="K902" i="1"/>
  <c r="J902" i="1"/>
  <c r="D902" i="1"/>
  <c r="C902" i="1"/>
  <c r="T901" i="1"/>
  <c r="S901" i="1"/>
  <c r="Q901" i="1"/>
  <c r="R901" i="1" s="1"/>
  <c r="P901" i="1"/>
  <c r="O901" i="1"/>
  <c r="N901" i="1"/>
  <c r="K901" i="1"/>
  <c r="J901" i="1"/>
  <c r="D901" i="1"/>
  <c r="C901" i="1"/>
  <c r="T900" i="1"/>
  <c r="S900" i="1"/>
  <c r="Q900" i="1"/>
  <c r="R900" i="1" s="1"/>
  <c r="P900" i="1"/>
  <c r="O900" i="1"/>
  <c r="N900" i="1"/>
  <c r="K900" i="1"/>
  <c r="J900" i="1"/>
  <c r="D900" i="1"/>
  <c r="C900" i="1"/>
  <c r="T899" i="1"/>
  <c r="S899" i="1"/>
  <c r="Q899" i="1"/>
  <c r="R899" i="1" s="1"/>
  <c r="P899" i="1"/>
  <c r="O899" i="1"/>
  <c r="N899" i="1"/>
  <c r="K899" i="1"/>
  <c r="J899" i="1"/>
  <c r="D899" i="1"/>
  <c r="C899" i="1"/>
  <c r="T898" i="1"/>
  <c r="S898" i="1"/>
  <c r="Q898" i="1"/>
  <c r="R898" i="1" s="1"/>
  <c r="P898" i="1"/>
  <c r="O898" i="1"/>
  <c r="N898" i="1"/>
  <c r="K898" i="1"/>
  <c r="J898" i="1"/>
  <c r="D898" i="1"/>
  <c r="C898" i="1"/>
  <c r="T897" i="1"/>
  <c r="S897" i="1"/>
  <c r="R897" i="1"/>
  <c r="Q897" i="1"/>
  <c r="P897" i="1"/>
  <c r="O897" i="1"/>
  <c r="N897" i="1"/>
  <c r="K897" i="1"/>
  <c r="J897" i="1"/>
  <c r="D897" i="1"/>
  <c r="C897" i="1"/>
  <c r="T896" i="1"/>
  <c r="S896" i="1"/>
  <c r="Q896" i="1"/>
  <c r="R896" i="1" s="1"/>
  <c r="P896" i="1"/>
  <c r="O896" i="1"/>
  <c r="N896" i="1"/>
  <c r="K896" i="1"/>
  <c r="J896" i="1"/>
  <c r="D896" i="1"/>
  <c r="C896" i="1"/>
  <c r="T895" i="1"/>
  <c r="S895" i="1"/>
  <c r="Q895" i="1"/>
  <c r="R895" i="1" s="1"/>
  <c r="P895" i="1"/>
  <c r="O895" i="1"/>
  <c r="N895" i="1"/>
  <c r="K895" i="1"/>
  <c r="J895" i="1"/>
  <c r="D895" i="1"/>
  <c r="C895" i="1"/>
  <c r="T894" i="1"/>
  <c r="S894" i="1"/>
  <c r="R894" i="1"/>
  <c r="Q894" i="1"/>
  <c r="P894" i="1"/>
  <c r="O894" i="1"/>
  <c r="N894" i="1"/>
  <c r="K894" i="1"/>
  <c r="J894" i="1"/>
  <c r="L894" i="1" s="1"/>
  <c r="D894" i="1"/>
  <c r="C894" i="1"/>
  <c r="T893" i="1"/>
  <c r="S893" i="1"/>
  <c r="Q893" i="1"/>
  <c r="R893" i="1" s="1"/>
  <c r="P893" i="1"/>
  <c r="O893" i="1"/>
  <c r="N893" i="1"/>
  <c r="K893" i="1"/>
  <c r="J893" i="1"/>
  <c r="D893" i="1"/>
  <c r="C893" i="1"/>
  <c r="T892" i="1"/>
  <c r="S892" i="1"/>
  <c r="Q892" i="1"/>
  <c r="R892" i="1" s="1"/>
  <c r="P892" i="1"/>
  <c r="O892" i="1"/>
  <c r="N892" i="1"/>
  <c r="K892" i="1"/>
  <c r="J892" i="1"/>
  <c r="D892" i="1"/>
  <c r="C892" i="1"/>
  <c r="T891" i="1"/>
  <c r="S891" i="1"/>
  <c r="Q891" i="1"/>
  <c r="R891" i="1" s="1"/>
  <c r="P891" i="1"/>
  <c r="O891" i="1"/>
  <c r="N891" i="1"/>
  <c r="K891" i="1"/>
  <c r="J891" i="1"/>
  <c r="D891" i="1"/>
  <c r="C891" i="1"/>
  <c r="T890" i="1"/>
  <c r="S890" i="1"/>
  <c r="R890" i="1"/>
  <c r="Q890" i="1"/>
  <c r="P890" i="1"/>
  <c r="O890" i="1"/>
  <c r="N890" i="1"/>
  <c r="K890" i="1"/>
  <c r="J890" i="1"/>
  <c r="D890" i="1"/>
  <c r="C890" i="1"/>
  <c r="T889" i="1"/>
  <c r="S889" i="1"/>
  <c r="Q889" i="1"/>
  <c r="R889" i="1" s="1"/>
  <c r="P889" i="1"/>
  <c r="O889" i="1"/>
  <c r="N889" i="1"/>
  <c r="K889" i="1"/>
  <c r="J889" i="1"/>
  <c r="D889" i="1"/>
  <c r="C889" i="1"/>
  <c r="T888" i="1"/>
  <c r="S888" i="1"/>
  <c r="Q888" i="1"/>
  <c r="R888" i="1" s="1"/>
  <c r="P888" i="1"/>
  <c r="O888" i="1"/>
  <c r="N888" i="1"/>
  <c r="K888" i="1"/>
  <c r="J888" i="1"/>
  <c r="D888" i="1"/>
  <c r="C888" i="1"/>
  <c r="T887" i="1"/>
  <c r="S887" i="1"/>
  <c r="Q887" i="1"/>
  <c r="R887" i="1" s="1"/>
  <c r="P887" i="1"/>
  <c r="O887" i="1"/>
  <c r="N887" i="1"/>
  <c r="K887" i="1"/>
  <c r="J887" i="1"/>
  <c r="D887" i="1"/>
  <c r="C887" i="1"/>
  <c r="T886" i="1"/>
  <c r="S886" i="1"/>
  <c r="Q886" i="1"/>
  <c r="R886" i="1" s="1"/>
  <c r="P886" i="1"/>
  <c r="O886" i="1"/>
  <c r="N886" i="1"/>
  <c r="K886" i="1"/>
  <c r="J886" i="1"/>
  <c r="D886" i="1"/>
  <c r="C886" i="1"/>
  <c r="T885" i="1"/>
  <c r="S885" i="1"/>
  <c r="Q885" i="1"/>
  <c r="R885" i="1" s="1"/>
  <c r="P885" i="1"/>
  <c r="O885" i="1"/>
  <c r="N885" i="1"/>
  <c r="K885" i="1"/>
  <c r="J885" i="1"/>
  <c r="D885" i="1"/>
  <c r="C885" i="1"/>
  <c r="T884" i="1"/>
  <c r="S884" i="1"/>
  <c r="Q884" i="1"/>
  <c r="R884" i="1" s="1"/>
  <c r="P884" i="1"/>
  <c r="O884" i="1"/>
  <c r="N884" i="1"/>
  <c r="K884" i="1"/>
  <c r="J884" i="1"/>
  <c r="D884" i="1"/>
  <c r="C884" i="1"/>
  <c r="T883" i="1"/>
  <c r="S883" i="1"/>
  <c r="Q883" i="1"/>
  <c r="R883" i="1" s="1"/>
  <c r="P883" i="1"/>
  <c r="O883" i="1"/>
  <c r="N883" i="1"/>
  <c r="K883" i="1"/>
  <c r="J883" i="1"/>
  <c r="D883" i="1"/>
  <c r="C883" i="1"/>
  <c r="T882" i="1"/>
  <c r="S882" i="1"/>
  <c r="Q882" i="1"/>
  <c r="R882" i="1" s="1"/>
  <c r="P882" i="1"/>
  <c r="O882" i="1"/>
  <c r="N882" i="1"/>
  <c r="K882" i="1"/>
  <c r="J882" i="1"/>
  <c r="D882" i="1"/>
  <c r="C882" i="1"/>
  <c r="T881" i="1"/>
  <c r="S881" i="1"/>
  <c r="R881" i="1"/>
  <c r="Q881" i="1"/>
  <c r="P881" i="1"/>
  <c r="O881" i="1"/>
  <c r="N881" i="1"/>
  <c r="K881" i="1"/>
  <c r="J881" i="1"/>
  <c r="D881" i="1"/>
  <c r="C881" i="1"/>
  <c r="T880" i="1"/>
  <c r="S880" i="1"/>
  <c r="Q880" i="1"/>
  <c r="R880" i="1" s="1"/>
  <c r="P880" i="1"/>
  <c r="O880" i="1"/>
  <c r="N880" i="1"/>
  <c r="K880" i="1"/>
  <c r="J880" i="1"/>
  <c r="D880" i="1"/>
  <c r="C880" i="1"/>
  <c r="T879" i="1"/>
  <c r="S879" i="1"/>
  <c r="Q879" i="1"/>
  <c r="R879" i="1" s="1"/>
  <c r="P879" i="1"/>
  <c r="O879" i="1"/>
  <c r="N879" i="1"/>
  <c r="K879" i="1"/>
  <c r="J879" i="1"/>
  <c r="D879" i="1"/>
  <c r="C879" i="1"/>
  <c r="T878" i="1"/>
  <c r="S878" i="1"/>
  <c r="R878" i="1"/>
  <c r="Q878" i="1"/>
  <c r="P878" i="1"/>
  <c r="O878" i="1"/>
  <c r="N878" i="1"/>
  <c r="K878" i="1"/>
  <c r="J878" i="1"/>
  <c r="L878" i="1" s="1"/>
  <c r="D878" i="1"/>
  <c r="C878" i="1"/>
  <c r="T877" i="1"/>
  <c r="S877" i="1"/>
  <c r="Q877" i="1"/>
  <c r="R877" i="1" s="1"/>
  <c r="P877" i="1"/>
  <c r="O877" i="1"/>
  <c r="N877" i="1"/>
  <c r="K877" i="1"/>
  <c r="J877" i="1"/>
  <c r="D877" i="1"/>
  <c r="C877" i="1"/>
  <c r="T876" i="1"/>
  <c r="S876" i="1"/>
  <c r="Q876" i="1"/>
  <c r="R876" i="1" s="1"/>
  <c r="P876" i="1"/>
  <c r="O876" i="1"/>
  <c r="N876" i="1"/>
  <c r="K876" i="1"/>
  <c r="J876" i="1"/>
  <c r="D876" i="1"/>
  <c r="C876" i="1"/>
  <c r="T875" i="1"/>
  <c r="S875" i="1"/>
  <c r="Q875" i="1"/>
  <c r="R875" i="1" s="1"/>
  <c r="P875" i="1"/>
  <c r="O875" i="1"/>
  <c r="N875" i="1"/>
  <c r="K875" i="1"/>
  <c r="J875" i="1"/>
  <c r="D875" i="1"/>
  <c r="C875" i="1"/>
  <c r="T874" i="1"/>
  <c r="S874" i="1"/>
  <c r="R874" i="1"/>
  <c r="Q874" i="1"/>
  <c r="P874" i="1"/>
  <c r="O874" i="1"/>
  <c r="N874" i="1"/>
  <c r="K874" i="1"/>
  <c r="J874" i="1"/>
  <c r="D874" i="1"/>
  <c r="C874" i="1"/>
  <c r="T873" i="1"/>
  <c r="S873" i="1"/>
  <c r="Q873" i="1"/>
  <c r="R873" i="1" s="1"/>
  <c r="P873" i="1"/>
  <c r="O873" i="1"/>
  <c r="N873" i="1"/>
  <c r="K873" i="1"/>
  <c r="J873" i="1"/>
  <c r="D873" i="1"/>
  <c r="C873" i="1"/>
  <c r="T872" i="1"/>
  <c r="S872" i="1"/>
  <c r="Q872" i="1"/>
  <c r="R872" i="1" s="1"/>
  <c r="P872" i="1"/>
  <c r="O872" i="1"/>
  <c r="N872" i="1"/>
  <c r="K872" i="1"/>
  <c r="J872" i="1"/>
  <c r="D872" i="1"/>
  <c r="C872" i="1"/>
  <c r="T871" i="1"/>
  <c r="S871" i="1"/>
  <c r="Q871" i="1"/>
  <c r="R871" i="1" s="1"/>
  <c r="P871" i="1"/>
  <c r="O871" i="1"/>
  <c r="N871" i="1"/>
  <c r="K871" i="1"/>
  <c r="J871" i="1"/>
  <c r="D871" i="1"/>
  <c r="C871" i="1"/>
  <c r="T870" i="1"/>
  <c r="S870" i="1"/>
  <c r="Q870" i="1"/>
  <c r="R870" i="1" s="1"/>
  <c r="P870" i="1"/>
  <c r="O870" i="1"/>
  <c r="N870" i="1"/>
  <c r="K870" i="1"/>
  <c r="J870" i="1"/>
  <c r="D870" i="1"/>
  <c r="C870" i="1"/>
  <c r="T869" i="1"/>
  <c r="S869" i="1"/>
  <c r="Q869" i="1"/>
  <c r="R869" i="1" s="1"/>
  <c r="P869" i="1"/>
  <c r="O869" i="1"/>
  <c r="N869" i="1"/>
  <c r="K869" i="1"/>
  <c r="J869" i="1"/>
  <c r="D869" i="1"/>
  <c r="C869" i="1"/>
  <c r="T868" i="1"/>
  <c r="S868" i="1"/>
  <c r="Q868" i="1"/>
  <c r="R868" i="1" s="1"/>
  <c r="P868" i="1"/>
  <c r="O868" i="1"/>
  <c r="N868" i="1"/>
  <c r="K868" i="1"/>
  <c r="J868" i="1"/>
  <c r="D868" i="1"/>
  <c r="C868" i="1"/>
  <c r="T867" i="1"/>
  <c r="S867" i="1"/>
  <c r="Q867" i="1"/>
  <c r="R867" i="1" s="1"/>
  <c r="P867" i="1"/>
  <c r="O867" i="1"/>
  <c r="N867" i="1"/>
  <c r="K867" i="1"/>
  <c r="J867" i="1"/>
  <c r="D867" i="1"/>
  <c r="C867" i="1"/>
  <c r="T866" i="1"/>
  <c r="S866" i="1"/>
  <c r="Q866" i="1"/>
  <c r="R866" i="1" s="1"/>
  <c r="P866" i="1"/>
  <c r="O866" i="1"/>
  <c r="N866" i="1"/>
  <c r="K866" i="1"/>
  <c r="J866" i="1"/>
  <c r="D866" i="1"/>
  <c r="C866" i="1"/>
  <c r="T865" i="1"/>
  <c r="S865" i="1"/>
  <c r="Q865" i="1"/>
  <c r="R865" i="1" s="1"/>
  <c r="P865" i="1"/>
  <c r="O865" i="1"/>
  <c r="N865" i="1"/>
  <c r="K865" i="1"/>
  <c r="J865" i="1"/>
  <c r="D865" i="1"/>
  <c r="C865" i="1"/>
  <c r="T864" i="1"/>
  <c r="S864" i="1"/>
  <c r="R864" i="1"/>
  <c r="Q864" i="1"/>
  <c r="P864" i="1"/>
  <c r="O864" i="1"/>
  <c r="N864" i="1"/>
  <c r="K864" i="1"/>
  <c r="J864" i="1"/>
  <c r="D864" i="1"/>
  <c r="C864" i="1"/>
  <c r="T863" i="1"/>
  <c r="S863" i="1"/>
  <c r="Q863" i="1"/>
  <c r="R863" i="1" s="1"/>
  <c r="P863" i="1"/>
  <c r="O863" i="1"/>
  <c r="N863" i="1"/>
  <c r="K863" i="1"/>
  <c r="J863" i="1"/>
  <c r="D863" i="1"/>
  <c r="C863" i="1"/>
  <c r="T862" i="1"/>
  <c r="S862" i="1"/>
  <c r="Q862" i="1"/>
  <c r="R862" i="1" s="1"/>
  <c r="P862" i="1"/>
  <c r="O862" i="1"/>
  <c r="N862" i="1"/>
  <c r="K862" i="1"/>
  <c r="J862" i="1"/>
  <c r="D862" i="1"/>
  <c r="C862" i="1"/>
  <c r="T861" i="1"/>
  <c r="S861" i="1"/>
  <c r="R861" i="1"/>
  <c r="Q861" i="1"/>
  <c r="P861" i="1"/>
  <c r="O861" i="1"/>
  <c r="N861" i="1"/>
  <c r="K861" i="1"/>
  <c r="J861" i="1"/>
  <c r="D861" i="1"/>
  <c r="C861" i="1"/>
  <c r="T860" i="1"/>
  <c r="S860" i="1"/>
  <c r="Q860" i="1"/>
  <c r="R860" i="1" s="1"/>
  <c r="P860" i="1"/>
  <c r="O860" i="1"/>
  <c r="N860" i="1"/>
  <c r="K860" i="1"/>
  <c r="J860" i="1"/>
  <c r="D860" i="1"/>
  <c r="C860" i="1"/>
  <c r="T859" i="1"/>
  <c r="S859" i="1"/>
  <c r="Q859" i="1"/>
  <c r="R859" i="1" s="1"/>
  <c r="P859" i="1"/>
  <c r="O859" i="1"/>
  <c r="N859" i="1"/>
  <c r="K859" i="1"/>
  <c r="J859" i="1"/>
  <c r="D859" i="1"/>
  <c r="C859" i="1"/>
  <c r="T858" i="1"/>
  <c r="S858" i="1"/>
  <c r="Q858" i="1"/>
  <c r="R858" i="1" s="1"/>
  <c r="P858" i="1"/>
  <c r="O858" i="1"/>
  <c r="N858" i="1"/>
  <c r="K858" i="1"/>
  <c r="J858" i="1"/>
  <c r="D858" i="1"/>
  <c r="C858" i="1"/>
  <c r="T857" i="1"/>
  <c r="S857" i="1"/>
  <c r="Q857" i="1"/>
  <c r="R857" i="1" s="1"/>
  <c r="P857" i="1"/>
  <c r="O857" i="1"/>
  <c r="N857" i="1"/>
  <c r="K857" i="1"/>
  <c r="J857" i="1"/>
  <c r="D857" i="1"/>
  <c r="C857" i="1"/>
  <c r="T856" i="1"/>
  <c r="S856" i="1"/>
  <c r="Q856" i="1"/>
  <c r="R856" i="1" s="1"/>
  <c r="P856" i="1"/>
  <c r="O856" i="1"/>
  <c r="N856" i="1"/>
  <c r="K856" i="1"/>
  <c r="J856" i="1"/>
  <c r="D856" i="1"/>
  <c r="C856" i="1"/>
  <c r="T855" i="1"/>
  <c r="S855" i="1"/>
  <c r="Q855" i="1"/>
  <c r="R855" i="1" s="1"/>
  <c r="P855" i="1"/>
  <c r="O855" i="1"/>
  <c r="N855" i="1"/>
  <c r="K855" i="1"/>
  <c r="J855" i="1"/>
  <c r="D855" i="1"/>
  <c r="C855" i="1"/>
  <c r="T854" i="1"/>
  <c r="S854" i="1"/>
  <c r="Q854" i="1"/>
  <c r="R854" i="1" s="1"/>
  <c r="P854" i="1"/>
  <c r="O854" i="1"/>
  <c r="N854" i="1"/>
  <c r="K854" i="1"/>
  <c r="J854" i="1"/>
  <c r="D854" i="1"/>
  <c r="C854" i="1"/>
  <c r="T853" i="1"/>
  <c r="S853" i="1"/>
  <c r="Q853" i="1"/>
  <c r="R853" i="1" s="1"/>
  <c r="P853" i="1"/>
  <c r="O853" i="1"/>
  <c r="N853" i="1"/>
  <c r="K853" i="1"/>
  <c r="J853" i="1"/>
  <c r="D853" i="1"/>
  <c r="C853" i="1"/>
  <c r="T852" i="1"/>
  <c r="S852" i="1"/>
  <c r="Q852" i="1"/>
  <c r="R852" i="1" s="1"/>
  <c r="P852" i="1"/>
  <c r="O852" i="1"/>
  <c r="N852" i="1"/>
  <c r="K852" i="1"/>
  <c r="J852" i="1"/>
  <c r="D852" i="1"/>
  <c r="C852" i="1"/>
  <c r="T851" i="1"/>
  <c r="S851" i="1"/>
  <c r="Q851" i="1"/>
  <c r="R851" i="1" s="1"/>
  <c r="P851" i="1"/>
  <c r="O851" i="1"/>
  <c r="N851" i="1"/>
  <c r="K851" i="1"/>
  <c r="J851" i="1"/>
  <c r="D851" i="1"/>
  <c r="C851" i="1"/>
  <c r="T850" i="1"/>
  <c r="S850" i="1"/>
  <c r="Q850" i="1"/>
  <c r="R850" i="1" s="1"/>
  <c r="P850" i="1"/>
  <c r="O850" i="1"/>
  <c r="N850" i="1"/>
  <c r="K850" i="1"/>
  <c r="J850" i="1"/>
  <c r="D850" i="1"/>
  <c r="C850" i="1"/>
  <c r="T849" i="1"/>
  <c r="S849" i="1"/>
  <c r="R849" i="1"/>
  <c r="Q849" i="1"/>
  <c r="P849" i="1"/>
  <c r="O849" i="1"/>
  <c r="N849" i="1"/>
  <c r="K849" i="1"/>
  <c r="J849" i="1"/>
  <c r="D849" i="1"/>
  <c r="C849" i="1"/>
  <c r="T848" i="1"/>
  <c r="S848" i="1"/>
  <c r="Q848" i="1"/>
  <c r="R848" i="1" s="1"/>
  <c r="P848" i="1"/>
  <c r="O848" i="1"/>
  <c r="N848" i="1"/>
  <c r="K848" i="1"/>
  <c r="J848" i="1"/>
  <c r="D848" i="1"/>
  <c r="C848" i="1"/>
  <c r="T847" i="1"/>
  <c r="S847" i="1"/>
  <c r="Q847" i="1"/>
  <c r="R847" i="1" s="1"/>
  <c r="P847" i="1"/>
  <c r="O847" i="1"/>
  <c r="N847" i="1"/>
  <c r="K847" i="1"/>
  <c r="J847" i="1"/>
  <c r="D847" i="1"/>
  <c r="C847" i="1"/>
  <c r="T846" i="1"/>
  <c r="S846" i="1"/>
  <c r="Q846" i="1"/>
  <c r="R846" i="1" s="1"/>
  <c r="P846" i="1"/>
  <c r="O846" i="1"/>
  <c r="N846" i="1"/>
  <c r="K846" i="1"/>
  <c r="J846" i="1"/>
  <c r="D846" i="1"/>
  <c r="C846" i="1"/>
  <c r="T845" i="1"/>
  <c r="S845" i="1"/>
  <c r="Q845" i="1"/>
  <c r="R845" i="1" s="1"/>
  <c r="P845" i="1"/>
  <c r="O845" i="1"/>
  <c r="N845" i="1"/>
  <c r="K845" i="1"/>
  <c r="J845" i="1"/>
  <c r="D845" i="1"/>
  <c r="C845" i="1"/>
  <c r="T844" i="1"/>
  <c r="S844" i="1"/>
  <c r="Q844" i="1"/>
  <c r="R844" i="1" s="1"/>
  <c r="P844" i="1"/>
  <c r="O844" i="1"/>
  <c r="N844" i="1"/>
  <c r="K844" i="1"/>
  <c r="J844" i="1"/>
  <c r="D844" i="1"/>
  <c r="C844" i="1"/>
  <c r="T843" i="1"/>
  <c r="S843" i="1"/>
  <c r="Q843" i="1"/>
  <c r="R843" i="1" s="1"/>
  <c r="P843" i="1"/>
  <c r="O843" i="1"/>
  <c r="N843" i="1"/>
  <c r="K843" i="1"/>
  <c r="J843" i="1"/>
  <c r="D843" i="1"/>
  <c r="C843" i="1"/>
  <c r="T842" i="1"/>
  <c r="S842" i="1"/>
  <c r="Q842" i="1"/>
  <c r="R842" i="1" s="1"/>
  <c r="P842" i="1"/>
  <c r="O842" i="1"/>
  <c r="N842" i="1"/>
  <c r="K842" i="1"/>
  <c r="J842" i="1"/>
  <c r="D842" i="1"/>
  <c r="C842" i="1"/>
  <c r="T841" i="1"/>
  <c r="S841" i="1"/>
  <c r="Q841" i="1"/>
  <c r="R841" i="1" s="1"/>
  <c r="P841" i="1"/>
  <c r="O841" i="1"/>
  <c r="N841" i="1"/>
  <c r="K841" i="1"/>
  <c r="J841" i="1"/>
  <c r="D841" i="1"/>
  <c r="C841" i="1"/>
  <c r="T840" i="1"/>
  <c r="S840" i="1"/>
  <c r="R840" i="1"/>
  <c r="Q840" i="1"/>
  <c r="P840" i="1"/>
  <c r="O840" i="1"/>
  <c r="N840" i="1"/>
  <c r="K840" i="1"/>
  <c r="J840" i="1"/>
  <c r="D840" i="1"/>
  <c r="C840" i="1"/>
  <c r="T839" i="1"/>
  <c r="S839" i="1"/>
  <c r="Q839" i="1"/>
  <c r="R839" i="1" s="1"/>
  <c r="P839" i="1"/>
  <c r="O839" i="1"/>
  <c r="N839" i="1"/>
  <c r="K839" i="1"/>
  <c r="J839" i="1"/>
  <c r="D839" i="1"/>
  <c r="C839" i="1"/>
  <c r="T838" i="1"/>
  <c r="S838" i="1"/>
  <c r="Q838" i="1"/>
  <c r="R838" i="1" s="1"/>
  <c r="P838" i="1"/>
  <c r="O838" i="1"/>
  <c r="N838" i="1"/>
  <c r="K838" i="1"/>
  <c r="J838" i="1"/>
  <c r="D838" i="1"/>
  <c r="C838" i="1"/>
  <c r="T837" i="1"/>
  <c r="S837" i="1"/>
  <c r="Q837" i="1"/>
  <c r="R837" i="1" s="1"/>
  <c r="P837" i="1"/>
  <c r="O837" i="1"/>
  <c r="N837" i="1"/>
  <c r="K837" i="1"/>
  <c r="J837" i="1"/>
  <c r="D837" i="1"/>
  <c r="C837" i="1"/>
  <c r="T836" i="1"/>
  <c r="S836" i="1"/>
  <c r="Q836" i="1"/>
  <c r="R836" i="1" s="1"/>
  <c r="P836" i="1"/>
  <c r="O836" i="1"/>
  <c r="N836" i="1"/>
  <c r="K836" i="1"/>
  <c r="J836" i="1"/>
  <c r="D836" i="1"/>
  <c r="C836" i="1"/>
  <c r="T835" i="1"/>
  <c r="S835" i="1"/>
  <c r="Q835" i="1"/>
  <c r="R835" i="1" s="1"/>
  <c r="P835" i="1"/>
  <c r="O835" i="1"/>
  <c r="N835" i="1"/>
  <c r="K835" i="1"/>
  <c r="J835" i="1"/>
  <c r="D835" i="1"/>
  <c r="C835" i="1"/>
  <c r="T834" i="1"/>
  <c r="S834" i="1"/>
  <c r="R834" i="1"/>
  <c r="Q834" i="1"/>
  <c r="P834" i="1"/>
  <c r="O834" i="1"/>
  <c r="N834" i="1"/>
  <c r="K834" i="1"/>
  <c r="J834" i="1"/>
  <c r="D834" i="1"/>
  <c r="C834" i="1"/>
  <c r="T833" i="1"/>
  <c r="S833" i="1"/>
  <c r="Q833" i="1"/>
  <c r="R833" i="1" s="1"/>
  <c r="P833" i="1"/>
  <c r="O833" i="1"/>
  <c r="N833" i="1"/>
  <c r="K833" i="1"/>
  <c r="J833" i="1"/>
  <c r="D833" i="1"/>
  <c r="C833" i="1"/>
  <c r="T832" i="1"/>
  <c r="S832" i="1"/>
  <c r="Q832" i="1"/>
  <c r="R832" i="1" s="1"/>
  <c r="P832" i="1"/>
  <c r="O832" i="1"/>
  <c r="N832" i="1"/>
  <c r="K832" i="1"/>
  <c r="J832" i="1"/>
  <c r="D832" i="1"/>
  <c r="C832" i="1"/>
  <c r="T831" i="1"/>
  <c r="S831" i="1"/>
  <c r="Q831" i="1"/>
  <c r="R831" i="1" s="1"/>
  <c r="P831" i="1"/>
  <c r="O831" i="1"/>
  <c r="N831" i="1"/>
  <c r="K831" i="1"/>
  <c r="J831" i="1"/>
  <c r="D831" i="1"/>
  <c r="C831" i="1"/>
  <c r="T830" i="1"/>
  <c r="S830" i="1"/>
  <c r="Q830" i="1"/>
  <c r="R830" i="1" s="1"/>
  <c r="P830" i="1"/>
  <c r="O830" i="1"/>
  <c r="N830" i="1"/>
  <c r="K830" i="1"/>
  <c r="J830" i="1"/>
  <c r="D830" i="1"/>
  <c r="C830" i="1"/>
  <c r="T829" i="1"/>
  <c r="S829" i="1"/>
  <c r="Q829" i="1"/>
  <c r="R829" i="1" s="1"/>
  <c r="P829" i="1"/>
  <c r="O829" i="1"/>
  <c r="N829" i="1"/>
  <c r="K829" i="1"/>
  <c r="J829" i="1"/>
  <c r="D829" i="1"/>
  <c r="C829" i="1"/>
  <c r="T828" i="1"/>
  <c r="S828" i="1"/>
  <c r="Q828" i="1"/>
  <c r="R828" i="1" s="1"/>
  <c r="P828" i="1"/>
  <c r="O828" i="1"/>
  <c r="N828" i="1"/>
  <c r="K828" i="1"/>
  <c r="J828" i="1"/>
  <c r="D828" i="1"/>
  <c r="C828" i="1"/>
  <c r="T827" i="1"/>
  <c r="S827" i="1"/>
  <c r="Q827" i="1"/>
  <c r="R827" i="1" s="1"/>
  <c r="P827" i="1"/>
  <c r="O827" i="1"/>
  <c r="N827" i="1"/>
  <c r="K827" i="1"/>
  <c r="J827" i="1"/>
  <c r="D827" i="1"/>
  <c r="C827" i="1"/>
  <c r="T826" i="1"/>
  <c r="S826" i="1"/>
  <c r="Q826" i="1"/>
  <c r="R826" i="1" s="1"/>
  <c r="P826" i="1"/>
  <c r="O826" i="1"/>
  <c r="N826" i="1"/>
  <c r="K826" i="1"/>
  <c r="J826" i="1"/>
  <c r="D826" i="1"/>
  <c r="C826" i="1"/>
  <c r="T825" i="1"/>
  <c r="S825" i="1"/>
  <c r="Q825" i="1"/>
  <c r="R825" i="1" s="1"/>
  <c r="P825" i="1"/>
  <c r="O825" i="1"/>
  <c r="N825" i="1"/>
  <c r="K825" i="1"/>
  <c r="J825" i="1"/>
  <c r="D825" i="1"/>
  <c r="C825" i="1"/>
  <c r="T824" i="1"/>
  <c r="S824" i="1"/>
  <c r="Q824" i="1"/>
  <c r="R824" i="1" s="1"/>
  <c r="P824" i="1"/>
  <c r="O824" i="1"/>
  <c r="N824" i="1"/>
  <c r="K824" i="1"/>
  <c r="J824" i="1"/>
  <c r="D824" i="1"/>
  <c r="C824" i="1"/>
  <c r="T823" i="1"/>
  <c r="S823" i="1"/>
  <c r="Q823" i="1"/>
  <c r="R823" i="1" s="1"/>
  <c r="P823" i="1"/>
  <c r="O823" i="1"/>
  <c r="N823" i="1"/>
  <c r="K823" i="1"/>
  <c r="J823" i="1"/>
  <c r="D823" i="1"/>
  <c r="C823" i="1"/>
  <c r="T822" i="1"/>
  <c r="S822" i="1"/>
  <c r="Q822" i="1"/>
  <c r="R822" i="1" s="1"/>
  <c r="P822" i="1"/>
  <c r="O822" i="1"/>
  <c r="N822" i="1"/>
  <c r="K822" i="1"/>
  <c r="J822" i="1"/>
  <c r="D822" i="1"/>
  <c r="C822" i="1"/>
  <c r="T821" i="1"/>
  <c r="S821" i="1"/>
  <c r="Q821" i="1"/>
  <c r="R821" i="1" s="1"/>
  <c r="P821" i="1"/>
  <c r="O821" i="1"/>
  <c r="N821" i="1"/>
  <c r="K821" i="1"/>
  <c r="J821" i="1"/>
  <c r="D821" i="1"/>
  <c r="C821" i="1"/>
  <c r="T820" i="1"/>
  <c r="S820" i="1"/>
  <c r="Q820" i="1"/>
  <c r="R820" i="1" s="1"/>
  <c r="P820" i="1"/>
  <c r="O820" i="1"/>
  <c r="N820" i="1"/>
  <c r="K820" i="1"/>
  <c r="J820" i="1"/>
  <c r="D820" i="1"/>
  <c r="C820" i="1"/>
  <c r="T819" i="1"/>
  <c r="S819" i="1"/>
  <c r="Q819" i="1"/>
  <c r="R819" i="1" s="1"/>
  <c r="P819" i="1"/>
  <c r="O819" i="1"/>
  <c r="N819" i="1"/>
  <c r="K819" i="1"/>
  <c r="J819" i="1"/>
  <c r="D819" i="1"/>
  <c r="C819" i="1"/>
  <c r="T818" i="1"/>
  <c r="S818" i="1"/>
  <c r="Q818" i="1"/>
  <c r="R818" i="1" s="1"/>
  <c r="P818" i="1"/>
  <c r="O818" i="1"/>
  <c r="N818" i="1"/>
  <c r="K818" i="1"/>
  <c r="J818" i="1"/>
  <c r="D818" i="1"/>
  <c r="C818" i="1"/>
  <c r="T817" i="1"/>
  <c r="S817" i="1"/>
  <c r="Q817" i="1"/>
  <c r="R817" i="1" s="1"/>
  <c r="P817" i="1"/>
  <c r="O817" i="1"/>
  <c r="N817" i="1"/>
  <c r="K817" i="1"/>
  <c r="J817" i="1"/>
  <c r="D817" i="1"/>
  <c r="C817" i="1"/>
  <c r="T816" i="1"/>
  <c r="S816" i="1"/>
  <c r="R816" i="1"/>
  <c r="Q816" i="1"/>
  <c r="P816" i="1"/>
  <c r="O816" i="1"/>
  <c r="N816" i="1"/>
  <c r="K816" i="1"/>
  <c r="J816" i="1"/>
  <c r="D816" i="1"/>
  <c r="C816" i="1"/>
  <c r="T815" i="1"/>
  <c r="S815" i="1"/>
  <c r="Q815" i="1"/>
  <c r="R815" i="1" s="1"/>
  <c r="P815" i="1"/>
  <c r="O815" i="1"/>
  <c r="N815" i="1"/>
  <c r="K815" i="1"/>
  <c r="J815" i="1"/>
  <c r="D815" i="1"/>
  <c r="C815" i="1"/>
  <c r="T814" i="1"/>
  <c r="S814" i="1"/>
  <c r="Q814" i="1"/>
  <c r="R814" i="1" s="1"/>
  <c r="P814" i="1"/>
  <c r="O814" i="1"/>
  <c r="N814" i="1"/>
  <c r="K814" i="1"/>
  <c r="J814" i="1"/>
  <c r="D814" i="1"/>
  <c r="C814" i="1"/>
  <c r="T813" i="1"/>
  <c r="S813" i="1"/>
  <c r="Q813" i="1"/>
  <c r="R813" i="1" s="1"/>
  <c r="P813" i="1"/>
  <c r="O813" i="1"/>
  <c r="N813" i="1"/>
  <c r="K813" i="1"/>
  <c r="J813" i="1"/>
  <c r="D813" i="1"/>
  <c r="C813" i="1"/>
  <c r="T812" i="1"/>
  <c r="S812" i="1"/>
  <c r="Q812" i="1"/>
  <c r="R812" i="1" s="1"/>
  <c r="P812" i="1"/>
  <c r="O812" i="1"/>
  <c r="N812" i="1"/>
  <c r="K812" i="1"/>
  <c r="J812" i="1"/>
  <c r="D812" i="1"/>
  <c r="C812" i="1"/>
  <c r="T811" i="1"/>
  <c r="S811" i="1"/>
  <c r="Q811" i="1"/>
  <c r="R811" i="1" s="1"/>
  <c r="P811" i="1"/>
  <c r="O811" i="1"/>
  <c r="N811" i="1"/>
  <c r="K811" i="1"/>
  <c r="J811" i="1"/>
  <c r="D811" i="1"/>
  <c r="C811" i="1"/>
  <c r="T810" i="1"/>
  <c r="S810" i="1"/>
  <c r="Q810" i="1"/>
  <c r="R810" i="1" s="1"/>
  <c r="P810" i="1"/>
  <c r="O810" i="1"/>
  <c r="N810" i="1"/>
  <c r="K810" i="1"/>
  <c r="J810" i="1"/>
  <c r="D810" i="1"/>
  <c r="C810" i="1"/>
  <c r="T809" i="1"/>
  <c r="S809" i="1"/>
  <c r="Q809" i="1"/>
  <c r="R809" i="1" s="1"/>
  <c r="P809" i="1"/>
  <c r="O809" i="1"/>
  <c r="N809" i="1"/>
  <c r="K809" i="1"/>
  <c r="J809" i="1"/>
  <c r="D809" i="1"/>
  <c r="C809" i="1"/>
  <c r="T808" i="1"/>
  <c r="S808" i="1"/>
  <c r="Q808" i="1"/>
  <c r="R808" i="1" s="1"/>
  <c r="P808" i="1"/>
  <c r="O808" i="1"/>
  <c r="N808" i="1"/>
  <c r="K808" i="1"/>
  <c r="J808" i="1"/>
  <c r="D808" i="1"/>
  <c r="C808" i="1"/>
  <c r="T807" i="1"/>
  <c r="S807" i="1"/>
  <c r="Q807" i="1"/>
  <c r="R807" i="1" s="1"/>
  <c r="P807" i="1"/>
  <c r="O807" i="1"/>
  <c r="N807" i="1"/>
  <c r="K807" i="1"/>
  <c r="J807" i="1"/>
  <c r="D807" i="1"/>
  <c r="C807" i="1"/>
  <c r="T806" i="1"/>
  <c r="S806" i="1"/>
  <c r="Q806" i="1"/>
  <c r="R806" i="1" s="1"/>
  <c r="P806" i="1"/>
  <c r="O806" i="1"/>
  <c r="N806" i="1"/>
  <c r="K806" i="1"/>
  <c r="J806" i="1"/>
  <c r="L806" i="1" s="1"/>
  <c r="D806" i="1"/>
  <c r="C806" i="1"/>
  <c r="T805" i="1"/>
  <c r="S805" i="1"/>
  <c r="Q805" i="1"/>
  <c r="R805" i="1" s="1"/>
  <c r="P805" i="1"/>
  <c r="O805" i="1"/>
  <c r="N805" i="1"/>
  <c r="K805" i="1"/>
  <c r="J805" i="1"/>
  <c r="D805" i="1"/>
  <c r="C805" i="1"/>
  <c r="T804" i="1"/>
  <c r="S804" i="1"/>
  <c r="Q804" i="1"/>
  <c r="R804" i="1" s="1"/>
  <c r="P804" i="1"/>
  <c r="O804" i="1"/>
  <c r="N804" i="1"/>
  <c r="K804" i="1"/>
  <c r="J804" i="1"/>
  <c r="D804" i="1"/>
  <c r="C804" i="1"/>
  <c r="T803" i="1"/>
  <c r="S803" i="1"/>
  <c r="Q803" i="1"/>
  <c r="R803" i="1" s="1"/>
  <c r="P803" i="1"/>
  <c r="O803" i="1"/>
  <c r="N803" i="1"/>
  <c r="K803" i="1"/>
  <c r="J803" i="1"/>
  <c r="D803" i="1"/>
  <c r="C803" i="1"/>
  <c r="T802" i="1"/>
  <c r="S802" i="1"/>
  <c r="Q802" i="1"/>
  <c r="R802" i="1" s="1"/>
  <c r="P802" i="1"/>
  <c r="O802" i="1"/>
  <c r="N802" i="1"/>
  <c r="K802" i="1"/>
  <c r="J802" i="1"/>
  <c r="D802" i="1"/>
  <c r="C802" i="1"/>
  <c r="T801" i="1"/>
  <c r="S801" i="1"/>
  <c r="Q801" i="1"/>
  <c r="R801" i="1" s="1"/>
  <c r="P801" i="1"/>
  <c r="O801" i="1"/>
  <c r="N801" i="1"/>
  <c r="K801" i="1"/>
  <c r="J801" i="1"/>
  <c r="D801" i="1"/>
  <c r="C801" i="1"/>
  <c r="T800" i="1"/>
  <c r="S800" i="1"/>
  <c r="Q800" i="1"/>
  <c r="R800" i="1" s="1"/>
  <c r="P800" i="1"/>
  <c r="O800" i="1"/>
  <c r="N800" i="1"/>
  <c r="K800" i="1"/>
  <c r="J800" i="1"/>
  <c r="D800" i="1"/>
  <c r="C800" i="1"/>
  <c r="T799" i="1"/>
  <c r="S799" i="1"/>
  <c r="Q799" i="1"/>
  <c r="R799" i="1" s="1"/>
  <c r="P799" i="1"/>
  <c r="O799" i="1"/>
  <c r="N799" i="1"/>
  <c r="K799" i="1"/>
  <c r="J799" i="1"/>
  <c r="D799" i="1"/>
  <c r="C799" i="1"/>
  <c r="T798" i="1"/>
  <c r="S798" i="1"/>
  <c r="Q798" i="1"/>
  <c r="R798" i="1" s="1"/>
  <c r="P798" i="1"/>
  <c r="O798" i="1"/>
  <c r="N798" i="1"/>
  <c r="K798" i="1"/>
  <c r="J798" i="1"/>
  <c r="D798" i="1"/>
  <c r="C798" i="1"/>
  <c r="T797" i="1"/>
  <c r="S797" i="1"/>
  <c r="R797" i="1"/>
  <c r="Q797" i="1"/>
  <c r="P797" i="1"/>
  <c r="O797" i="1"/>
  <c r="N797" i="1"/>
  <c r="K797" i="1"/>
  <c r="J797" i="1"/>
  <c r="D797" i="1"/>
  <c r="C797" i="1"/>
  <c r="T796" i="1"/>
  <c r="S796" i="1"/>
  <c r="Q796" i="1"/>
  <c r="R796" i="1" s="1"/>
  <c r="P796" i="1"/>
  <c r="O796" i="1"/>
  <c r="N796" i="1"/>
  <c r="K796" i="1"/>
  <c r="J796" i="1"/>
  <c r="D796" i="1"/>
  <c r="C796" i="1"/>
  <c r="T795" i="1"/>
  <c r="S795" i="1"/>
  <c r="Q795" i="1"/>
  <c r="R795" i="1" s="1"/>
  <c r="P795" i="1"/>
  <c r="O795" i="1"/>
  <c r="N795" i="1"/>
  <c r="K795" i="1"/>
  <c r="J795" i="1"/>
  <c r="D795" i="1"/>
  <c r="C795" i="1"/>
  <c r="T794" i="1"/>
  <c r="S794" i="1"/>
  <c r="Q794" i="1"/>
  <c r="R794" i="1" s="1"/>
  <c r="P794" i="1"/>
  <c r="O794" i="1"/>
  <c r="N794" i="1"/>
  <c r="K794" i="1"/>
  <c r="J794" i="1"/>
  <c r="D794" i="1"/>
  <c r="C794" i="1"/>
  <c r="T793" i="1"/>
  <c r="S793" i="1"/>
  <c r="Q793" i="1"/>
  <c r="R793" i="1" s="1"/>
  <c r="P793" i="1"/>
  <c r="O793" i="1"/>
  <c r="N793" i="1"/>
  <c r="K793" i="1"/>
  <c r="J793" i="1"/>
  <c r="D793" i="1"/>
  <c r="C793" i="1"/>
  <c r="T792" i="1"/>
  <c r="S792" i="1"/>
  <c r="Q792" i="1"/>
  <c r="R792" i="1" s="1"/>
  <c r="P792" i="1"/>
  <c r="O792" i="1"/>
  <c r="N792" i="1"/>
  <c r="K792" i="1"/>
  <c r="J792" i="1"/>
  <c r="D792" i="1"/>
  <c r="C792" i="1"/>
  <c r="T791" i="1"/>
  <c r="S791" i="1"/>
  <c r="Q791" i="1"/>
  <c r="R791" i="1" s="1"/>
  <c r="P791" i="1"/>
  <c r="O791" i="1"/>
  <c r="N791" i="1"/>
  <c r="K791" i="1"/>
  <c r="J791" i="1"/>
  <c r="D791" i="1"/>
  <c r="C791" i="1"/>
  <c r="T790" i="1"/>
  <c r="S790" i="1"/>
  <c r="Q790" i="1"/>
  <c r="R790" i="1" s="1"/>
  <c r="P790" i="1"/>
  <c r="O790" i="1"/>
  <c r="N790" i="1"/>
  <c r="K790" i="1"/>
  <c r="J790" i="1"/>
  <c r="L790" i="1" s="1"/>
  <c r="D790" i="1"/>
  <c r="C790" i="1"/>
  <c r="T789" i="1"/>
  <c r="S789" i="1"/>
  <c r="Q789" i="1"/>
  <c r="R789" i="1" s="1"/>
  <c r="P789" i="1"/>
  <c r="O789" i="1"/>
  <c r="N789" i="1"/>
  <c r="K789" i="1"/>
  <c r="J789" i="1"/>
  <c r="D789" i="1"/>
  <c r="C789" i="1"/>
  <c r="T788" i="1"/>
  <c r="S788" i="1"/>
  <c r="Q788" i="1"/>
  <c r="R788" i="1" s="1"/>
  <c r="P788" i="1"/>
  <c r="O788" i="1"/>
  <c r="N788" i="1"/>
  <c r="K788" i="1"/>
  <c r="J788" i="1"/>
  <c r="D788" i="1"/>
  <c r="C788" i="1"/>
  <c r="T787" i="1"/>
  <c r="S787" i="1"/>
  <c r="Q787" i="1"/>
  <c r="R787" i="1" s="1"/>
  <c r="P787" i="1"/>
  <c r="O787" i="1"/>
  <c r="N787" i="1"/>
  <c r="K787" i="1"/>
  <c r="J787" i="1"/>
  <c r="D787" i="1"/>
  <c r="C787" i="1"/>
  <c r="T786" i="1"/>
  <c r="S786" i="1"/>
  <c r="Q786" i="1"/>
  <c r="R786" i="1" s="1"/>
  <c r="P786" i="1"/>
  <c r="O786" i="1"/>
  <c r="N786" i="1"/>
  <c r="K786" i="1"/>
  <c r="J786" i="1"/>
  <c r="D786" i="1"/>
  <c r="C786" i="1"/>
  <c r="T785" i="1"/>
  <c r="S785" i="1"/>
  <c r="Q785" i="1"/>
  <c r="R785" i="1" s="1"/>
  <c r="P785" i="1"/>
  <c r="O785" i="1"/>
  <c r="N785" i="1"/>
  <c r="K785" i="1"/>
  <c r="J785" i="1"/>
  <c r="D785" i="1"/>
  <c r="C785" i="1"/>
  <c r="T784" i="1"/>
  <c r="S784" i="1"/>
  <c r="Q784" i="1"/>
  <c r="R784" i="1" s="1"/>
  <c r="P784" i="1"/>
  <c r="O784" i="1"/>
  <c r="N784" i="1"/>
  <c r="K784" i="1"/>
  <c r="J784" i="1"/>
  <c r="D784" i="1"/>
  <c r="C784" i="1"/>
  <c r="T783" i="1"/>
  <c r="S783" i="1"/>
  <c r="Q783" i="1"/>
  <c r="R783" i="1" s="1"/>
  <c r="P783" i="1"/>
  <c r="O783" i="1"/>
  <c r="N783" i="1"/>
  <c r="K783" i="1"/>
  <c r="J783" i="1"/>
  <c r="D783" i="1"/>
  <c r="C783" i="1"/>
  <c r="T782" i="1"/>
  <c r="S782" i="1"/>
  <c r="Q782" i="1"/>
  <c r="R782" i="1" s="1"/>
  <c r="P782" i="1"/>
  <c r="O782" i="1"/>
  <c r="N782" i="1"/>
  <c r="K782" i="1"/>
  <c r="J782" i="1"/>
  <c r="D782" i="1"/>
  <c r="C782" i="1"/>
  <c r="T781" i="1"/>
  <c r="S781" i="1"/>
  <c r="Q781" i="1"/>
  <c r="R781" i="1" s="1"/>
  <c r="P781" i="1"/>
  <c r="O781" i="1"/>
  <c r="N781" i="1"/>
  <c r="K781" i="1"/>
  <c r="J781" i="1"/>
  <c r="D781" i="1"/>
  <c r="C781" i="1"/>
  <c r="T780" i="1"/>
  <c r="S780" i="1"/>
  <c r="Q780" i="1"/>
  <c r="R780" i="1" s="1"/>
  <c r="P780" i="1"/>
  <c r="O780" i="1"/>
  <c r="N780" i="1"/>
  <c r="K780" i="1"/>
  <c r="J780" i="1"/>
  <c r="D780" i="1"/>
  <c r="C780" i="1"/>
  <c r="T779" i="1"/>
  <c r="S779" i="1"/>
  <c r="Q779" i="1"/>
  <c r="R779" i="1" s="1"/>
  <c r="P779" i="1"/>
  <c r="O779" i="1"/>
  <c r="N779" i="1"/>
  <c r="K779" i="1"/>
  <c r="J779" i="1"/>
  <c r="D779" i="1"/>
  <c r="C779" i="1"/>
  <c r="T778" i="1"/>
  <c r="S778" i="1"/>
  <c r="Q778" i="1"/>
  <c r="R778" i="1" s="1"/>
  <c r="P778" i="1"/>
  <c r="O778" i="1"/>
  <c r="N778" i="1"/>
  <c r="K778" i="1"/>
  <c r="J778" i="1"/>
  <c r="D778" i="1"/>
  <c r="C778" i="1"/>
  <c r="T777" i="1"/>
  <c r="S777" i="1"/>
  <c r="R777" i="1"/>
  <c r="Q777" i="1"/>
  <c r="P777" i="1"/>
  <c r="O777" i="1"/>
  <c r="N777" i="1"/>
  <c r="K777" i="1"/>
  <c r="J777" i="1"/>
  <c r="D777" i="1"/>
  <c r="C777" i="1"/>
  <c r="T776" i="1"/>
  <c r="S776" i="1"/>
  <c r="Q776" i="1"/>
  <c r="R776" i="1" s="1"/>
  <c r="P776" i="1"/>
  <c r="O776" i="1"/>
  <c r="N776" i="1"/>
  <c r="K776" i="1"/>
  <c r="J776" i="1"/>
  <c r="D776" i="1"/>
  <c r="C776" i="1"/>
  <c r="T775" i="1"/>
  <c r="S775" i="1"/>
  <c r="Q775" i="1"/>
  <c r="R775" i="1" s="1"/>
  <c r="P775" i="1"/>
  <c r="O775" i="1"/>
  <c r="N775" i="1"/>
  <c r="K775" i="1"/>
  <c r="J775" i="1"/>
  <c r="L775" i="1" s="1"/>
  <c r="D775" i="1"/>
  <c r="C775" i="1"/>
  <c r="T774" i="1"/>
  <c r="S774" i="1"/>
  <c r="Q774" i="1"/>
  <c r="R774" i="1" s="1"/>
  <c r="P774" i="1"/>
  <c r="O774" i="1"/>
  <c r="N774" i="1"/>
  <c r="K774" i="1"/>
  <c r="J774" i="1"/>
  <c r="D774" i="1"/>
  <c r="C774" i="1"/>
  <c r="T773" i="1"/>
  <c r="S773" i="1"/>
  <c r="Q773" i="1"/>
  <c r="R773" i="1" s="1"/>
  <c r="P773" i="1"/>
  <c r="O773" i="1"/>
  <c r="N773" i="1"/>
  <c r="K773" i="1"/>
  <c r="J773" i="1"/>
  <c r="D773" i="1"/>
  <c r="C773" i="1"/>
  <c r="T772" i="1"/>
  <c r="S772" i="1"/>
  <c r="Q772" i="1"/>
  <c r="R772" i="1" s="1"/>
  <c r="P772" i="1"/>
  <c r="O772" i="1"/>
  <c r="N772" i="1"/>
  <c r="K772" i="1"/>
  <c r="J772" i="1"/>
  <c r="D772" i="1"/>
  <c r="C772" i="1"/>
  <c r="T771" i="1"/>
  <c r="S771" i="1"/>
  <c r="Q771" i="1"/>
  <c r="R771" i="1" s="1"/>
  <c r="P771" i="1"/>
  <c r="O771" i="1"/>
  <c r="N771" i="1"/>
  <c r="K771" i="1"/>
  <c r="J771" i="1"/>
  <c r="D771" i="1"/>
  <c r="C771" i="1"/>
  <c r="T770" i="1"/>
  <c r="S770" i="1"/>
  <c r="Q770" i="1"/>
  <c r="R770" i="1" s="1"/>
  <c r="P770" i="1"/>
  <c r="O770" i="1"/>
  <c r="N770" i="1"/>
  <c r="K770" i="1"/>
  <c r="J770" i="1"/>
  <c r="D770" i="1"/>
  <c r="C770" i="1"/>
  <c r="T769" i="1"/>
  <c r="S769" i="1"/>
  <c r="R769" i="1"/>
  <c r="Q769" i="1"/>
  <c r="P769" i="1"/>
  <c r="O769" i="1"/>
  <c r="N769" i="1"/>
  <c r="K769" i="1"/>
  <c r="J769" i="1"/>
  <c r="D769" i="1"/>
  <c r="C769" i="1"/>
  <c r="T768" i="1"/>
  <c r="S768" i="1"/>
  <c r="Q768" i="1"/>
  <c r="R768" i="1" s="1"/>
  <c r="P768" i="1"/>
  <c r="O768" i="1"/>
  <c r="N768" i="1"/>
  <c r="K768" i="1"/>
  <c r="J768" i="1"/>
  <c r="D768" i="1"/>
  <c r="C768" i="1"/>
  <c r="T767" i="1"/>
  <c r="S767" i="1"/>
  <c r="Q767" i="1"/>
  <c r="R767" i="1" s="1"/>
  <c r="P767" i="1"/>
  <c r="O767" i="1"/>
  <c r="N767" i="1"/>
  <c r="K767" i="1"/>
  <c r="J767" i="1"/>
  <c r="D767" i="1"/>
  <c r="C767" i="1"/>
  <c r="T766" i="1"/>
  <c r="S766" i="1"/>
  <c r="Q766" i="1"/>
  <c r="R766" i="1" s="1"/>
  <c r="P766" i="1"/>
  <c r="O766" i="1"/>
  <c r="N766" i="1"/>
  <c r="K766" i="1"/>
  <c r="J766" i="1"/>
  <c r="D766" i="1"/>
  <c r="C766" i="1"/>
  <c r="T765" i="1"/>
  <c r="S765" i="1"/>
  <c r="Q765" i="1"/>
  <c r="R765" i="1" s="1"/>
  <c r="P765" i="1"/>
  <c r="O765" i="1"/>
  <c r="N765" i="1"/>
  <c r="K765" i="1"/>
  <c r="J765" i="1"/>
  <c r="D765" i="1"/>
  <c r="C765" i="1"/>
  <c r="T764" i="1"/>
  <c r="S764" i="1"/>
  <c r="Q764" i="1"/>
  <c r="R764" i="1" s="1"/>
  <c r="P764" i="1"/>
  <c r="O764" i="1"/>
  <c r="N764" i="1"/>
  <c r="K764" i="1"/>
  <c r="J764" i="1"/>
  <c r="D764" i="1"/>
  <c r="C764" i="1"/>
  <c r="T763" i="1"/>
  <c r="S763" i="1"/>
  <c r="Q763" i="1"/>
  <c r="R763" i="1" s="1"/>
  <c r="P763" i="1"/>
  <c r="O763" i="1"/>
  <c r="N763" i="1"/>
  <c r="K763" i="1"/>
  <c r="J763" i="1"/>
  <c r="L763" i="1" s="1"/>
  <c r="D763" i="1"/>
  <c r="C763" i="1"/>
  <c r="T762" i="1"/>
  <c r="S762" i="1"/>
  <c r="Q762" i="1"/>
  <c r="R762" i="1" s="1"/>
  <c r="P762" i="1"/>
  <c r="O762" i="1"/>
  <c r="N762" i="1"/>
  <c r="K762" i="1"/>
  <c r="J762" i="1"/>
  <c r="D762" i="1"/>
  <c r="C762" i="1"/>
  <c r="T761" i="1"/>
  <c r="S761" i="1"/>
  <c r="R761" i="1"/>
  <c r="Q761" i="1"/>
  <c r="P761" i="1"/>
  <c r="O761" i="1"/>
  <c r="N761" i="1"/>
  <c r="K761" i="1"/>
  <c r="J761" i="1"/>
  <c r="D761" i="1"/>
  <c r="C761" i="1"/>
  <c r="T760" i="1"/>
  <c r="S760" i="1"/>
  <c r="Q760" i="1"/>
  <c r="R760" i="1" s="1"/>
  <c r="P760" i="1"/>
  <c r="O760" i="1"/>
  <c r="N760" i="1"/>
  <c r="K760" i="1"/>
  <c r="J760" i="1"/>
  <c r="D760" i="1"/>
  <c r="C760" i="1"/>
  <c r="T759" i="1"/>
  <c r="S759" i="1"/>
  <c r="Q759" i="1"/>
  <c r="R759" i="1" s="1"/>
  <c r="P759" i="1"/>
  <c r="O759" i="1"/>
  <c r="N759" i="1"/>
  <c r="K759" i="1"/>
  <c r="J759" i="1"/>
  <c r="D759" i="1"/>
  <c r="C759" i="1"/>
  <c r="T758" i="1"/>
  <c r="S758" i="1"/>
  <c r="Q758" i="1"/>
  <c r="R758" i="1" s="1"/>
  <c r="P758" i="1"/>
  <c r="O758" i="1"/>
  <c r="N758" i="1"/>
  <c r="K758" i="1"/>
  <c r="J758" i="1"/>
  <c r="D758" i="1"/>
  <c r="C758" i="1"/>
  <c r="T757" i="1"/>
  <c r="S757" i="1"/>
  <c r="Q757" i="1"/>
  <c r="R757" i="1" s="1"/>
  <c r="P757" i="1"/>
  <c r="O757" i="1"/>
  <c r="N757" i="1"/>
  <c r="K757" i="1"/>
  <c r="J757" i="1"/>
  <c r="D757" i="1"/>
  <c r="C757" i="1"/>
  <c r="T756" i="1"/>
  <c r="S756" i="1"/>
  <c r="Q756" i="1"/>
  <c r="R756" i="1" s="1"/>
  <c r="P756" i="1"/>
  <c r="O756" i="1"/>
  <c r="N756" i="1"/>
  <c r="K756" i="1"/>
  <c r="J756" i="1"/>
  <c r="D756" i="1"/>
  <c r="C756" i="1"/>
  <c r="T755" i="1"/>
  <c r="S755" i="1"/>
  <c r="Q755" i="1"/>
  <c r="R755" i="1" s="1"/>
  <c r="P755" i="1"/>
  <c r="O755" i="1"/>
  <c r="N755" i="1"/>
  <c r="K755" i="1"/>
  <c r="J755" i="1"/>
  <c r="L755" i="1" s="1"/>
  <c r="D755" i="1"/>
  <c r="C755" i="1"/>
  <c r="T754" i="1"/>
  <c r="S754" i="1"/>
  <c r="Q754" i="1"/>
  <c r="R754" i="1" s="1"/>
  <c r="P754" i="1"/>
  <c r="O754" i="1"/>
  <c r="N754" i="1"/>
  <c r="K754" i="1"/>
  <c r="J754" i="1"/>
  <c r="L754" i="1" s="1"/>
  <c r="D754" i="1"/>
  <c r="C754" i="1"/>
  <c r="T753" i="1"/>
  <c r="S753" i="1"/>
  <c r="Q753" i="1"/>
  <c r="R753" i="1" s="1"/>
  <c r="P753" i="1"/>
  <c r="O753" i="1"/>
  <c r="N753" i="1"/>
  <c r="K753" i="1"/>
  <c r="J753" i="1"/>
  <c r="D753" i="1"/>
  <c r="C753" i="1"/>
  <c r="T752" i="1"/>
  <c r="S752" i="1"/>
  <c r="Q752" i="1"/>
  <c r="R752" i="1" s="1"/>
  <c r="P752" i="1"/>
  <c r="O752" i="1"/>
  <c r="N752" i="1"/>
  <c r="K752" i="1"/>
  <c r="J752" i="1"/>
  <c r="D752" i="1"/>
  <c r="C752" i="1"/>
  <c r="T751" i="1"/>
  <c r="S751" i="1"/>
  <c r="Q751" i="1"/>
  <c r="R751" i="1" s="1"/>
  <c r="P751" i="1"/>
  <c r="O751" i="1"/>
  <c r="N751" i="1"/>
  <c r="K751" i="1"/>
  <c r="J751" i="1"/>
  <c r="D751" i="1"/>
  <c r="C751" i="1"/>
  <c r="T750" i="1"/>
  <c r="S750" i="1"/>
  <c r="Q750" i="1"/>
  <c r="R750" i="1" s="1"/>
  <c r="P750" i="1"/>
  <c r="O750" i="1"/>
  <c r="N750" i="1"/>
  <c r="K750" i="1"/>
  <c r="J750" i="1"/>
  <c r="D750" i="1"/>
  <c r="C750" i="1"/>
  <c r="T749" i="1"/>
  <c r="S749" i="1"/>
  <c r="Q749" i="1"/>
  <c r="R749" i="1" s="1"/>
  <c r="P749" i="1"/>
  <c r="O749" i="1"/>
  <c r="N749" i="1"/>
  <c r="K749" i="1"/>
  <c r="J749" i="1"/>
  <c r="D749" i="1"/>
  <c r="C749" i="1"/>
  <c r="T748" i="1"/>
  <c r="S748" i="1"/>
  <c r="Q748" i="1"/>
  <c r="R748" i="1" s="1"/>
  <c r="P748" i="1"/>
  <c r="O748" i="1"/>
  <c r="N748" i="1"/>
  <c r="K748" i="1"/>
  <c r="J748" i="1"/>
  <c r="D748" i="1"/>
  <c r="C748" i="1"/>
  <c r="T747" i="1"/>
  <c r="S747" i="1"/>
  <c r="Q747" i="1"/>
  <c r="R747" i="1" s="1"/>
  <c r="P747" i="1"/>
  <c r="O747" i="1"/>
  <c r="N747" i="1"/>
  <c r="K747" i="1"/>
  <c r="J747" i="1"/>
  <c r="D747" i="1"/>
  <c r="C747" i="1"/>
  <c r="T746" i="1"/>
  <c r="S746" i="1"/>
  <c r="R746" i="1"/>
  <c r="Q746" i="1"/>
  <c r="P746" i="1"/>
  <c r="O746" i="1"/>
  <c r="N746" i="1"/>
  <c r="K746" i="1"/>
  <c r="J746" i="1"/>
  <c r="L746" i="1" s="1"/>
  <c r="D746" i="1"/>
  <c r="C746" i="1"/>
  <c r="T745" i="1"/>
  <c r="S745" i="1"/>
  <c r="Q745" i="1"/>
  <c r="R745" i="1" s="1"/>
  <c r="P745" i="1"/>
  <c r="O745" i="1"/>
  <c r="N745" i="1"/>
  <c r="K745" i="1"/>
  <c r="J745" i="1"/>
  <c r="D745" i="1"/>
  <c r="C745" i="1"/>
  <c r="T744" i="1"/>
  <c r="S744" i="1"/>
  <c r="Q744" i="1"/>
  <c r="R744" i="1" s="1"/>
  <c r="P744" i="1"/>
  <c r="O744" i="1"/>
  <c r="N744" i="1"/>
  <c r="K744" i="1"/>
  <c r="J744" i="1"/>
  <c r="D744" i="1"/>
  <c r="C744" i="1"/>
  <c r="T743" i="1"/>
  <c r="S743" i="1"/>
  <c r="Q743" i="1"/>
  <c r="R743" i="1" s="1"/>
  <c r="P743" i="1"/>
  <c r="O743" i="1"/>
  <c r="N743" i="1"/>
  <c r="K743" i="1"/>
  <c r="J743" i="1"/>
  <c r="D743" i="1"/>
  <c r="C743" i="1"/>
  <c r="T742" i="1"/>
  <c r="S742" i="1"/>
  <c r="Q742" i="1"/>
  <c r="R742" i="1" s="1"/>
  <c r="P742" i="1"/>
  <c r="O742" i="1"/>
  <c r="N742" i="1"/>
  <c r="K742" i="1"/>
  <c r="J742" i="1"/>
  <c r="D742" i="1"/>
  <c r="C742" i="1"/>
  <c r="T741" i="1"/>
  <c r="S741" i="1"/>
  <c r="Q741" i="1"/>
  <c r="R741" i="1" s="1"/>
  <c r="P741" i="1"/>
  <c r="O741" i="1"/>
  <c r="N741" i="1"/>
  <c r="K741" i="1"/>
  <c r="J741" i="1"/>
  <c r="D741" i="1"/>
  <c r="C741" i="1"/>
  <c r="T740" i="1"/>
  <c r="S740" i="1"/>
  <c r="Q740" i="1"/>
  <c r="R740" i="1" s="1"/>
  <c r="P740" i="1"/>
  <c r="O740" i="1"/>
  <c r="N740" i="1"/>
  <c r="K740" i="1"/>
  <c r="J740" i="1"/>
  <c r="D740" i="1"/>
  <c r="C740" i="1"/>
  <c r="T739" i="1"/>
  <c r="S739" i="1"/>
  <c r="Q739" i="1"/>
  <c r="R739" i="1" s="1"/>
  <c r="P739" i="1"/>
  <c r="O739" i="1"/>
  <c r="N739" i="1"/>
  <c r="K739" i="1"/>
  <c r="J739" i="1"/>
  <c r="D739" i="1"/>
  <c r="C739" i="1"/>
  <c r="T738" i="1"/>
  <c r="S738" i="1"/>
  <c r="R738" i="1"/>
  <c r="Q738" i="1"/>
  <c r="P738" i="1"/>
  <c r="O738" i="1"/>
  <c r="N738" i="1"/>
  <c r="K738" i="1"/>
  <c r="J738" i="1"/>
  <c r="L738" i="1" s="1"/>
  <c r="D738" i="1"/>
  <c r="C738" i="1"/>
  <c r="T737" i="1"/>
  <c r="S737" i="1"/>
  <c r="Q737" i="1"/>
  <c r="R737" i="1" s="1"/>
  <c r="P737" i="1"/>
  <c r="O737" i="1"/>
  <c r="N737" i="1"/>
  <c r="K737" i="1"/>
  <c r="J737" i="1"/>
  <c r="D737" i="1"/>
  <c r="C737" i="1"/>
  <c r="T736" i="1"/>
  <c r="S736" i="1"/>
  <c r="Q736" i="1"/>
  <c r="R736" i="1" s="1"/>
  <c r="P736" i="1"/>
  <c r="O736" i="1"/>
  <c r="N736" i="1"/>
  <c r="K736" i="1"/>
  <c r="J736" i="1"/>
  <c r="D736" i="1"/>
  <c r="C736" i="1"/>
  <c r="T735" i="1"/>
  <c r="S735" i="1"/>
  <c r="Q735" i="1"/>
  <c r="R735" i="1" s="1"/>
  <c r="P735" i="1"/>
  <c r="O735" i="1"/>
  <c r="N735" i="1"/>
  <c r="K735" i="1"/>
  <c r="J735" i="1"/>
  <c r="D735" i="1"/>
  <c r="C735" i="1"/>
  <c r="T734" i="1"/>
  <c r="S734" i="1"/>
  <c r="Q734" i="1"/>
  <c r="R734" i="1" s="1"/>
  <c r="P734" i="1"/>
  <c r="O734" i="1"/>
  <c r="N734" i="1"/>
  <c r="K734" i="1"/>
  <c r="J734" i="1"/>
  <c r="D734" i="1"/>
  <c r="C734" i="1"/>
  <c r="T733" i="1"/>
  <c r="S733" i="1"/>
  <c r="Q733" i="1"/>
  <c r="R733" i="1" s="1"/>
  <c r="P733" i="1"/>
  <c r="O733" i="1"/>
  <c r="N733" i="1"/>
  <c r="K733" i="1"/>
  <c r="J733" i="1"/>
  <c r="D733" i="1"/>
  <c r="C733" i="1"/>
  <c r="T732" i="1"/>
  <c r="S732" i="1"/>
  <c r="Q732" i="1"/>
  <c r="R732" i="1" s="1"/>
  <c r="P732" i="1"/>
  <c r="O732" i="1"/>
  <c r="N732" i="1"/>
  <c r="K732" i="1"/>
  <c r="J732" i="1"/>
  <c r="D732" i="1"/>
  <c r="C732" i="1"/>
  <c r="T731" i="1"/>
  <c r="S731" i="1"/>
  <c r="Q731" i="1"/>
  <c r="R731" i="1" s="1"/>
  <c r="P731" i="1"/>
  <c r="O731" i="1"/>
  <c r="N731" i="1"/>
  <c r="K731" i="1"/>
  <c r="J731" i="1"/>
  <c r="D731" i="1"/>
  <c r="C731" i="1"/>
  <c r="T730" i="1"/>
  <c r="S730" i="1"/>
  <c r="R730" i="1"/>
  <c r="Q730" i="1"/>
  <c r="P730" i="1"/>
  <c r="O730" i="1"/>
  <c r="N730" i="1"/>
  <c r="K730" i="1"/>
  <c r="J730" i="1"/>
  <c r="L730" i="1" s="1"/>
  <c r="D730" i="1"/>
  <c r="C730" i="1"/>
  <c r="T729" i="1"/>
  <c r="S729" i="1"/>
  <c r="Q729" i="1"/>
  <c r="R729" i="1" s="1"/>
  <c r="P729" i="1"/>
  <c r="O729" i="1"/>
  <c r="N729" i="1"/>
  <c r="K729" i="1"/>
  <c r="J729" i="1"/>
  <c r="D729" i="1"/>
  <c r="C729" i="1"/>
  <c r="T728" i="1"/>
  <c r="S728" i="1"/>
  <c r="Q728" i="1"/>
  <c r="R728" i="1" s="1"/>
  <c r="P728" i="1"/>
  <c r="O728" i="1"/>
  <c r="N728" i="1"/>
  <c r="K728" i="1"/>
  <c r="J728" i="1"/>
  <c r="D728" i="1"/>
  <c r="C728" i="1"/>
  <c r="T727" i="1"/>
  <c r="S727" i="1"/>
  <c r="Q727" i="1"/>
  <c r="R727" i="1" s="1"/>
  <c r="P727" i="1"/>
  <c r="O727" i="1"/>
  <c r="N727" i="1"/>
  <c r="K727" i="1"/>
  <c r="J727" i="1"/>
  <c r="D727" i="1"/>
  <c r="C727" i="1"/>
  <c r="T726" i="1"/>
  <c r="S726" i="1"/>
  <c r="Q726" i="1"/>
  <c r="R726" i="1" s="1"/>
  <c r="P726" i="1"/>
  <c r="O726" i="1"/>
  <c r="N726" i="1"/>
  <c r="K726" i="1"/>
  <c r="J726" i="1"/>
  <c r="D726" i="1"/>
  <c r="C726" i="1"/>
  <c r="T725" i="1"/>
  <c r="S725" i="1"/>
  <c r="Q725" i="1"/>
  <c r="R725" i="1" s="1"/>
  <c r="P725" i="1"/>
  <c r="O725" i="1"/>
  <c r="N725" i="1"/>
  <c r="K725" i="1"/>
  <c r="J725" i="1"/>
  <c r="D725" i="1"/>
  <c r="C725" i="1"/>
  <c r="T724" i="1"/>
  <c r="S724" i="1"/>
  <c r="Q724" i="1"/>
  <c r="R724" i="1" s="1"/>
  <c r="P724" i="1"/>
  <c r="O724" i="1"/>
  <c r="N724" i="1"/>
  <c r="K724" i="1"/>
  <c r="J724" i="1"/>
  <c r="D724" i="1"/>
  <c r="C724" i="1"/>
  <c r="T723" i="1"/>
  <c r="S723" i="1"/>
  <c r="Q723" i="1"/>
  <c r="R723" i="1" s="1"/>
  <c r="P723" i="1"/>
  <c r="O723" i="1"/>
  <c r="N723" i="1"/>
  <c r="K723" i="1"/>
  <c r="J723" i="1"/>
  <c r="D723" i="1"/>
  <c r="C723" i="1"/>
  <c r="T722" i="1"/>
  <c r="S722" i="1"/>
  <c r="Q722" i="1"/>
  <c r="R722" i="1" s="1"/>
  <c r="P722" i="1"/>
  <c r="O722" i="1"/>
  <c r="N722" i="1"/>
  <c r="K722" i="1"/>
  <c r="J722" i="1"/>
  <c r="D722" i="1"/>
  <c r="C722" i="1"/>
  <c r="T721" i="1"/>
  <c r="S721" i="1"/>
  <c r="Q721" i="1"/>
  <c r="R721" i="1" s="1"/>
  <c r="P721" i="1"/>
  <c r="O721" i="1"/>
  <c r="N721" i="1"/>
  <c r="K721" i="1"/>
  <c r="J721" i="1"/>
  <c r="D721" i="1"/>
  <c r="C721" i="1"/>
  <c r="T720" i="1"/>
  <c r="S720" i="1"/>
  <c r="Q720" i="1"/>
  <c r="R720" i="1" s="1"/>
  <c r="P720" i="1"/>
  <c r="O720" i="1"/>
  <c r="N720" i="1"/>
  <c r="K720" i="1"/>
  <c r="J720" i="1"/>
  <c r="D720" i="1"/>
  <c r="C720" i="1"/>
  <c r="T719" i="1"/>
  <c r="S719" i="1"/>
  <c r="Q719" i="1"/>
  <c r="R719" i="1" s="1"/>
  <c r="P719" i="1"/>
  <c r="O719" i="1"/>
  <c r="N719" i="1"/>
  <c r="K719" i="1"/>
  <c r="J719" i="1"/>
  <c r="D719" i="1"/>
  <c r="C719" i="1"/>
  <c r="T718" i="1"/>
  <c r="S718" i="1"/>
  <c r="Q718" i="1"/>
  <c r="R718" i="1" s="1"/>
  <c r="P718" i="1"/>
  <c r="O718" i="1"/>
  <c r="N718" i="1"/>
  <c r="K718" i="1"/>
  <c r="J718" i="1"/>
  <c r="D718" i="1"/>
  <c r="C718" i="1"/>
  <c r="T717" i="1"/>
  <c r="S717" i="1"/>
  <c r="Q717" i="1"/>
  <c r="R717" i="1" s="1"/>
  <c r="P717" i="1"/>
  <c r="O717" i="1"/>
  <c r="N717" i="1"/>
  <c r="K717" i="1"/>
  <c r="J717" i="1"/>
  <c r="D717" i="1"/>
  <c r="C717" i="1"/>
  <c r="T716" i="1"/>
  <c r="S716" i="1"/>
  <c r="Q716" i="1"/>
  <c r="R716" i="1" s="1"/>
  <c r="P716" i="1"/>
  <c r="O716" i="1"/>
  <c r="N716" i="1"/>
  <c r="K716" i="1"/>
  <c r="J716" i="1"/>
  <c r="D716" i="1"/>
  <c r="C716" i="1"/>
  <c r="T715" i="1"/>
  <c r="S715" i="1"/>
  <c r="Q715" i="1"/>
  <c r="R715" i="1" s="1"/>
  <c r="P715" i="1"/>
  <c r="O715" i="1"/>
  <c r="N715" i="1"/>
  <c r="K715" i="1"/>
  <c r="J715" i="1"/>
  <c r="D715" i="1"/>
  <c r="C715" i="1"/>
  <c r="T714" i="1"/>
  <c r="S714" i="1"/>
  <c r="Q714" i="1"/>
  <c r="R714" i="1" s="1"/>
  <c r="P714" i="1"/>
  <c r="O714" i="1"/>
  <c r="N714" i="1"/>
  <c r="K714" i="1"/>
  <c r="J714" i="1"/>
  <c r="D714" i="1"/>
  <c r="C714" i="1"/>
  <c r="T713" i="1"/>
  <c r="S713" i="1"/>
  <c r="Q713" i="1"/>
  <c r="R713" i="1" s="1"/>
  <c r="P713" i="1"/>
  <c r="O713" i="1"/>
  <c r="N713" i="1"/>
  <c r="K713" i="1"/>
  <c r="J713" i="1"/>
  <c r="D713" i="1"/>
  <c r="C713" i="1"/>
  <c r="T712" i="1"/>
  <c r="S712" i="1"/>
  <c r="Q712" i="1"/>
  <c r="R712" i="1" s="1"/>
  <c r="P712" i="1"/>
  <c r="O712" i="1"/>
  <c r="N712" i="1"/>
  <c r="K712" i="1"/>
  <c r="J712" i="1"/>
  <c r="D712" i="1"/>
  <c r="C712" i="1"/>
  <c r="T711" i="1"/>
  <c r="S711" i="1"/>
  <c r="Q711" i="1"/>
  <c r="R711" i="1" s="1"/>
  <c r="P711" i="1"/>
  <c r="O711" i="1"/>
  <c r="N711" i="1"/>
  <c r="K711" i="1"/>
  <c r="J711" i="1"/>
  <c r="D711" i="1"/>
  <c r="C711" i="1"/>
  <c r="T710" i="1"/>
  <c r="S710" i="1"/>
  <c r="Q710" i="1"/>
  <c r="R710" i="1" s="1"/>
  <c r="P710" i="1"/>
  <c r="O710" i="1"/>
  <c r="N710" i="1"/>
  <c r="K710" i="1"/>
  <c r="J710" i="1"/>
  <c r="D710" i="1"/>
  <c r="C710" i="1"/>
  <c r="T709" i="1"/>
  <c r="S709" i="1"/>
  <c r="R709" i="1"/>
  <c r="Q709" i="1"/>
  <c r="P709" i="1"/>
  <c r="O709" i="1"/>
  <c r="N709" i="1"/>
  <c r="K709" i="1"/>
  <c r="J709" i="1"/>
  <c r="L709" i="1" s="1"/>
  <c r="D709" i="1"/>
  <c r="C709" i="1"/>
  <c r="T708" i="1"/>
  <c r="S708" i="1"/>
  <c r="Q708" i="1"/>
  <c r="R708" i="1" s="1"/>
  <c r="P708" i="1"/>
  <c r="O708" i="1"/>
  <c r="N708" i="1"/>
  <c r="K708" i="1"/>
  <c r="J708" i="1"/>
  <c r="D708" i="1"/>
  <c r="C708" i="1"/>
  <c r="T707" i="1"/>
  <c r="S707" i="1"/>
  <c r="Q707" i="1"/>
  <c r="R707" i="1" s="1"/>
  <c r="P707" i="1"/>
  <c r="O707" i="1"/>
  <c r="N707" i="1"/>
  <c r="K707" i="1"/>
  <c r="J707" i="1"/>
  <c r="D707" i="1"/>
  <c r="C707" i="1"/>
  <c r="T706" i="1"/>
  <c r="S706" i="1"/>
  <c r="Q706" i="1"/>
  <c r="R706" i="1" s="1"/>
  <c r="P706" i="1"/>
  <c r="O706" i="1"/>
  <c r="N706" i="1"/>
  <c r="K706" i="1"/>
  <c r="J706" i="1"/>
  <c r="D706" i="1"/>
  <c r="C706" i="1"/>
  <c r="T705" i="1"/>
  <c r="S705" i="1"/>
  <c r="Q705" i="1"/>
  <c r="R705" i="1" s="1"/>
  <c r="P705" i="1"/>
  <c r="O705" i="1"/>
  <c r="N705" i="1"/>
  <c r="K705" i="1"/>
  <c r="J705" i="1"/>
  <c r="D705" i="1"/>
  <c r="C705" i="1"/>
  <c r="T704" i="1"/>
  <c r="S704" i="1"/>
  <c r="Q704" i="1"/>
  <c r="R704" i="1" s="1"/>
  <c r="P704" i="1"/>
  <c r="O704" i="1"/>
  <c r="N704" i="1"/>
  <c r="K704" i="1"/>
  <c r="J704" i="1"/>
  <c r="D704" i="1"/>
  <c r="C704" i="1"/>
  <c r="T703" i="1"/>
  <c r="S703" i="1"/>
  <c r="Q703" i="1"/>
  <c r="R703" i="1" s="1"/>
  <c r="P703" i="1"/>
  <c r="O703" i="1"/>
  <c r="N703" i="1"/>
  <c r="K703" i="1"/>
  <c r="J703" i="1"/>
  <c r="D703" i="1"/>
  <c r="C703" i="1"/>
  <c r="T702" i="1"/>
  <c r="S702" i="1"/>
  <c r="Q702" i="1"/>
  <c r="R702" i="1" s="1"/>
  <c r="P702" i="1"/>
  <c r="O702" i="1"/>
  <c r="N702" i="1"/>
  <c r="K702" i="1"/>
  <c r="J702" i="1"/>
  <c r="D702" i="1"/>
  <c r="C702" i="1"/>
  <c r="T701" i="1"/>
  <c r="S701" i="1"/>
  <c r="Q701" i="1"/>
  <c r="R701" i="1" s="1"/>
  <c r="P701" i="1"/>
  <c r="O701" i="1"/>
  <c r="N701" i="1"/>
  <c r="K701" i="1"/>
  <c r="J701" i="1"/>
  <c r="D701" i="1"/>
  <c r="C701" i="1"/>
  <c r="T700" i="1"/>
  <c r="S700" i="1"/>
  <c r="Q700" i="1"/>
  <c r="R700" i="1" s="1"/>
  <c r="P700" i="1"/>
  <c r="O700" i="1"/>
  <c r="N700" i="1"/>
  <c r="K700" i="1"/>
  <c r="J700" i="1"/>
  <c r="D700" i="1"/>
  <c r="C700" i="1"/>
  <c r="T699" i="1"/>
  <c r="S699" i="1"/>
  <c r="Q699" i="1"/>
  <c r="R699" i="1" s="1"/>
  <c r="P699" i="1"/>
  <c r="O699" i="1"/>
  <c r="N699" i="1"/>
  <c r="K699" i="1"/>
  <c r="J699" i="1"/>
  <c r="D699" i="1"/>
  <c r="C699" i="1"/>
  <c r="T698" i="1"/>
  <c r="S698" i="1"/>
  <c r="Q698" i="1"/>
  <c r="R698" i="1" s="1"/>
  <c r="P698" i="1"/>
  <c r="O698" i="1"/>
  <c r="N698" i="1"/>
  <c r="K698" i="1"/>
  <c r="J698" i="1"/>
  <c r="D698" i="1"/>
  <c r="C698" i="1"/>
  <c r="T697" i="1"/>
  <c r="S697" i="1"/>
  <c r="R697" i="1"/>
  <c r="Q697" i="1"/>
  <c r="P697" i="1"/>
  <c r="O697" i="1"/>
  <c r="N697" i="1"/>
  <c r="K697" i="1"/>
  <c r="J697" i="1"/>
  <c r="L697" i="1" s="1"/>
  <c r="D697" i="1"/>
  <c r="C697" i="1"/>
  <c r="T696" i="1"/>
  <c r="S696" i="1"/>
  <c r="Q696" i="1"/>
  <c r="R696" i="1" s="1"/>
  <c r="P696" i="1"/>
  <c r="O696" i="1"/>
  <c r="N696" i="1"/>
  <c r="K696" i="1"/>
  <c r="J696" i="1"/>
  <c r="D696" i="1"/>
  <c r="C696" i="1"/>
  <c r="T695" i="1"/>
  <c r="S695" i="1"/>
  <c r="Q695" i="1"/>
  <c r="R695" i="1" s="1"/>
  <c r="P695" i="1"/>
  <c r="O695" i="1"/>
  <c r="N695" i="1"/>
  <c r="K695" i="1"/>
  <c r="J695" i="1"/>
  <c r="D695" i="1"/>
  <c r="C695" i="1"/>
  <c r="T694" i="1"/>
  <c r="S694" i="1"/>
  <c r="Q694" i="1"/>
  <c r="R694" i="1" s="1"/>
  <c r="P694" i="1"/>
  <c r="O694" i="1"/>
  <c r="N694" i="1"/>
  <c r="K694" i="1"/>
  <c r="J694" i="1"/>
  <c r="D694" i="1"/>
  <c r="C694" i="1"/>
  <c r="T693" i="1"/>
  <c r="S693" i="1"/>
  <c r="Q693" i="1"/>
  <c r="R693" i="1" s="1"/>
  <c r="P693" i="1"/>
  <c r="O693" i="1"/>
  <c r="N693" i="1"/>
  <c r="K693" i="1"/>
  <c r="J693" i="1"/>
  <c r="D693" i="1"/>
  <c r="C693" i="1"/>
  <c r="T692" i="1"/>
  <c r="S692" i="1"/>
  <c r="R692" i="1"/>
  <c r="Q692" i="1"/>
  <c r="P692" i="1"/>
  <c r="O692" i="1"/>
  <c r="N692" i="1"/>
  <c r="K692" i="1"/>
  <c r="J692" i="1"/>
  <c r="D692" i="1"/>
  <c r="C692" i="1"/>
  <c r="T691" i="1"/>
  <c r="S691" i="1"/>
  <c r="Q691" i="1"/>
  <c r="R691" i="1" s="1"/>
  <c r="P691" i="1"/>
  <c r="O691" i="1"/>
  <c r="N691" i="1"/>
  <c r="K691" i="1"/>
  <c r="J691" i="1"/>
  <c r="D691" i="1"/>
  <c r="C691" i="1"/>
  <c r="T690" i="1"/>
  <c r="S690" i="1"/>
  <c r="Q690" i="1"/>
  <c r="R690" i="1" s="1"/>
  <c r="P690" i="1"/>
  <c r="O690" i="1"/>
  <c r="N690" i="1"/>
  <c r="K690" i="1"/>
  <c r="J690" i="1"/>
  <c r="L690" i="1" s="1"/>
  <c r="D690" i="1"/>
  <c r="C690" i="1"/>
  <c r="T689" i="1"/>
  <c r="S689" i="1"/>
  <c r="Q689" i="1"/>
  <c r="R689" i="1" s="1"/>
  <c r="P689" i="1"/>
  <c r="O689" i="1"/>
  <c r="N689" i="1"/>
  <c r="K689" i="1"/>
  <c r="J689" i="1"/>
  <c r="D689" i="1"/>
  <c r="C689" i="1"/>
  <c r="T688" i="1"/>
  <c r="S688" i="1"/>
  <c r="Q688" i="1"/>
  <c r="R688" i="1" s="1"/>
  <c r="P688" i="1"/>
  <c r="O688" i="1"/>
  <c r="N688" i="1"/>
  <c r="K688" i="1"/>
  <c r="J688" i="1"/>
  <c r="D688" i="1"/>
  <c r="C688" i="1"/>
  <c r="T687" i="1"/>
  <c r="S687" i="1"/>
  <c r="Q687" i="1"/>
  <c r="R687" i="1" s="1"/>
  <c r="P687" i="1"/>
  <c r="O687" i="1"/>
  <c r="N687" i="1"/>
  <c r="K687" i="1"/>
  <c r="J687" i="1"/>
  <c r="D687" i="1"/>
  <c r="C687" i="1"/>
  <c r="T686" i="1"/>
  <c r="S686" i="1"/>
  <c r="Q686" i="1"/>
  <c r="R686" i="1" s="1"/>
  <c r="P686" i="1"/>
  <c r="O686" i="1"/>
  <c r="N686" i="1"/>
  <c r="K686" i="1"/>
  <c r="J686" i="1"/>
  <c r="D686" i="1"/>
  <c r="C686" i="1"/>
  <c r="T685" i="1"/>
  <c r="S685" i="1"/>
  <c r="Q685" i="1"/>
  <c r="R685" i="1" s="1"/>
  <c r="P685" i="1"/>
  <c r="O685" i="1"/>
  <c r="N685" i="1"/>
  <c r="K685" i="1"/>
  <c r="J685" i="1"/>
  <c r="D685" i="1"/>
  <c r="C685" i="1"/>
  <c r="T684" i="1"/>
  <c r="S684" i="1"/>
  <c r="Q684" i="1"/>
  <c r="R684" i="1" s="1"/>
  <c r="P684" i="1"/>
  <c r="O684" i="1"/>
  <c r="N684" i="1"/>
  <c r="K684" i="1"/>
  <c r="J684" i="1"/>
  <c r="D684" i="1"/>
  <c r="C684" i="1"/>
  <c r="T683" i="1"/>
  <c r="S683" i="1"/>
  <c r="Q683" i="1"/>
  <c r="R683" i="1" s="1"/>
  <c r="P683" i="1"/>
  <c r="O683" i="1"/>
  <c r="N683" i="1"/>
  <c r="K683" i="1"/>
  <c r="J683" i="1"/>
  <c r="D683" i="1"/>
  <c r="C683" i="1"/>
  <c r="T682" i="1"/>
  <c r="S682" i="1"/>
  <c r="Q682" i="1"/>
  <c r="R682" i="1" s="1"/>
  <c r="P682" i="1"/>
  <c r="O682" i="1"/>
  <c r="N682" i="1"/>
  <c r="K682" i="1"/>
  <c r="J682" i="1"/>
  <c r="D682" i="1"/>
  <c r="C682" i="1"/>
  <c r="T681" i="1"/>
  <c r="S681" i="1"/>
  <c r="Q681" i="1"/>
  <c r="R681" i="1" s="1"/>
  <c r="P681" i="1"/>
  <c r="O681" i="1"/>
  <c r="N681" i="1"/>
  <c r="K681" i="1"/>
  <c r="J681" i="1"/>
  <c r="D681" i="1"/>
  <c r="C681" i="1"/>
  <c r="T680" i="1"/>
  <c r="S680" i="1"/>
  <c r="R680" i="1"/>
  <c r="Q680" i="1"/>
  <c r="P680" i="1"/>
  <c r="O680" i="1"/>
  <c r="N680" i="1"/>
  <c r="K680" i="1"/>
  <c r="J680" i="1"/>
  <c r="D680" i="1"/>
  <c r="C680" i="1"/>
  <c r="T679" i="1"/>
  <c r="S679" i="1"/>
  <c r="Q679" i="1"/>
  <c r="R679" i="1" s="1"/>
  <c r="P679" i="1"/>
  <c r="O679" i="1"/>
  <c r="N679" i="1"/>
  <c r="K679" i="1"/>
  <c r="J679" i="1"/>
  <c r="D679" i="1"/>
  <c r="C679" i="1"/>
  <c r="T678" i="1"/>
  <c r="S678" i="1"/>
  <c r="Q678" i="1"/>
  <c r="R678" i="1" s="1"/>
  <c r="P678" i="1"/>
  <c r="O678" i="1"/>
  <c r="N678" i="1"/>
  <c r="K678" i="1"/>
  <c r="J678" i="1"/>
  <c r="D678" i="1"/>
  <c r="C678" i="1"/>
  <c r="T677" i="1"/>
  <c r="S677" i="1"/>
  <c r="Q677" i="1"/>
  <c r="R677" i="1" s="1"/>
  <c r="P677" i="1"/>
  <c r="O677" i="1"/>
  <c r="N677" i="1"/>
  <c r="K677" i="1"/>
  <c r="J677" i="1"/>
  <c r="D677" i="1"/>
  <c r="C677" i="1"/>
  <c r="T676" i="1"/>
  <c r="S676" i="1"/>
  <c r="Q676" i="1"/>
  <c r="R676" i="1" s="1"/>
  <c r="P676" i="1"/>
  <c r="O676" i="1"/>
  <c r="N676" i="1"/>
  <c r="K676" i="1"/>
  <c r="J676" i="1"/>
  <c r="L676" i="1" s="1"/>
  <c r="D676" i="1"/>
  <c r="C676" i="1"/>
  <c r="T675" i="1"/>
  <c r="S675" i="1"/>
  <c r="Q675" i="1"/>
  <c r="R675" i="1" s="1"/>
  <c r="P675" i="1"/>
  <c r="O675" i="1"/>
  <c r="N675" i="1"/>
  <c r="K675" i="1"/>
  <c r="J675" i="1"/>
  <c r="D675" i="1"/>
  <c r="C675" i="1"/>
  <c r="T674" i="1"/>
  <c r="S674" i="1"/>
  <c r="Q674" i="1"/>
  <c r="R674" i="1" s="1"/>
  <c r="P674" i="1"/>
  <c r="O674" i="1"/>
  <c r="N674" i="1"/>
  <c r="K674" i="1"/>
  <c r="J674" i="1"/>
  <c r="L674" i="1" s="1"/>
  <c r="D674" i="1"/>
  <c r="C674" i="1"/>
  <c r="T673" i="1"/>
  <c r="S673" i="1"/>
  <c r="Q673" i="1"/>
  <c r="R673" i="1" s="1"/>
  <c r="P673" i="1"/>
  <c r="O673" i="1"/>
  <c r="N673" i="1"/>
  <c r="K673" i="1"/>
  <c r="J673" i="1"/>
  <c r="D673" i="1"/>
  <c r="C673" i="1"/>
  <c r="T672" i="1"/>
  <c r="S672" i="1"/>
  <c r="Q672" i="1"/>
  <c r="R672" i="1" s="1"/>
  <c r="P672" i="1"/>
  <c r="O672" i="1"/>
  <c r="N672" i="1"/>
  <c r="K672" i="1"/>
  <c r="J672" i="1"/>
  <c r="D672" i="1"/>
  <c r="C672" i="1"/>
  <c r="T671" i="1"/>
  <c r="S671" i="1"/>
  <c r="Q671" i="1"/>
  <c r="R671" i="1" s="1"/>
  <c r="P671" i="1"/>
  <c r="O671" i="1"/>
  <c r="N671" i="1"/>
  <c r="K671" i="1"/>
  <c r="J671" i="1"/>
  <c r="D671" i="1"/>
  <c r="C671" i="1"/>
  <c r="T670" i="1"/>
  <c r="S670" i="1"/>
  <c r="Q670" i="1"/>
  <c r="R670" i="1" s="1"/>
  <c r="P670" i="1"/>
  <c r="O670" i="1"/>
  <c r="N670" i="1"/>
  <c r="K670" i="1"/>
  <c r="J670" i="1"/>
  <c r="D670" i="1"/>
  <c r="C670" i="1"/>
  <c r="T669" i="1"/>
  <c r="S669" i="1"/>
  <c r="Q669" i="1"/>
  <c r="R669" i="1" s="1"/>
  <c r="P669" i="1"/>
  <c r="O669" i="1"/>
  <c r="N669" i="1"/>
  <c r="K669" i="1"/>
  <c r="J669" i="1"/>
  <c r="D669" i="1"/>
  <c r="C669" i="1"/>
  <c r="T668" i="1"/>
  <c r="S668" i="1"/>
  <c r="Q668" i="1"/>
  <c r="R668" i="1" s="1"/>
  <c r="P668" i="1"/>
  <c r="O668" i="1"/>
  <c r="N668" i="1"/>
  <c r="K668" i="1"/>
  <c r="J668" i="1"/>
  <c r="D668" i="1"/>
  <c r="C668" i="1"/>
  <c r="T667" i="1"/>
  <c r="S667" i="1"/>
  <c r="Q667" i="1"/>
  <c r="R667" i="1" s="1"/>
  <c r="P667" i="1"/>
  <c r="O667" i="1"/>
  <c r="N667" i="1"/>
  <c r="K667" i="1"/>
  <c r="J667" i="1"/>
  <c r="D667" i="1"/>
  <c r="C667" i="1"/>
  <c r="T666" i="1"/>
  <c r="S666" i="1"/>
  <c r="Q666" i="1"/>
  <c r="R666" i="1" s="1"/>
  <c r="P666" i="1"/>
  <c r="O666" i="1"/>
  <c r="N666" i="1"/>
  <c r="K666" i="1"/>
  <c r="J666" i="1"/>
  <c r="D666" i="1"/>
  <c r="C666" i="1"/>
  <c r="T665" i="1"/>
  <c r="S665" i="1"/>
  <c r="Q665" i="1"/>
  <c r="R665" i="1" s="1"/>
  <c r="P665" i="1"/>
  <c r="O665" i="1"/>
  <c r="N665" i="1"/>
  <c r="K665" i="1"/>
  <c r="J665" i="1"/>
  <c r="D665" i="1"/>
  <c r="C665" i="1"/>
  <c r="T664" i="1"/>
  <c r="S664" i="1"/>
  <c r="R664" i="1"/>
  <c r="Q664" i="1"/>
  <c r="P664" i="1"/>
  <c r="O664" i="1"/>
  <c r="N664" i="1"/>
  <c r="K664" i="1"/>
  <c r="J664" i="1"/>
  <c r="D664" i="1"/>
  <c r="C664" i="1"/>
  <c r="T663" i="1"/>
  <c r="S663" i="1"/>
  <c r="Q663" i="1"/>
  <c r="R663" i="1" s="1"/>
  <c r="P663" i="1"/>
  <c r="O663" i="1"/>
  <c r="N663" i="1"/>
  <c r="K663" i="1"/>
  <c r="J663" i="1"/>
  <c r="D663" i="1"/>
  <c r="C663" i="1"/>
  <c r="T662" i="1"/>
  <c r="S662" i="1"/>
  <c r="Q662" i="1"/>
  <c r="R662" i="1" s="1"/>
  <c r="P662" i="1"/>
  <c r="O662" i="1"/>
  <c r="N662" i="1"/>
  <c r="K662" i="1"/>
  <c r="J662" i="1"/>
  <c r="L662" i="1" s="1"/>
  <c r="D662" i="1"/>
  <c r="C662" i="1"/>
  <c r="T661" i="1"/>
  <c r="S661" i="1"/>
  <c r="Q661" i="1"/>
  <c r="R661" i="1" s="1"/>
  <c r="P661" i="1"/>
  <c r="O661" i="1"/>
  <c r="N661" i="1"/>
  <c r="K661" i="1"/>
  <c r="J661" i="1"/>
  <c r="D661" i="1"/>
  <c r="C661" i="1"/>
  <c r="T660" i="1"/>
  <c r="S660" i="1"/>
  <c r="Q660" i="1"/>
  <c r="R660" i="1" s="1"/>
  <c r="P660" i="1"/>
  <c r="O660" i="1"/>
  <c r="N660" i="1"/>
  <c r="K660" i="1"/>
  <c r="J660" i="1"/>
  <c r="D660" i="1"/>
  <c r="C660" i="1"/>
  <c r="T659" i="1"/>
  <c r="S659" i="1"/>
  <c r="Q659" i="1"/>
  <c r="R659" i="1" s="1"/>
  <c r="P659" i="1"/>
  <c r="O659" i="1"/>
  <c r="N659" i="1"/>
  <c r="K659" i="1"/>
  <c r="J659" i="1"/>
  <c r="D659" i="1"/>
  <c r="C659" i="1"/>
  <c r="T658" i="1"/>
  <c r="S658" i="1"/>
  <c r="Q658" i="1"/>
  <c r="R658" i="1" s="1"/>
  <c r="P658" i="1"/>
  <c r="O658" i="1"/>
  <c r="N658" i="1"/>
  <c r="K658" i="1"/>
  <c r="J658" i="1"/>
  <c r="L658" i="1" s="1"/>
  <c r="D658" i="1"/>
  <c r="C658" i="1"/>
  <c r="T657" i="1"/>
  <c r="S657" i="1"/>
  <c r="Q657" i="1"/>
  <c r="R657" i="1" s="1"/>
  <c r="P657" i="1"/>
  <c r="O657" i="1"/>
  <c r="N657" i="1"/>
  <c r="K657" i="1"/>
  <c r="J657" i="1"/>
  <c r="D657" i="1"/>
  <c r="C657" i="1"/>
  <c r="T656" i="1"/>
  <c r="S656" i="1"/>
  <c r="R656" i="1"/>
  <c r="Q656" i="1"/>
  <c r="P656" i="1"/>
  <c r="O656" i="1"/>
  <c r="N656" i="1"/>
  <c r="K656" i="1"/>
  <c r="J656" i="1"/>
  <c r="D656" i="1"/>
  <c r="C656" i="1"/>
  <c r="T655" i="1"/>
  <c r="S655" i="1"/>
  <c r="Q655" i="1"/>
  <c r="R655" i="1" s="1"/>
  <c r="P655" i="1"/>
  <c r="O655" i="1"/>
  <c r="N655" i="1"/>
  <c r="K655" i="1"/>
  <c r="J655" i="1"/>
  <c r="D655" i="1"/>
  <c r="C655" i="1"/>
  <c r="T654" i="1"/>
  <c r="S654" i="1"/>
  <c r="Q654" i="1"/>
  <c r="R654" i="1" s="1"/>
  <c r="P654" i="1"/>
  <c r="O654" i="1"/>
  <c r="N654" i="1"/>
  <c r="K654" i="1"/>
  <c r="J654" i="1"/>
  <c r="D654" i="1"/>
  <c r="C654" i="1"/>
  <c r="T653" i="1"/>
  <c r="S653" i="1"/>
  <c r="Q653" i="1"/>
  <c r="R653" i="1" s="1"/>
  <c r="P653" i="1"/>
  <c r="O653" i="1"/>
  <c r="N653" i="1"/>
  <c r="K653" i="1"/>
  <c r="J653" i="1"/>
  <c r="L653" i="1" s="1"/>
  <c r="D653" i="1"/>
  <c r="C653" i="1"/>
  <c r="T652" i="1"/>
  <c r="S652" i="1"/>
  <c r="Q652" i="1"/>
  <c r="R652" i="1" s="1"/>
  <c r="P652" i="1"/>
  <c r="O652" i="1"/>
  <c r="N652" i="1"/>
  <c r="K652" i="1"/>
  <c r="J652" i="1"/>
  <c r="D652" i="1"/>
  <c r="C652" i="1"/>
  <c r="T651" i="1"/>
  <c r="S651" i="1"/>
  <c r="Q651" i="1"/>
  <c r="R651" i="1" s="1"/>
  <c r="P651" i="1"/>
  <c r="O651" i="1"/>
  <c r="N651" i="1"/>
  <c r="K651" i="1"/>
  <c r="J651" i="1"/>
  <c r="D651" i="1"/>
  <c r="C651" i="1"/>
  <c r="T650" i="1"/>
  <c r="S650" i="1"/>
  <c r="Q650" i="1"/>
  <c r="R650" i="1" s="1"/>
  <c r="P650" i="1"/>
  <c r="O650" i="1"/>
  <c r="N650" i="1"/>
  <c r="K650" i="1"/>
  <c r="J650" i="1"/>
  <c r="D650" i="1"/>
  <c r="C650" i="1"/>
  <c r="T649" i="1"/>
  <c r="S649" i="1"/>
  <c r="Q649" i="1"/>
  <c r="R649" i="1" s="1"/>
  <c r="P649" i="1"/>
  <c r="O649" i="1"/>
  <c r="N649" i="1"/>
  <c r="K649" i="1"/>
  <c r="J649" i="1"/>
  <c r="D649" i="1"/>
  <c r="C649" i="1"/>
  <c r="T648" i="1"/>
  <c r="S648" i="1"/>
  <c r="Q648" i="1"/>
  <c r="R648" i="1" s="1"/>
  <c r="P648" i="1"/>
  <c r="O648" i="1"/>
  <c r="N648" i="1"/>
  <c r="K648" i="1"/>
  <c r="J648" i="1"/>
  <c r="D648" i="1"/>
  <c r="C648" i="1"/>
  <c r="T647" i="1"/>
  <c r="S647" i="1"/>
  <c r="Q647" i="1"/>
  <c r="R647" i="1" s="1"/>
  <c r="P647" i="1"/>
  <c r="O647" i="1"/>
  <c r="N647" i="1"/>
  <c r="K647" i="1"/>
  <c r="J647" i="1"/>
  <c r="D647" i="1"/>
  <c r="C647" i="1"/>
  <c r="T646" i="1"/>
  <c r="S646" i="1"/>
  <c r="Q646" i="1"/>
  <c r="R646" i="1" s="1"/>
  <c r="P646" i="1"/>
  <c r="O646" i="1"/>
  <c r="N646" i="1"/>
  <c r="K646" i="1"/>
  <c r="J646" i="1"/>
  <c r="D646" i="1"/>
  <c r="C646" i="1"/>
  <c r="T645" i="1"/>
  <c r="S645" i="1"/>
  <c r="Q645" i="1"/>
  <c r="R645" i="1" s="1"/>
  <c r="P645" i="1"/>
  <c r="O645" i="1"/>
  <c r="N645" i="1"/>
  <c r="K645" i="1"/>
  <c r="J645" i="1"/>
  <c r="D645" i="1"/>
  <c r="C645" i="1"/>
  <c r="T644" i="1"/>
  <c r="S644" i="1"/>
  <c r="Q644" i="1"/>
  <c r="R644" i="1" s="1"/>
  <c r="P644" i="1"/>
  <c r="O644" i="1"/>
  <c r="N644" i="1"/>
  <c r="K644" i="1"/>
  <c r="J644" i="1"/>
  <c r="D644" i="1"/>
  <c r="C644" i="1"/>
  <c r="T643" i="1"/>
  <c r="S643" i="1"/>
  <c r="Q643" i="1"/>
  <c r="R643" i="1" s="1"/>
  <c r="P643" i="1"/>
  <c r="O643" i="1"/>
  <c r="N643" i="1"/>
  <c r="K643" i="1"/>
  <c r="J643" i="1"/>
  <c r="D643" i="1"/>
  <c r="C643" i="1"/>
  <c r="T642" i="1"/>
  <c r="S642" i="1"/>
  <c r="Q642" i="1"/>
  <c r="R642" i="1" s="1"/>
  <c r="P642" i="1"/>
  <c r="O642" i="1"/>
  <c r="N642" i="1"/>
  <c r="K642" i="1"/>
  <c r="J642" i="1"/>
  <c r="D642" i="1"/>
  <c r="C642" i="1"/>
  <c r="T641" i="1"/>
  <c r="S641" i="1"/>
  <c r="Q641" i="1"/>
  <c r="R641" i="1" s="1"/>
  <c r="P641" i="1"/>
  <c r="O641" i="1"/>
  <c r="N641" i="1"/>
  <c r="K641" i="1"/>
  <c r="J641" i="1"/>
  <c r="D641" i="1"/>
  <c r="C641" i="1"/>
  <c r="T640" i="1"/>
  <c r="S640" i="1"/>
  <c r="R640" i="1"/>
  <c r="Q640" i="1"/>
  <c r="P640" i="1"/>
  <c r="O640" i="1"/>
  <c r="N640" i="1"/>
  <c r="K640" i="1"/>
  <c r="J640" i="1"/>
  <c r="D640" i="1"/>
  <c r="C640" i="1"/>
  <c r="T639" i="1"/>
  <c r="S639" i="1"/>
  <c r="Q639" i="1"/>
  <c r="R639" i="1" s="1"/>
  <c r="P639" i="1"/>
  <c r="O639" i="1"/>
  <c r="N639" i="1"/>
  <c r="K639" i="1"/>
  <c r="J639" i="1"/>
  <c r="D639" i="1"/>
  <c r="C639" i="1"/>
  <c r="T638" i="1"/>
  <c r="S638" i="1"/>
  <c r="Q638" i="1"/>
  <c r="R638" i="1" s="1"/>
  <c r="P638" i="1"/>
  <c r="O638" i="1"/>
  <c r="N638" i="1"/>
  <c r="K638" i="1"/>
  <c r="J638" i="1"/>
  <c r="D638" i="1"/>
  <c r="C638" i="1"/>
  <c r="T637" i="1"/>
  <c r="S637" i="1"/>
  <c r="Q637" i="1"/>
  <c r="R637" i="1" s="1"/>
  <c r="P637" i="1"/>
  <c r="O637" i="1"/>
  <c r="N637" i="1"/>
  <c r="K637" i="1"/>
  <c r="J637" i="1"/>
  <c r="L637" i="1" s="1"/>
  <c r="D637" i="1"/>
  <c r="C637" i="1"/>
  <c r="T636" i="1"/>
  <c r="S636" i="1"/>
  <c r="Q636" i="1"/>
  <c r="R636" i="1" s="1"/>
  <c r="P636" i="1"/>
  <c r="O636" i="1"/>
  <c r="N636" i="1"/>
  <c r="K636" i="1"/>
  <c r="J636" i="1"/>
  <c r="D636" i="1"/>
  <c r="C636" i="1"/>
  <c r="T635" i="1"/>
  <c r="S635" i="1"/>
  <c r="Q635" i="1"/>
  <c r="R635" i="1" s="1"/>
  <c r="P635" i="1"/>
  <c r="O635" i="1"/>
  <c r="N635" i="1"/>
  <c r="K635" i="1"/>
  <c r="J635" i="1"/>
  <c r="D635" i="1"/>
  <c r="C635" i="1"/>
  <c r="T634" i="1"/>
  <c r="S634" i="1"/>
  <c r="Q634" i="1"/>
  <c r="R634" i="1" s="1"/>
  <c r="P634" i="1"/>
  <c r="O634" i="1"/>
  <c r="N634" i="1"/>
  <c r="K634" i="1"/>
  <c r="J634" i="1"/>
  <c r="D634" i="1"/>
  <c r="C634" i="1"/>
  <c r="T633" i="1"/>
  <c r="S633" i="1"/>
  <c r="Q633" i="1"/>
  <c r="R633" i="1" s="1"/>
  <c r="P633" i="1"/>
  <c r="O633" i="1"/>
  <c r="N633" i="1"/>
  <c r="K633" i="1"/>
  <c r="J633" i="1"/>
  <c r="D633" i="1"/>
  <c r="C633" i="1"/>
  <c r="T632" i="1"/>
  <c r="S632" i="1"/>
  <c r="Q632" i="1"/>
  <c r="R632" i="1" s="1"/>
  <c r="P632" i="1"/>
  <c r="O632" i="1"/>
  <c r="N632" i="1"/>
  <c r="K632" i="1"/>
  <c r="J632" i="1"/>
  <c r="D632" i="1"/>
  <c r="C632" i="1"/>
  <c r="T631" i="1"/>
  <c r="S631" i="1"/>
  <c r="Q631" i="1"/>
  <c r="R631" i="1" s="1"/>
  <c r="P631" i="1"/>
  <c r="O631" i="1"/>
  <c r="N631" i="1"/>
  <c r="K631" i="1"/>
  <c r="J631" i="1"/>
  <c r="D631" i="1"/>
  <c r="C631" i="1"/>
  <c r="T630" i="1"/>
  <c r="S630" i="1"/>
  <c r="Q630" i="1"/>
  <c r="R630" i="1" s="1"/>
  <c r="P630" i="1"/>
  <c r="O630" i="1"/>
  <c r="N630" i="1"/>
  <c r="K630" i="1"/>
  <c r="J630" i="1"/>
  <c r="D630" i="1"/>
  <c r="C630" i="1"/>
  <c r="T629" i="1"/>
  <c r="S629" i="1"/>
  <c r="Q629" i="1"/>
  <c r="R629" i="1" s="1"/>
  <c r="P629" i="1"/>
  <c r="O629" i="1"/>
  <c r="N629" i="1"/>
  <c r="K629" i="1"/>
  <c r="J629" i="1"/>
  <c r="D629" i="1"/>
  <c r="C629" i="1"/>
  <c r="T628" i="1"/>
  <c r="S628" i="1"/>
  <c r="Q628" i="1"/>
  <c r="R628" i="1" s="1"/>
  <c r="P628" i="1"/>
  <c r="O628" i="1"/>
  <c r="N628" i="1"/>
  <c r="K628" i="1"/>
  <c r="J628" i="1"/>
  <c r="D628" i="1"/>
  <c r="C628" i="1"/>
  <c r="T627" i="1"/>
  <c r="S627" i="1"/>
  <c r="Q627" i="1"/>
  <c r="R627" i="1" s="1"/>
  <c r="P627" i="1"/>
  <c r="O627" i="1"/>
  <c r="N627" i="1"/>
  <c r="K627" i="1"/>
  <c r="J627" i="1"/>
  <c r="D627" i="1"/>
  <c r="C627" i="1"/>
  <c r="T626" i="1"/>
  <c r="S626" i="1"/>
  <c r="Q626" i="1"/>
  <c r="R626" i="1" s="1"/>
  <c r="P626" i="1"/>
  <c r="O626" i="1"/>
  <c r="N626" i="1"/>
  <c r="K626" i="1"/>
  <c r="J626" i="1"/>
  <c r="D626" i="1"/>
  <c r="C626" i="1"/>
  <c r="T625" i="1"/>
  <c r="S625" i="1"/>
  <c r="Q625" i="1"/>
  <c r="R625" i="1" s="1"/>
  <c r="P625" i="1"/>
  <c r="O625" i="1"/>
  <c r="N625" i="1"/>
  <c r="K625" i="1"/>
  <c r="J625" i="1"/>
  <c r="D625" i="1"/>
  <c r="C625" i="1"/>
  <c r="T624" i="1"/>
  <c r="S624" i="1"/>
  <c r="R624" i="1"/>
  <c r="Q624" i="1"/>
  <c r="P624" i="1"/>
  <c r="O624" i="1"/>
  <c r="N624" i="1"/>
  <c r="K624" i="1"/>
  <c r="J624" i="1"/>
  <c r="D624" i="1"/>
  <c r="C624" i="1"/>
  <c r="T623" i="1"/>
  <c r="S623" i="1"/>
  <c r="Q623" i="1"/>
  <c r="R623" i="1" s="1"/>
  <c r="P623" i="1"/>
  <c r="O623" i="1"/>
  <c r="N623" i="1"/>
  <c r="K623" i="1"/>
  <c r="J623" i="1"/>
  <c r="D623" i="1"/>
  <c r="C623" i="1"/>
  <c r="T622" i="1"/>
  <c r="S622" i="1"/>
  <c r="Q622" i="1"/>
  <c r="R622" i="1" s="1"/>
  <c r="P622" i="1"/>
  <c r="O622" i="1"/>
  <c r="N622" i="1"/>
  <c r="K622" i="1"/>
  <c r="J622" i="1"/>
  <c r="D622" i="1"/>
  <c r="C622" i="1"/>
  <c r="T621" i="1"/>
  <c r="S621" i="1"/>
  <c r="Q621" i="1"/>
  <c r="R621" i="1" s="1"/>
  <c r="P621" i="1"/>
  <c r="O621" i="1"/>
  <c r="N621" i="1"/>
  <c r="K621" i="1"/>
  <c r="J621" i="1"/>
  <c r="L621" i="1" s="1"/>
  <c r="D621" i="1"/>
  <c r="C621" i="1"/>
  <c r="T620" i="1"/>
  <c r="S620" i="1"/>
  <c r="Q620" i="1"/>
  <c r="R620" i="1" s="1"/>
  <c r="P620" i="1"/>
  <c r="O620" i="1"/>
  <c r="N620" i="1"/>
  <c r="K620" i="1"/>
  <c r="J620" i="1"/>
  <c r="D620" i="1"/>
  <c r="C620" i="1"/>
  <c r="T619" i="1"/>
  <c r="S619" i="1"/>
  <c r="Q619" i="1"/>
  <c r="R619" i="1" s="1"/>
  <c r="P619" i="1"/>
  <c r="O619" i="1"/>
  <c r="N619" i="1"/>
  <c r="K619" i="1"/>
  <c r="J619" i="1"/>
  <c r="D619" i="1"/>
  <c r="C619" i="1"/>
  <c r="T618" i="1"/>
  <c r="S618" i="1"/>
  <c r="Q618" i="1"/>
  <c r="R618" i="1" s="1"/>
  <c r="P618" i="1"/>
  <c r="O618" i="1"/>
  <c r="N618" i="1"/>
  <c r="K618" i="1"/>
  <c r="J618" i="1"/>
  <c r="D618" i="1"/>
  <c r="C618" i="1"/>
  <c r="T617" i="1"/>
  <c r="S617" i="1"/>
  <c r="Q617" i="1"/>
  <c r="R617" i="1" s="1"/>
  <c r="P617" i="1"/>
  <c r="O617" i="1"/>
  <c r="N617" i="1"/>
  <c r="K617" i="1"/>
  <c r="J617" i="1"/>
  <c r="D617" i="1"/>
  <c r="C617" i="1"/>
  <c r="T616" i="1"/>
  <c r="S616" i="1"/>
  <c r="Q616" i="1"/>
  <c r="R616" i="1" s="1"/>
  <c r="P616" i="1"/>
  <c r="O616" i="1"/>
  <c r="N616" i="1"/>
  <c r="K616" i="1"/>
  <c r="J616" i="1"/>
  <c r="D616" i="1"/>
  <c r="C616" i="1"/>
  <c r="T615" i="1"/>
  <c r="S615" i="1"/>
  <c r="Q615" i="1"/>
  <c r="R615" i="1" s="1"/>
  <c r="P615" i="1"/>
  <c r="O615" i="1"/>
  <c r="N615" i="1"/>
  <c r="K615" i="1"/>
  <c r="J615" i="1"/>
  <c r="D615" i="1"/>
  <c r="C615" i="1"/>
  <c r="T614" i="1"/>
  <c r="S614" i="1"/>
  <c r="Q614" i="1"/>
  <c r="R614" i="1" s="1"/>
  <c r="P614" i="1"/>
  <c r="O614" i="1"/>
  <c r="N614" i="1"/>
  <c r="K614" i="1"/>
  <c r="J614" i="1"/>
  <c r="D614" i="1"/>
  <c r="C614" i="1"/>
  <c r="T613" i="1"/>
  <c r="S613" i="1"/>
  <c r="Q613" i="1"/>
  <c r="R613" i="1" s="1"/>
  <c r="P613" i="1"/>
  <c r="O613" i="1"/>
  <c r="N613" i="1"/>
  <c r="K613" i="1"/>
  <c r="J613" i="1"/>
  <c r="D613" i="1"/>
  <c r="C613" i="1"/>
  <c r="T612" i="1"/>
  <c r="S612" i="1"/>
  <c r="Q612" i="1"/>
  <c r="R612" i="1" s="1"/>
  <c r="P612" i="1"/>
  <c r="O612" i="1"/>
  <c r="N612" i="1"/>
  <c r="K612" i="1"/>
  <c r="J612" i="1"/>
  <c r="D612" i="1"/>
  <c r="C612" i="1"/>
  <c r="T611" i="1"/>
  <c r="S611" i="1"/>
  <c r="Q611" i="1"/>
  <c r="R611" i="1" s="1"/>
  <c r="P611" i="1"/>
  <c r="O611" i="1"/>
  <c r="N611" i="1"/>
  <c r="K611" i="1"/>
  <c r="J611" i="1"/>
  <c r="D611" i="1"/>
  <c r="C611" i="1"/>
  <c r="T610" i="1"/>
  <c r="S610" i="1"/>
  <c r="Q610" i="1"/>
  <c r="R610" i="1" s="1"/>
  <c r="P610" i="1"/>
  <c r="O610" i="1"/>
  <c r="N610" i="1"/>
  <c r="K610" i="1"/>
  <c r="J610" i="1"/>
  <c r="D610" i="1"/>
  <c r="C610" i="1"/>
  <c r="T609" i="1"/>
  <c r="S609" i="1"/>
  <c r="Q609" i="1"/>
  <c r="R609" i="1" s="1"/>
  <c r="P609" i="1"/>
  <c r="O609" i="1"/>
  <c r="N609" i="1"/>
  <c r="K609" i="1"/>
  <c r="J609" i="1"/>
  <c r="D609" i="1"/>
  <c r="C609" i="1"/>
  <c r="T608" i="1"/>
  <c r="S608" i="1"/>
  <c r="R608" i="1"/>
  <c r="Q608" i="1"/>
  <c r="P608" i="1"/>
  <c r="O608" i="1"/>
  <c r="N608" i="1"/>
  <c r="K608" i="1"/>
  <c r="J608" i="1"/>
  <c r="D608" i="1"/>
  <c r="C608" i="1"/>
  <c r="T607" i="1"/>
  <c r="S607" i="1"/>
  <c r="Q607" i="1"/>
  <c r="R607" i="1" s="1"/>
  <c r="P607" i="1"/>
  <c r="O607" i="1"/>
  <c r="N607" i="1"/>
  <c r="K607" i="1"/>
  <c r="J607" i="1"/>
  <c r="D607" i="1"/>
  <c r="C607" i="1"/>
  <c r="T606" i="1"/>
  <c r="S606" i="1"/>
  <c r="Q606" i="1"/>
  <c r="R606" i="1" s="1"/>
  <c r="P606" i="1"/>
  <c r="O606" i="1"/>
  <c r="N606" i="1"/>
  <c r="K606" i="1"/>
  <c r="J606" i="1"/>
  <c r="D606" i="1"/>
  <c r="C606" i="1"/>
  <c r="T605" i="1"/>
  <c r="S605" i="1"/>
  <c r="Q605" i="1"/>
  <c r="R605" i="1" s="1"/>
  <c r="P605" i="1"/>
  <c r="O605" i="1"/>
  <c r="N605" i="1"/>
  <c r="K605" i="1"/>
  <c r="J605" i="1"/>
  <c r="L605" i="1" s="1"/>
  <c r="D605" i="1"/>
  <c r="C605" i="1"/>
  <c r="T604" i="1"/>
  <c r="S604" i="1"/>
  <c r="Q604" i="1"/>
  <c r="R604" i="1" s="1"/>
  <c r="P604" i="1"/>
  <c r="O604" i="1"/>
  <c r="N604" i="1"/>
  <c r="K604" i="1"/>
  <c r="J604" i="1"/>
  <c r="D604" i="1"/>
  <c r="C604" i="1"/>
  <c r="T603" i="1"/>
  <c r="S603" i="1"/>
  <c r="Q603" i="1"/>
  <c r="R603" i="1" s="1"/>
  <c r="P603" i="1"/>
  <c r="O603" i="1"/>
  <c r="N603" i="1"/>
  <c r="K603" i="1"/>
  <c r="J603" i="1"/>
  <c r="D603" i="1"/>
  <c r="C603" i="1"/>
  <c r="T602" i="1"/>
  <c r="S602" i="1"/>
  <c r="Q602" i="1"/>
  <c r="R602" i="1" s="1"/>
  <c r="P602" i="1"/>
  <c r="O602" i="1"/>
  <c r="N602" i="1"/>
  <c r="K602" i="1"/>
  <c r="J602" i="1"/>
  <c r="D602" i="1"/>
  <c r="C602" i="1"/>
  <c r="T601" i="1"/>
  <c r="S601" i="1"/>
  <c r="Q601" i="1"/>
  <c r="R601" i="1" s="1"/>
  <c r="P601" i="1"/>
  <c r="O601" i="1"/>
  <c r="N601" i="1"/>
  <c r="K601" i="1"/>
  <c r="J601" i="1"/>
  <c r="D601" i="1"/>
  <c r="C601" i="1"/>
  <c r="T600" i="1"/>
  <c r="S600" i="1"/>
  <c r="Q600" i="1"/>
  <c r="R600" i="1" s="1"/>
  <c r="P600" i="1"/>
  <c r="O600" i="1"/>
  <c r="N600" i="1"/>
  <c r="K600" i="1"/>
  <c r="J600" i="1"/>
  <c r="D600" i="1"/>
  <c r="C600" i="1"/>
  <c r="T599" i="1"/>
  <c r="S599" i="1"/>
  <c r="Q599" i="1"/>
  <c r="R599" i="1" s="1"/>
  <c r="P599" i="1"/>
  <c r="O599" i="1"/>
  <c r="N599" i="1"/>
  <c r="K599" i="1"/>
  <c r="J599" i="1"/>
  <c r="D599" i="1"/>
  <c r="C599" i="1"/>
  <c r="T598" i="1"/>
  <c r="S598" i="1"/>
  <c r="Q598" i="1"/>
  <c r="R598" i="1" s="1"/>
  <c r="P598" i="1"/>
  <c r="O598" i="1"/>
  <c r="N598" i="1"/>
  <c r="K598" i="1"/>
  <c r="J598" i="1"/>
  <c r="D598" i="1"/>
  <c r="C598" i="1"/>
  <c r="T597" i="1"/>
  <c r="S597" i="1"/>
  <c r="Q597" i="1"/>
  <c r="R597" i="1" s="1"/>
  <c r="P597" i="1"/>
  <c r="O597" i="1"/>
  <c r="N597" i="1"/>
  <c r="K597" i="1"/>
  <c r="J597" i="1"/>
  <c r="D597" i="1"/>
  <c r="C597" i="1"/>
  <c r="T596" i="1"/>
  <c r="S596" i="1"/>
  <c r="Q596" i="1"/>
  <c r="R596" i="1" s="1"/>
  <c r="P596" i="1"/>
  <c r="O596" i="1"/>
  <c r="N596" i="1"/>
  <c r="K596" i="1"/>
  <c r="J596" i="1"/>
  <c r="D596" i="1"/>
  <c r="C596" i="1"/>
  <c r="T595" i="1"/>
  <c r="S595" i="1"/>
  <c r="Q595" i="1"/>
  <c r="R595" i="1" s="1"/>
  <c r="P595" i="1"/>
  <c r="O595" i="1"/>
  <c r="N595" i="1"/>
  <c r="K595" i="1"/>
  <c r="J595" i="1"/>
  <c r="D595" i="1"/>
  <c r="C595" i="1"/>
  <c r="T594" i="1"/>
  <c r="S594" i="1"/>
  <c r="Q594" i="1"/>
  <c r="R594" i="1" s="1"/>
  <c r="P594" i="1"/>
  <c r="O594" i="1"/>
  <c r="N594" i="1"/>
  <c r="K594" i="1"/>
  <c r="J594" i="1"/>
  <c r="D594" i="1"/>
  <c r="C594" i="1"/>
  <c r="T593" i="1"/>
  <c r="S593" i="1"/>
  <c r="Q593" i="1"/>
  <c r="R593" i="1" s="1"/>
  <c r="P593" i="1"/>
  <c r="O593" i="1"/>
  <c r="N593" i="1"/>
  <c r="K593" i="1"/>
  <c r="J593" i="1"/>
  <c r="D593" i="1"/>
  <c r="C593" i="1"/>
  <c r="T592" i="1"/>
  <c r="S592" i="1"/>
  <c r="R592" i="1"/>
  <c r="Q592" i="1"/>
  <c r="P592" i="1"/>
  <c r="O592" i="1"/>
  <c r="N592" i="1"/>
  <c r="K592" i="1"/>
  <c r="J592" i="1"/>
  <c r="D592" i="1"/>
  <c r="C592" i="1"/>
  <c r="T591" i="1"/>
  <c r="S591" i="1"/>
  <c r="Q591" i="1"/>
  <c r="R591" i="1" s="1"/>
  <c r="P591" i="1"/>
  <c r="O591" i="1"/>
  <c r="N591" i="1"/>
  <c r="K591" i="1"/>
  <c r="J591" i="1"/>
  <c r="D591" i="1"/>
  <c r="C591" i="1"/>
  <c r="T590" i="1"/>
  <c r="S590" i="1"/>
  <c r="Q590" i="1"/>
  <c r="R590" i="1" s="1"/>
  <c r="P590" i="1"/>
  <c r="O590" i="1"/>
  <c r="N590" i="1"/>
  <c r="K590" i="1"/>
  <c r="J590" i="1"/>
  <c r="D590" i="1"/>
  <c r="C590" i="1"/>
  <c r="T589" i="1"/>
  <c r="S589" i="1"/>
  <c r="Q589" i="1"/>
  <c r="R589" i="1" s="1"/>
  <c r="P589" i="1"/>
  <c r="O589" i="1"/>
  <c r="N589" i="1"/>
  <c r="K589" i="1"/>
  <c r="J589" i="1"/>
  <c r="L589" i="1" s="1"/>
  <c r="D589" i="1"/>
  <c r="C589" i="1"/>
  <c r="T588" i="1"/>
  <c r="S588" i="1"/>
  <c r="Q588" i="1"/>
  <c r="R588" i="1" s="1"/>
  <c r="P588" i="1"/>
  <c r="O588" i="1"/>
  <c r="N588" i="1"/>
  <c r="K588" i="1"/>
  <c r="J588" i="1"/>
  <c r="D588" i="1"/>
  <c r="C588" i="1"/>
  <c r="T587" i="1"/>
  <c r="S587" i="1"/>
  <c r="Q587" i="1"/>
  <c r="R587" i="1" s="1"/>
  <c r="P587" i="1"/>
  <c r="O587" i="1"/>
  <c r="N587" i="1"/>
  <c r="K587" i="1"/>
  <c r="J587" i="1"/>
  <c r="D587" i="1"/>
  <c r="C587" i="1"/>
  <c r="T586" i="1"/>
  <c r="S586" i="1"/>
  <c r="Q586" i="1"/>
  <c r="R586" i="1" s="1"/>
  <c r="P586" i="1"/>
  <c r="O586" i="1"/>
  <c r="N586" i="1"/>
  <c r="K586" i="1"/>
  <c r="J586" i="1"/>
  <c r="D586" i="1"/>
  <c r="C586" i="1"/>
  <c r="T585" i="1"/>
  <c r="S585" i="1"/>
  <c r="Q585" i="1"/>
  <c r="R585" i="1" s="1"/>
  <c r="P585" i="1"/>
  <c r="O585" i="1"/>
  <c r="N585" i="1"/>
  <c r="K585" i="1"/>
  <c r="J585" i="1"/>
  <c r="D585" i="1"/>
  <c r="C585" i="1"/>
  <c r="T584" i="1"/>
  <c r="S584" i="1"/>
  <c r="Q584" i="1"/>
  <c r="R584" i="1" s="1"/>
  <c r="P584" i="1"/>
  <c r="O584" i="1"/>
  <c r="N584" i="1"/>
  <c r="K584" i="1"/>
  <c r="J584" i="1"/>
  <c r="D584" i="1"/>
  <c r="C584" i="1"/>
  <c r="T583" i="1"/>
  <c r="S583" i="1"/>
  <c r="Q583" i="1"/>
  <c r="R583" i="1" s="1"/>
  <c r="P583" i="1"/>
  <c r="O583" i="1"/>
  <c r="N583" i="1"/>
  <c r="K583" i="1"/>
  <c r="J583" i="1"/>
  <c r="D583" i="1"/>
  <c r="C583" i="1"/>
  <c r="T582" i="1"/>
  <c r="S582" i="1"/>
  <c r="Q582" i="1"/>
  <c r="R582" i="1" s="1"/>
  <c r="P582" i="1"/>
  <c r="O582" i="1"/>
  <c r="N582" i="1"/>
  <c r="K582" i="1"/>
  <c r="J582" i="1"/>
  <c r="D582" i="1"/>
  <c r="C582" i="1"/>
  <c r="T581" i="1"/>
  <c r="S581" i="1"/>
  <c r="Q581" i="1"/>
  <c r="R581" i="1" s="1"/>
  <c r="P581" i="1"/>
  <c r="O581" i="1"/>
  <c r="N581" i="1"/>
  <c r="K581" i="1"/>
  <c r="J581" i="1"/>
  <c r="D581" i="1"/>
  <c r="C581" i="1"/>
  <c r="T580" i="1"/>
  <c r="S580" i="1"/>
  <c r="Q580" i="1"/>
  <c r="R580" i="1" s="1"/>
  <c r="P580" i="1"/>
  <c r="O580" i="1"/>
  <c r="N580" i="1"/>
  <c r="K580" i="1"/>
  <c r="J580" i="1"/>
  <c r="D580" i="1"/>
  <c r="C580" i="1"/>
  <c r="T579" i="1"/>
  <c r="S579" i="1"/>
  <c r="Q579" i="1"/>
  <c r="R579" i="1" s="1"/>
  <c r="P579" i="1"/>
  <c r="O579" i="1"/>
  <c r="N579" i="1"/>
  <c r="K579" i="1"/>
  <c r="J579" i="1"/>
  <c r="D579" i="1"/>
  <c r="C579" i="1"/>
  <c r="T578" i="1"/>
  <c r="S578" i="1"/>
  <c r="Q578" i="1"/>
  <c r="R578" i="1" s="1"/>
  <c r="P578" i="1"/>
  <c r="O578" i="1"/>
  <c r="N578" i="1"/>
  <c r="K578" i="1"/>
  <c r="J578" i="1"/>
  <c r="D578" i="1"/>
  <c r="C578" i="1"/>
  <c r="T577" i="1"/>
  <c r="S577" i="1"/>
  <c r="Q577" i="1"/>
  <c r="R577" i="1" s="1"/>
  <c r="P577" i="1"/>
  <c r="O577" i="1"/>
  <c r="N577" i="1"/>
  <c r="K577" i="1"/>
  <c r="J577" i="1"/>
  <c r="D577" i="1"/>
  <c r="C577" i="1"/>
  <c r="T576" i="1"/>
  <c r="S576" i="1"/>
  <c r="R576" i="1"/>
  <c r="Q576" i="1"/>
  <c r="P576" i="1"/>
  <c r="O576" i="1"/>
  <c r="N576" i="1"/>
  <c r="K576" i="1"/>
  <c r="J576" i="1"/>
  <c r="D576" i="1"/>
  <c r="C576" i="1"/>
  <c r="T575" i="1"/>
  <c r="S575" i="1"/>
  <c r="Q575" i="1"/>
  <c r="R575" i="1" s="1"/>
  <c r="P575" i="1"/>
  <c r="O575" i="1"/>
  <c r="N575" i="1"/>
  <c r="K575" i="1"/>
  <c r="J575" i="1"/>
  <c r="D575" i="1"/>
  <c r="C575" i="1"/>
  <c r="T574" i="1"/>
  <c r="S574" i="1"/>
  <c r="Q574" i="1"/>
  <c r="R574" i="1" s="1"/>
  <c r="P574" i="1"/>
  <c r="O574" i="1"/>
  <c r="N574" i="1"/>
  <c r="K574" i="1"/>
  <c r="J574" i="1"/>
  <c r="D574" i="1"/>
  <c r="C574" i="1"/>
  <c r="T573" i="1"/>
  <c r="S573" i="1"/>
  <c r="Q573" i="1"/>
  <c r="R573" i="1" s="1"/>
  <c r="P573" i="1"/>
  <c r="O573" i="1"/>
  <c r="N573" i="1"/>
  <c r="K573" i="1"/>
  <c r="J573" i="1"/>
  <c r="L573" i="1" s="1"/>
  <c r="D573" i="1"/>
  <c r="C573" i="1"/>
  <c r="T572" i="1"/>
  <c r="S572" i="1"/>
  <c r="Q572" i="1"/>
  <c r="R572" i="1" s="1"/>
  <c r="P572" i="1"/>
  <c r="O572" i="1"/>
  <c r="N572" i="1"/>
  <c r="K572" i="1"/>
  <c r="J572" i="1"/>
  <c r="D572" i="1"/>
  <c r="C572" i="1"/>
  <c r="T571" i="1"/>
  <c r="S571" i="1"/>
  <c r="Q571" i="1"/>
  <c r="R571" i="1" s="1"/>
  <c r="P571" i="1"/>
  <c r="O571" i="1"/>
  <c r="N571" i="1"/>
  <c r="K571" i="1"/>
  <c r="J571" i="1"/>
  <c r="D571" i="1"/>
  <c r="C571" i="1"/>
  <c r="T570" i="1"/>
  <c r="S570" i="1"/>
  <c r="Q570" i="1"/>
  <c r="R570" i="1" s="1"/>
  <c r="P570" i="1"/>
  <c r="O570" i="1"/>
  <c r="N570" i="1"/>
  <c r="K570" i="1"/>
  <c r="J570" i="1"/>
  <c r="D570" i="1"/>
  <c r="C570" i="1"/>
  <c r="T569" i="1"/>
  <c r="S569" i="1"/>
  <c r="Q569" i="1"/>
  <c r="R569" i="1" s="1"/>
  <c r="P569" i="1"/>
  <c r="O569" i="1"/>
  <c r="N569" i="1"/>
  <c r="K569" i="1"/>
  <c r="J569" i="1"/>
  <c r="D569" i="1"/>
  <c r="C569" i="1"/>
  <c r="T568" i="1"/>
  <c r="S568" i="1"/>
  <c r="Q568" i="1"/>
  <c r="R568" i="1" s="1"/>
  <c r="P568" i="1"/>
  <c r="O568" i="1"/>
  <c r="N568" i="1"/>
  <c r="K568" i="1"/>
  <c r="J568" i="1"/>
  <c r="D568" i="1"/>
  <c r="C568" i="1"/>
  <c r="T567" i="1"/>
  <c r="S567" i="1"/>
  <c r="Q567" i="1"/>
  <c r="R567" i="1" s="1"/>
  <c r="P567" i="1"/>
  <c r="O567" i="1"/>
  <c r="N567" i="1"/>
  <c r="K567" i="1"/>
  <c r="J567" i="1"/>
  <c r="D567" i="1"/>
  <c r="C567" i="1"/>
  <c r="T566" i="1"/>
  <c r="S566" i="1"/>
  <c r="Q566" i="1"/>
  <c r="R566" i="1" s="1"/>
  <c r="P566" i="1"/>
  <c r="O566" i="1"/>
  <c r="N566" i="1"/>
  <c r="K566" i="1"/>
  <c r="J566" i="1"/>
  <c r="D566" i="1"/>
  <c r="C566" i="1"/>
  <c r="T565" i="1"/>
  <c r="S565" i="1"/>
  <c r="Q565" i="1"/>
  <c r="R565" i="1" s="1"/>
  <c r="P565" i="1"/>
  <c r="O565" i="1"/>
  <c r="N565" i="1"/>
  <c r="K565" i="1"/>
  <c r="J565" i="1"/>
  <c r="D565" i="1"/>
  <c r="C565" i="1"/>
  <c r="T564" i="1"/>
  <c r="S564" i="1"/>
  <c r="Q564" i="1"/>
  <c r="R564" i="1" s="1"/>
  <c r="P564" i="1"/>
  <c r="O564" i="1"/>
  <c r="N564" i="1"/>
  <c r="K564" i="1"/>
  <c r="J564" i="1"/>
  <c r="D564" i="1"/>
  <c r="C564" i="1"/>
  <c r="T563" i="1"/>
  <c r="S563" i="1"/>
  <c r="Q563" i="1"/>
  <c r="R563" i="1" s="1"/>
  <c r="P563" i="1"/>
  <c r="O563" i="1"/>
  <c r="N563" i="1"/>
  <c r="K563" i="1"/>
  <c r="J563" i="1"/>
  <c r="D563" i="1"/>
  <c r="C563" i="1"/>
  <c r="T562" i="1"/>
  <c r="S562" i="1"/>
  <c r="Q562" i="1"/>
  <c r="R562" i="1" s="1"/>
  <c r="P562" i="1"/>
  <c r="O562" i="1"/>
  <c r="N562" i="1"/>
  <c r="K562" i="1"/>
  <c r="J562" i="1"/>
  <c r="D562" i="1"/>
  <c r="C562" i="1"/>
  <c r="T561" i="1"/>
  <c r="S561" i="1"/>
  <c r="Q561" i="1"/>
  <c r="R561" i="1" s="1"/>
  <c r="P561" i="1"/>
  <c r="O561" i="1"/>
  <c r="N561" i="1"/>
  <c r="K561" i="1"/>
  <c r="J561" i="1"/>
  <c r="D561" i="1"/>
  <c r="C561" i="1"/>
  <c r="T560" i="1"/>
  <c r="S560" i="1"/>
  <c r="R560" i="1"/>
  <c r="Q560" i="1"/>
  <c r="P560" i="1"/>
  <c r="O560" i="1"/>
  <c r="N560" i="1"/>
  <c r="K560" i="1"/>
  <c r="J560" i="1"/>
  <c r="D560" i="1"/>
  <c r="C560" i="1"/>
  <c r="T559" i="1"/>
  <c r="S559" i="1"/>
  <c r="Q559" i="1"/>
  <c r="R559" i="1" s="1"/>
  <c r="P559" i="1"/>
  <c r="O559" i="1"/>
  <c r="N559" i="1"/>
  <c r="K559" i="1"/>
  <c r="J559" i="1"/>
  <c r="D559" i="1"/>
  <c r="C559" i="1"/>
  <c r="T558" i="1"/>
  <c r="S558" i="1"/>
  <c r="Q558" i="1"/>
  <c r="R558" i="1" s="1"/>
  <c r="P558" i="1"/>
  <c r="O558" i="1"/>
  <c r="N558" i="1"/>
  <c r="K558" i="1"/>
  <c r="J558" i="1"/>
  <c r="D558" i="1"/>
  <c r="C558" i="1"/>
  <c r="T557" i="1"/>
  <c r="S557" i="1"/>
  <c r="Q557" i="1"/>
  <c r="R557" i="1" s="1"/>
  <c r="P557" i="1"/>
  <c r="O557" i="1"/>
  <c r="N557" i="1"/>
  <c r="K557" i="1"/>
  <c r="J557" i="1"/>
  <c r="L557" i="1" s="1"/>
  <c r="D557" i="1"/>
  <c r="C557" i="1"/>
  <c r="T556" i="1"/>
  <c r="S556" i="1"/>
  <c r="Q556" i="1"/>
  <c r="R556" i="1" s="1"/>
  <c r="P556" i="1"/>
  <c r="O556" i="1"/>
  <c r="N556" i="1"/>
  <c r="K556" i="1"/>
  <c r="J556" i="1"/>
  <c r="D556" i="1"/>
  <c r="C556" i="1"/>
  <c r="T555" i="1"/>
  <c r="S555" i="1"/>
  <c r="Q555" i="1"/>
  <c r="R555" i="1" s="1"/>
  <c r="P555" i="1"/>
  <c r="O555" i="1"/>
  <c r="N555" i="1"/>
  <c r="K555" i="1"/>
  <c r="J555" i="1"/>
  <c r="D555" i="1"/>
  <c r="C555" i="1"/>
  <c r="T554" i="1"/>
  <c r="S554" i="1"/>
  <c r="Q554" i="1"/>
  <c r="R554" i="1" s="1"/>
  <c r="P554" i="1"/>
  <c r="O554" i="1"/>
  <c r="N554" i="1"/>
  <c r="K554" i="1"/>
  <c r="J554" i="1"/>
  <c r="D554" i="1"/>
  <c r="C554" i="1"/>
  <c r="T553" i="1"/>
  <c r="S553" i="1"/>
  <c r="Q553" i="1"/>
  <c r="R553" i="1" s="1"/>
  <c r="P553" i="1"/>
  <c r="O553" i="1"/>
  <c r="N553" i="1"/>
  <c r="K553" i="1"/>
  <c r="J553" i="1"/>
  <c r="D553" i="1"/>
  <c r="C553" i="1"/>
  <c r="T552" i="1"/>
  <c r="S552" i="1"/>
  <c r="Q552" i="1"/>
  <c r="R552" i="1" s="1"/>
  <c r="P552" i="1"/>
  <c r="O552" i="1"/>
  <c r="N552" i="1"/>
  <c r="K552" i="1"/>
  <c r="J552" i="1"/>
  <c r="D552" i="1"/>
  <c r="C552" i="1"/>
  <c r="T551" i="1"/>
  <c r="S551" i="1"/>
  <c r="Q551" i="1"/>
  <c r="R551" i="1" s="1"/>
  <c r="P551" i="1"/>
  <c r="O551" i="1"/>
  <c r="N551" i="1"/>
  <c r="K551" i="1"/>
  <c r="J551" i="1"/>
  <c r="D551" i="1"/>
  <c r="C551" i="1"/>
  <c r="T550" i="1"/>
  <c r="S550" i="1"/>
  <c r="Q550" i="1"/>
  <c r="R550" i="1" s="1"/>
  <c r="P550" i="1"/>
  <c r="O550" i="1"/>
  <c r="N550" i="1"/>
  <c r="K550" i="1"/>
  <c r="J550" i="1"/>
  <c r="D550" i="1"/>
  <c r="C550" i="1"/>
  <c r="T549" i="1"/>
  <c r="S549" i="1"/>
  <c r="Q549" i="1"/>
  <c r="R549" i="1" s="1"/>
  <c r="P549" i="1"/>
  <c r="O549" i="1"/>
  <c r="N549" i="1"/>
  <c r="K549" i="1"/>
  <c r="J549" i="1"/>
  <c r="D549" i="1"/>
  <c r="C549" i="1"/>
  <c r="T548" i="1"/>
  <c r="S548" i="1"/>
  <c r="Q548" i="1"/>
  <c r="R548" i="1" s="1"/>
  <c r="P548" i="1"/>
  <c r="O548" i="1"/>
  <c r="N548" i="1"/>
  <c r="K548" i="1"/>
  <c r="J548" i="1"/>
  <c r="D548" i="1"/>
  <c r="C548" i="1"/>
  <c r="T547" i="1"/>
  <c r="S547" i="1"/>
  <c r="Q547" i="1"/>
  <c r="R547" i="1" s="1"/>
  <c r="P547" i="1"/>
  <c r="O547" i="1"/>
  <c r="N547" i="1"/>
  <c r="K547" i="1"/>
  <c r="J547" i="1"/>
  <c r="D547" i="1"/>
  <c r="C547" i="1"/>
  <c r="T546" i="1"/>
  <c r="S546" i="1"/>
  <c r="Q546" i="1"/>
  <c r="R546" i="1" s="1"/>
  <c r="P546" i="1"/>
  <c r="O546" i="1"/>
  <c r="N546" i="1"/>
  <c r="K546" i="1"/>
  <c r="J546" i="1"/>
  <c r="D546" i="1"/>
  <c r="C546" i="1"/>
  <c r="T545" i="1"/>
  <c r="S545" i="1"/>
  <c r="Q545" i="1"/>
  <c r="R545" i="1" s="1"/>
  <c r="P545" i="1"/>
  <c r="O545" i="1"/>
  <c r="N545" i="1"/>
  <c r="K545" i="1"/>
  <c r="J545" i="1"/>
  <c r="D545" i="1"/>
  <c r="C545" i="1"/>
  <c r="T544" i="1"/>
  <c r="S544" i="1"/>
  <c r="R544" i="1"/>
  <c r="Q544" i="1"/>
  <c r="P544" i="1"/>
  <c r="O544" i="1"/>
  <c r="N544" i="1"/>
  <c r="K544" i="1"/>
  <c r="J544" i="1"/>
  <c r="D544" i="1"/>
  <c r="C544" i="1"/>
  <c r="T543" i="1"/>
  <c r="S543" i="1"/>
  <c r="Q543" i="1"/>
  <c r="R543" i="1" s="1"/>
  <c r="P543" i="1"/>
  <c r="O543" i="1"/>
  <c r="N543" i="1"/>
  <c r="K543" i="1"/>
  <c r="J543" i="1"/>
  <c r="D543" i="1"/>
  <c r="C543" i="1"/>
  <c r="T542" i="1"/>
  <c r="S542" i="1"/>
  <c r="Q542" i="1"/>
  <c r="R542" i="1" s="1"/>
  <c r="P542" i="1"/>
  <c r="O542" i="1"/>
  <c r="N542" i="1"/>
  <c r="K542" i="1"/>
  <c r="J542" i="1"/>
  <c r="D542" i="1"/>
  <c r="C542" i="1"/>
  <c r="T541" i="1"/>
  <c r="S541" i="1"/>
  <c r="Q541" i="1"/>
  <c r="R541" i="1" s="1"/>
  <c r="P541" i="1"/>
  <c r="O541" i="1"/>
  <c r="N541" i="1"/>
  <c r="K541" i="1"/>
  <c r="J541" i="1"/>
  <c r="L541" i="1" s="1"/>
  <c r="D541" i="1"/>
  <c r="C541" i="1"/>
  <c r="T540" i="1"/>
  <c r="S540" i="1"/>
  <c r="Q540" i="1"/>
  <c r="R540" i="1" s="1"/>
  <c r="P540" i="1"/>
  <c r="O540" i="1"/>
  <c r="N540" i="1"/>
  <c r="K540" i="1"/>
  <c r="J540" i="1"/>
  <c r="D540" i="1"/>
  <c r="C540" i="1"/>
  <c r="T539" i="1"/>
  <c r="S539" i="1"/>
  <c r="Q539" i="1"/>
  <c r="R539" i="1" s="1"/>
  <c r="P539" i="1"/>
  <c r="O539" i="1"/>
  <c r="N539" i="1"/>
  <c r="K539" i="1"/>
  <c r="J539" i="1"/>
  <c r="D539" i="1"/>
  <c r="C539" i="1"/>
  <c r="T538" i="1"/>
  <c r="S538" i="1"/>
  <c r="Q538" i="1"/>
  <c r="R538" i="1" s="1"/>
  <c r="P538" i="1"/>
  <c r="O538" i="1"/>
  <c r="N538" i="1"/>
  <c r="K538" i="1"/>
  <c r="J538" i="1"/>
  <c r="D538" i="1"/>
  <c r="C538" i="1"/>
  <c r="T537" i="1"/>
  <c r="S537" i="1"/>
  <c r="Q537" i="1"/>
  <c r="R537" i="1" s="1"/>
  <c r="P537" i="1"/>
  <c r="O537" i="1"/>
  <c r="N537" i="1"/>
  <c r="K537" i="1"/>
  <c r="J537" i="1"/>
  <c r="D537" i="1"/>
  <c r="C537" i="1"/>
  <c r="T536" i="1"/>
  <c r="S536" i="1"/>
  <c r="Q536" i="1"/>
  <c r="R536" i="1" s="1"/>
  <c r="P536" i="1"/>
  <c r="O536" i="1"/>
  <c r="N536" i="1"/>
  <c r="K536" i="1"/>
  <c r="J536" i="1"/>
  <c r="D536" i="1"/>
  <c r="C536" i="1"/>
  <c r="T535" i="1"/>
  <c r="S535" i="1"/>
  <c r="Q535" i="1"/>
  <c r="R535" i="1" s="1"/>
  <c r="P535" i="1"/>
  <c r="O535" i="1"/>
  <c r="N535" i="1"/>
  <c r="K535" i="1"/>
  <c r="J535" i="1"/>
  <c r="D535" i="1"/>
  <c r="C535" i="1"/>
  <c r="T534" i="1"/>
  <c r="S534" i="1"/>
  <c r="Q534" i="1"/>
  <c r="R534" i="1" s="1"/>
  <c r="P534" i="1"/>
  <c r="O534" i="1"/>
  <c r="N534" i="1"/>
  <c r="K534" i="1"/>
  <c r="J534" i="1"/>
  <c r="D534" i="1"/>
  <c r="C534" i="1"/>
  <c r="T533" i="1"/>
  <c r="S533" i="1"/>
  <c r="Q533" i="1"/>
  <c r="R533" i="1" s="1"/>
  <c r="P533" i="1"/>
  <c r="O533" i="1"/>
  <c r="N533" i="1"/>
  <c r="K533" i="1"/>
  <c r="J533" i="1"/>
  <c r="D533" i="1"/>
  <c r="C533" i="1"/>
  <c r="T532" i="1"/>
  <c r="S532" i="1"/>
  <c r="Q532" i="1"/>
  <c r="R532" i="1" s="1"/>
  <c r="P532" i="1"/>
  <c r="O532" i="1"/>
  <c r="N532" i="1"/>
  <c r="K532" i="1"/>
  <c r="J532" i="1"/>
  <c r="D532" i="1"/>
  <c r="C532" i="1"/>
  <c r="T531" i="1"/>
  <c r="S531" i="1"/>
  <c r="Q531" i="1"/>
  <c r="R531" i="1" s="1"/>
  <c r="P531" i="1"/>
  <c r="O531" i="1"/>
  <c r="N531" i="1"/>
  <c r="K531" i="1"/>
  <c r="J531" i="1"/>
  <c r="D531" i="1"/>
  <c r="C531" i="1"/>
  <c r="T530" i="1"/>
  <c r="S530" i="1"/>
  <c r="Q530" i="1"/>
  <c r="R530" i="1" s="1"/>
  <c r="P530" i="1"/>
  <c r="O530" i="1"/>
  <c r="N530" i="1"/>
  <c r="K530" i="1"/>
  <c r="J530" i="1"/>
  <c r="D530" i="1"/>
  <c r="C530" i="1"/>
  <c r="T529" i="1"/>
  <c r="S529" i="1"/>
  <c r="Q529" i="1"/>
  <c r="R529" i="1" s="1"/>
  <c r="P529" i="1"/>
  <c r="O529" i="1"/>
  <c r="N529" i="1"/>
  <c r="K529" i="1"/>
  <c r="J529" i="1"/>
  <c r="D529" i="1"/>
  <c r="C529" i="1"/>
  <c r="T528" i="1"/>
  <c r="S528" i="1"/>
  <c r="R528" i="1"/>
  <c r="Q528" i="1"/>
  <c r="P528" i="1"/>
  <c r="O528" i="1"/>
  <c r="N528" i="1"/>
  <c r="K528" i="1"/>
  <c r="J528" i="1"/>
  <c r="D528" i="1"/>
  <c r="C528" i="1"/>
  <c r="T527" i="1"/>
  <c r="S527" i="1"/>
  <c r="Q527" i="1"/>
  <c r="R527" i="1" s="1"/>
  <c r="P527" i="1"/>
  <c r="O527" i="1"/>
  <c r="N527" i="1"/>
  <c r="K527" i="1"/>
  <c r="J527" i="1"/>
  <c r="D527" i="1"/>
  <c r="C527" i="1"/>
  <c r="T526" i="1"/>
  <c r="S526" i="1"/>
  <c r="Q526" i="1"/>
  <c r="R526" i="1" s="1"/>
  <c r="P526" i="1"/>
  <c r="O526" i="1"/>
  <c r="N526" i="1"/>
  <c r="K526" i="1"/>
  <c r="J526" i="1"/>
  <c r="D526" i="1"/>
  <c r="C526" i="1"/>
  <c r="T525" i="1"/>
  <c r="S525" i="1"/>
  <c r="Q525" i="1"/>
  <c r="R525" i="1" s="1"/>
  <c r="P525" i="1"/>
  <c r="O525" i="1"/>
  <c r="N525" i="1"/>
  <c r="K525" i="1"/>
  <c r="J525" i="1"/>
  <c r="L525" i="1" s="1"/>
  <c r="D525" i="1"/>
  <c r="C525" i="1"/>
  <c r="T524" i="1"/>
  <c r="S524" i="1"/>
  <c r="Q524" i="1"/>
  <c r="R524" i="1" s="1"/>
  <c r="P524" i="1"/>
  <c r="O524" i="1"/>
  <c r="N524" i="1"/>
  <c r="K524" i="1"/>
  <c r="J524" i="1"/>
  <c r="D524" i="1"/>
  <c r="C524" i="1"/>
  <c r="T523" i="1"/>
  <c r="S523" i="1"/>
  <c r="Q523" i="1"/>
  <c r="R523" i="1" s="1"/>
  <c r="P523" i="1"/>
  <c r="O523" i="1"/>
  <c r="N523" i="1"/>
  <c r="K523" i="1"/>
  <c r="J523" i="1"/>
  <c r="D523" i="1"/>
  <c r="C523" i="1"/>
  <c r="T522" i="1"/>
  <c r="S522" i="1"/>
  <c r="Q522" i="1"/>
  <c r="R522" i="1" s="1"/>
  <c r="P522" i="1"/>
  <c r="O522" i="1"/>
  <c r="N522" i="1"/>
  <c r="K522" i="1"/>
  <c r="J522" i="1"/>
  <c r="D522" i="1"/>
  <c r="C522" i="1"/>
  <c r="T521" i="1"/>
  <c r="S521" i="1"/>
  <c r="Q521" i="1"/>
  <c r="R521" i="1" s="1"/>
  <c r="P521" i="1"/>
  <c r="O521" i="1"/>
  <c r="N521" i="1"/>
  <c r="K521" i="1"/>
  <c r="J521" i="1"/>
  <c r="D521" i="1"/>
  <c r="C521" i="1"/>
  <c r="T520" i="1"/>
  <c r="S520" i="1"/>
  <c r="Q520" i="1"/>
  <c r="R520" i="1" s="1"/>
  <c r="P520" i="1"/>
  <c r="O520" i="1"/>
  <c r="N520" i="1"/>
  <c r="K520" i="1"/>
  <c r="J520" i="1"/>
  <c r="D520" i="1"/>
  <c r="C520" i="1"/>
  <c r="T519" i="1"/>
  <c r="S519" i="1"/>
  <c r="Q519" i="1"/>
  <c r="R519" i="1" s="1"/>
  <c r="P519" i="1"/>
  <c r="O519" i="1"/>
  <c r="N519" i="1"/>
  <c r="K519" i="1"/>
  <c r="J519" i="1"/>
  <c r="D519" i="1"/>
  <c r="C519" i="1"/>
  <c r="T518" i="1"/>
  <c r="S518" i="1"/>
  <c r="Q518" i="1"/>
  <c r="R518" i="1" s="1"/>
  <c r="P518" i="1"/>
  <c r="O518" i="1"/>
  <c r="N518" i="1"/>
  <c r="K518" i="1"/>
  <c r="J518" i="1"/>
  <c r="D518" i="1"/>
  <c r="C518" i="1"/>
  <c r="T517" i="1"/>
  <c r="S517" i="1"/>
  <c r="Q517" i="1"/>
  <c r="R517" i="1" s="1"/>
  <c r="P517" i="1"/>
  <c r="O517" i="1"/>
  <c r="N517" i="1"/>
  <c r="K517" i="1"/>
  <c r="J517" i="1"/>
  <c r="D517" i="1"/>
  <c r="C517" i="1"/>
  <c r="T516" i="1"/>
  <c r="S516" i="1"/>
  <c r="Q516" i="1"/>
  <c r="R516" i="1" s="1"/>
  <c r="P516" i="1"/>
  <c r="O516" i="1"/>
  <c r="N516" i="1"/>
  <c r="K516" i="1"/>
  <c r="J516" i="1"/>
  <c r="D516" i="1"/>
  <c r="C516" i="1"/>
  <c r="T515" i="1"/>
  <c r="S515" i="1"/>
  <c r="Q515" i="1"/>
  <c r="R515" i="1" s="1"/>
  <c r="P515" i="1"/>
  <c r="O515" i="1"/>
  <c r="N515" i="1"/>
  <c r="K515" i="1"/>
  <c r="J515" i="1"/>
  <c r="D515" i="1"/>
  <c r="C515" i="1"/>
  <c r="T514" i="1"/>
  <c r="S514" i="1"/>
  <c r="Q514" i="1"/>
  <c r="R514" i="1" s="1"/>
  <c r="P514" i="1"/>
  <c r="O514" i="1"/>
  <c r="N514" i="1"/>
  <c r="K514" i="1"/>
  <c r="J514" i="1"/>
  <c r="D514" i="1"/>
  <c r="C514" i="1"/>
  <c r="T513" i="1"/>
  <c r="S513" i="1"/>
  <c r="Q513" i="1"/>
  <c r="R513" i="1" s="1"/>
  <c r="P513" i="1"/>
  <c r="O513" i="1"/>
  <c r="N513" i="1"/>
  <c r="K513" i="1"/>
  <c r="J513" i="1"/>
  <c r="D513" i="1"/>
  <c r="C513" i="1"/>
  <c r="T512" i="1"/>
  <c r="S512" i="1"/>
  <c r="R512" i="1"/>
  <c r="Q512" i="1"/>
  <c r="P512" i="1"/>
  <c r="O512" i="1"/>
  <c r="N512" i="1"/>
  <c r="K512" i="1"/>
  <c r="J512" i="1"/>
  <c r="D512" i="1"/>
  <c r="C512" i="1"/>
  <c r="T511" i="1"/>
  <c r="S511" i="1"/>
  <c r="Q511" i="1"/>
  <c r="R511" i="1" s="1"/>
  <c r="P511" i="1"/>
  <c r="O511" i="1"/>
  <c r="N511" i="1"/>
  <c r="K511" i="1"/>
  <c r="J511" i="1"/>
  <c r="D511" i="1"/>
  <c r="C511" i="1"/>
  <c r="T510" i="1"/>
  <c r="S510" i="1"/>
  <c r="Q510" i="1"/>
  <c r="R510" i="1" s="1"/>
  <c r="P510" i="1"/>
  <c r="O510" i="1"/>
  <c r="N510" i="1"/>
  <c r="K510" i="1"/>
  <c r="J510" i="1"/>
  <c r="D510" i="1"/>
  <c r="C510" i="1"/>
  <c r="T509" i="1"/>
  <c r="S509" i="1"/>
  <c r="Q509" i="1"/>
  <c r="R509" i="1" s="1"/>
  <c r="P509" i="1"/>
  <c r="O509" i="1"/>
  <c r="N509" i="1"/>
  <c r="K509" i="1"/>
  <c r="J509" i="1"/>
  <c r="L509" i="1" s="1"/>
  <c r="D509" i="1"/>
  <c r="C509" i="1"/>
  <c r="T508" i="1"/>
  <c r="S508" i="1"/>
  <c r="Q508" i="1"/>
  <c r="R508" i="1" s="1"/>
  <c r="P508" i="1"/>
  <c r="O508" i="1"/>
  <c r="N508" i="1"/>
  <c r="K508" i="1"/>
  <c r="J508" i="1"/>
  <c r="D508" i="1"/>
  <c r="C508" i="1"/>
  <c r="T507" i="1"/>
  <c r="S507" i="1"/>
  <c r="Q507" i="1"/>
  <c r="R507" i="1" s="1"/>
  <c r="P507" i="1"/>
  <c r="O507" i="1"/>
  <c r="N507" i="1"/>
  <c r="K507" i="1"/>
  <c r="J507" i="1"/>
  <c r="D507" i="1"/>
  <c r="C507" i="1"/>
  <c r="T506" i="1"/>
  <c r="S506" i="1"/>
  <c r="Q506" i="1"/>
  <c r="R506" i="1" s="1"/>
  <c r="P506" i="1"/>
  <c r="O506" i="1"/>
  <c r="N506" i="1"/>
  <c r="K506" i="1"/>
  <c r="J506" i="1"/>
  <c r="D506" i="1"/>
  <c r="C506" i="1"/>
  <c r="T505" i="1"/>
  <c r="S505" i="1"/>
  <c r="Q505" i="1"/>
  <c r="R505" i="1" s="1"/>
  <c r="P505" i="1"/>
  <c r="O505" i="1"/>
  <c r="N505" i="1"/>
  <c r="K505" i="1"/>
  <c r="J505" i="1"/>
  <c r="D505" i="1"/>
  <c r="C505" i="1"/>
  <c r="T504" i="1"/>
  <c r="S504" i="1"/>
  <c r="Q504" i="1"/>
  <c r="R504" i="1" s="1"/>
  <c r="P504" i="1"/>
  <c r="O504" i="1"/>
  <c r="N504" i="1"/>
  <c r="K504" i="1"/>
  <c r="J504" i="1"/>
  <c r="D504" i="1"/>
  <c r="C504" i="1"/>
  <c r="T503" i="1"/>
  <c r="S503" i="1"/>
  <c r="Q503" i="1"/>
  <c r="R503" i="1" s="1"/>
  <c r="P503" i="1"/>
  <c r="O503" i="1"/>
  <c r="N503" i="1"/>
  <c r="K503" i="1"/>
  <c r="J503" i="1"/>
  <c r="D503" i="1"/>
  <c r="C503" i="1"/>
  <c r="T502" i="1"/>
  <c r="S502" i="1"/>
  <c r="Q502" i="1"/>
  <c r="R502" i="1" s="1"/>
  <c r="P502" i="1"/>
  <c r="O502" i="1"/>
  <c r="N502" i="1"/>
  <c r="K502" i="1"/>
  <c r="J502" i="1"/>
  <c r="D502" i="1"/>
  <c r="C502" i="1"/>
  <c r="T501" i="1"/>
  <c r="S501" i="1"/>
  <c r="Q501" i="1"/>
  <c r="R501" i="1" s="1"/>
  <c r="P501" i="1"/>
  <c r="O501" i="1"/>
  <c r="N501" i="1"/>
  <c r="K501" i="1"/>
  <c r="J501" i="1"/>
  <c r="D501" i="1"/>
  <c r="C501" i="1"/>
  <c r="T500" i="1"/>
  <c r="S500" i="1"/>
  <c r="Q500" i="1"/>
  <c r="R500" i="1" s="1"/>
  <c r="P500" i="1"/>
  <c r="O500" i="1"/>
  <c r="N500" i="1"/>
  <c r="K500" i="1"/>
  <c r="J500" i="1"/>
  <c r="D500" i="1"/>
  <c r="C500" i="1"/>
  <c r="T499" i="1"/>
  <c r="S499" i="1"/>
  <c r="Q499" i="1"/>
  <c r="R499" i="1" s="1"/>
  <c r="P499" i="1"/>
  <c r="O499" i="1"/>
  <c r="N499" i="1"/>
  <c r="K499" i="1"/>
  <c r="J499" i="1"/>
  <c r="D499" i="1"/>
  <c r="C499" i="1"/>
  <c r="T498" i="1"/>
  <c r="S498" i="1"/>
  <c r="Q498" i="1"/>
  <c r="R498" i="1" s="1"/>
  <c r="P498" i="1"/>
  <c r="O498" i="1"/>
  <c r="N498" i="1"/>
  <c r="K498" i="1"/>
  <c r="J498" i="1"/>
  <c r="D498" i="1"/>
  <c r="C498" i="1"/>
  <c r="T497" i="1"/>
  <c r="S497" i="1"/>
  <c r="Q497" i="1"/>
  <c r="R497" i="1" s="1"/>
  <c r="P497" i="1"/>
  <c r="O497" i="1"/>
  <c r="N497" i="1"/>
  <c r="K497" i="1"/>
  <c r="J497" i="1"/>
  <c r="D497" i="1"/>
  <c r="C497" i="1"/>
  <c r="T496" i="1"/>
  <c r="S496" i="1"/>
  <c r="R496" i="1"/>
  <c r="Q496" i="1"/>
  <c r="P496" i="1"/>
  <c r="O496" i="1"/>
  <c r="N496" i="1"/>
  <c r="K496" i="1"/>
  <c r="J496" i="1"/>
  <c r="D496" i="1"/>
  <c r="C496" i="1"/>
  <c r="T495" i="1"/>
  <c r="S495" i="1"/>
  <c r="Q495" i="1"/>
  <c r="R495" i="1" s="1"/>
  <c r="P495" i="1"/>
  <c r="O495" i="1"/>
  <c r="N495" i="1"/>
  <c r="K495" i="1"/>
  <c r="J495" i="1"/>
  <c r="D495" i="1"/>
  <c r="C495" i="1"/>
  <c r="T494" i="1"/>
  <c r="S494" i="1"/>
  <c r="Q494" i="1"/>
  <c r="R494" i="1" s="1"/>
  <c r="P494" i="1"/>
  <c r="O494" i="1"/>
  <c r="N494" i="1"/>
  <c r="K494" i="1"/>
  <c r="J494" i="1"/>
  <c r="D494" i="1"/>
  <c r="C494" i="1"/>
  <c r="T493" i="1"/>
  <c r="S493" i="1"/>
  <c r="Q493" i="1"/>
  <c r="R493" i="1" s="1"/>
  <c r="P493" i="1"/>
  <c r="O493" i="1"/>
  <c r="N493" i="1"/>
  <c r="K493" i="1"/>
  <c r="J493" i="1"/>
  <c r="L493" i="1" s="1"/>
  <c r="D493" i="1"/>
  <c r="C493" i="1"/>
  <c r="T492" i="1"/>
  <c r="S492" i="1"/>
  <c r="Q492" i="1"/>
  <c r="R492" i="1" s="1"/>
  <c r="P492" i="1"/>
  <c r="O492" i="1"/>
  <c r="N492" i="1"/>
  <c r="K492" i="1"/>
  <c r="J492" i="1"/>
  <c r="D492" i="1"/>
  <c r="C492" i="1"/>
  <c r="T491" i="1"/>
  <c r="S491" i="1"/>
  <c r="Q491" i="1"/>
  <c r="R491" i="1" s="1"/>
  <c r="P491" i="1"/>
  <c r="O491" i="1"/>
  <c r="N491" i="1"/>
  <c r="K491" i="1"/>
  <c r="J491" i="1"/>
  <c r="D491" i="1"/>
  <c r="C491" i="1"/>
  <c r="T490" i="1"/>
  <c r="S490" i="1"/>
  <c r="Q490" i="1"/>
  <c r="R490" i="1" s="1"/>
  <c r="P490" i="1"/>
  <c r="O490" i="1"/>
  <c r="N490" i="1"/>
  <c r="K490" i="1"/>
  <c r="J490" i="1"/>
  <c r="D490" i="1"/>
  <c r="C490" i="1"/>
  <c r="T489" i="1"/>
  <c r="S489" i="1"/>
  <c r="Q489" i="1"/>
  <c r="R489" i="1" s="1"/>
  <c r="P489" i="1"/>
  <c r="O489" i="1"/>
  <c r="N489" i="1"/>
  <c r="K489" i="1"/>
  <c r="J489" i="1"/>
  <c r="D489" i="1"/>
  <c r="C489" i="1"/>
  <c r="T488" i="1"/>
  <c r="S488" i="1"/>
  <c r="Q488" i="1"/>
  <c r="R488" i="1" s="1"/>
  <c r="P488" i="1"/>
  <c r="O488" i="1"/>
  <c r="N488" i="1"/>
  <c r="K488" i="1"/>
  <c r="J488" i="1"/>
  <c r="D488" i="1"/>
  <c r="C488" i="1"/>
  <c r="T487" i="1"/>
  <c r="S487" i="1"/>
  <c r="Q487" i="1"/>
  <c r="R487" i="1" s="1"/>
  <c r="P487" i="1"/>
  <c r="O487" i="1"/>
  <c r="N487" i="1"/>
  <c r="K487" i="1"/>
  <c r="J487" i="1"/>
  <c r="D487" i="1"/>
  <c r="C487" i="1"/>
  <c r="T486" i="1"/>
  <c r="S486" i="1"/>
  <c r="Q486" i="1"/>
  <c r="R486" i="1" s="1"/>
  <c r="P486" i="1"/>
  <c r="O486" i="1"/>
  <c r="N486" i="1"/>
  <c r="K486" i="1"/>
  <c r="J486" i="1"/>
  <c r="D486" i="1"/>
  <c r="C486" i="1"/>
  <c r="T485" i="1"/>
  <c r="S485" i="1"/>
  <c r="Q485" i="1"/>
  <c r="R485" i="1" s="1"/>
  <c r="P485" i="1"/>
  <c r="O485" i="1"/>
  <c r="N485" i="1"/>
  <c r="K485" i="1"/>
  <c r="J485" i="1"/>
  <c r="D485" i="1"/>
  <c r="C485" i="1"/>
  <c r="T484" i="1"/>
  <c r="S484" i="1"/>
  <c r="Q484" i="1"/>
  <c r="R484" i="1" s="1"/>
  <c r="P484" i="1"/>
  <c r="O484" i="1"/>
  <c r="N484" i="1"/>
  <c r="K484" i="1"/>
  <c r="J484" i="1"/>
  <c r="D484" i="1"/>
  <c r="C484" i="1"/>
  <c r="T483" i="1"/>
  <c r="S483" i="1"/>
  <c r="Q483" i="1"/>
  <c r="R483" i="1" s="1"/>
  <c r="P483" i="1"/>
  <c r="O483" i="1"/>
  <c r="N483" i="1"/>
  <c r="K483" i="1"/>
  <c r="J483" i="1"/>
  <c r="D483" i="1"/>
  <c r="C483" i="1"/>
  <c r="T482" i="1"/>
  <c r="S482" i="1"/>
  <c r="Q482" i="1"/>
  <c r="R482" i="1" s="1"/>
  <c r="P482" i="1"/>
  <c r="O482" i="1"/>
  <c r="N482" i="1"/>
  <c r="K482" i="1"/>
  <c r="J482" i="1"/>
  <c r="D482" i="1"/>
  <c r="C482" i="1"/>
  <c r="T481" i="1"/>
  <c r="S481" i="1"/>
  <c r="Q481" i="1"/>
  <c r="R481" i="1" s="1"/>
  <c r="P481" i="1"/>
  <c r="O481" i="1"/>
  <c r="N481" i="1"/>
  <c r="K481" i="1"/>
  <c r="J481" i="1"/>
  <c r="D481" i="1"/>
  <c r="C481" i="1"/>
  <c r="T480" i="1"/>
  <c r="S480" i="1"/>
  <c r="R480" i="1"/>
  <c r="Q480" i="1"/>
  <c r="P480" i="1"/>
  <c r="O480" i="1"/>
  <c r="N480" i="1"/>
  <c r="K480" i="1"/>
  <c r="J480" i="1"/>
  <c r="D480" i="1"/>
  <c r="C480" i="1"/>
  <c r="T479" i="1"/>
  <c r="S479" i="1"/>
  <c r="Q479" i="1"/>
  <c r="R479" i="1" s="1"/>
  <c r="P479" i="1"/>
  <c r="O479" i="1"/>
  <c r="N479" i="1"/>
  <c r="K479" i="1"/>
  <c r="J479" i="1"/>
  <c r="D479" i="1"/>
  <c r="C479" i="1"/>
  <c r="T478" i="1"/>
  <c r="S478" i="1"/>
  <c r="Q478" i="1"/>
  <c r="R478" i="1" s="1"/>
  <c r="P478" i="1"/>
  <c r="O478" i="1"/>
  <c r="N478" i="1"/>
  <c r="K478" i="1"/>
  <c r="J478" i="1"/>
  <c r="D478" i="1"/>
  <c r="C478" i="1"/>
  <c r="T477" i="1"/>
  <c r="S477" i="1"/>
  <c r="Q477" i="1"/>
  <c r="R477" i="1" s="1"/>
  <c r="P477" i="1"/>
  <c r="O477" i="1"/>
  <c r="N477" i="1"/>
  <c r="K477" i="1"/>
  <c r="J477" i="1"/>
  <c r="L477" i="1" s="1"/>
  <c r="D477" i="1"/>
  <c r="C477" i="1"/>
  <c r="T476" i="1"/>
  <c r="S476" i="1"/>
  <c r="Q476" i="1"/>
  <c r="R476" i="1" s="1"/>
  <c r="P476" i="1"/>
  <c r="O476" i="1"/>
  <c r="N476" i="1"/>
  <c r="K476" i="1"/>
  <c r="J476" i="1"/>
  <c r="D476" i="1"/>
  <c r="C476" i="1"/>
  <c r="T475" i="1"/>
  <c r="S475" i="1"/>
  <c r="Q475" i="1"/>
  <c r="R475" i="1" s="1"/>
  <c r="P475" i="1"/>
  <c r="O475" i="1"/>
  <c r="N475" i="1"/>
  <c r="K475" i="1"/>
  <c r="J475" i="1"/>
  <c r="L475" i="1" s="1"/>
  <c r="D475" i="1"/>
  <c r="C475" i="1"/>
  <c r="T474" i="1"/>
  <c r="S474" i="1"/>
  <c r="Q474" i="1"/>
  <c r="R474" i="1" s="1"/>
  <c r="P474" i="1"/>
  <c r="O474" i="1"/>
  <c r="N474" i="1"/>
  <c r="K474" i="1"/>
  <c r="J474" i="1"/>
  <c r="D474" i="1"/>
  <c r="C474" i="1"/>
  <c r="T473" i="1"/>
  <c r="S473" i="1"/>
  <c r="Q473" i="1"/>
  <c r="R473" i="1" s="1"/>
  <c r="P473" i="1"/>
  <c r="O473" i="1"/>
  <c r="N473" i="1"/>
  <c r="K473" i="1"/>
  <c r="J473" i="1"/>
  <c r="L473" i="1" s="1"/>
  <c r="D473" i="1"/>
  <c r="C473" i="1"/>
  <c r="T472" i="1"/>
  <c r="S472" i="1"/>
  <c r="Q472" i="1"/>
  <c r="R472" i="1" s="1"/>
  <c r="P472" i="1"/>
  <c r="O472" i="1"/>
  <c r="N472" i="1"/>
  <c r="K472" i="1"/>
  <c r="J472" i="1"/>
  <c r="D472" i="1"/>
  <c r="C472" i="1"/>
  <c r="T471" i="1"/>
  <c r="S471" i="1"/>
  <c r="Q471" i="1"/>
  <c r="R471" i="1" s="1"/>
  <c r="P471" i="1"/>
  <c r="O471" i="1"/>
  <c r="N471" i="1"/>
  <c r="K471" i="1"/>
  <c r="J471" i="1"/>
  <c r="L471" i="1" s="1"/>
  <c r="D471" i="1"/>
  <c r="C471" i="1"/>
  <c r="T470" i="1"/>
  <c r="S470" i="1"/>
  <c r="Q470" i="1"/>
  <c r="R470" i="1" s="1"/>
  <c r="P470" i="1"/>
  <c r="O470" i="1"/>
  <c r="N470" i="1"/>
  <c r="K470" i="1"/>
  <c r="J470" i="1"/>
  <c r="D470" i="1"/>
  <c r="C470" i="1"/>
  <c r="T469" i="1"/>
  <c r="S469" i="1"/>
  <c r="Q469" i="1"/>
  <c r="R469" i="1" s="1"/>
  <c r="P469" i="1"/>
  <c r="O469" i="1"/>
  <c r="N469" i="1"/>
  <c r="K469" i="1"/>
  <c r="J469" i="1"/>
  <c r="L469" i="1" s="1"/>
  <c r="D469" i="1"/>
  <c r="C469" i="1"/>
  <c r="T468" i="1"/>
  <c r="S468" i="1"/>
  <c r="Q468" i="1"/>
  <c r="R468" i="1" s="1"/>
  <c r="P468" i="1"/>
  <c r="O468" i="1"/>
  <c r="N468" i="1"/>
  <c r="K468" i="1"/>
  <c r="J468" i="1"/>
  <c r="D468" i="1"/>
  <c r="C468" i="1"/>
  <c r="T467" i="1"/>
  <c r="S467" i="1"/>
  <c r="Q467" i="1"/>
  <c r="R467" i="1" s="1"/>
  <c r="P467" i="1"/>
  <c r="O467" i="1"/>
  <c r="N467" i="1"/>
  <c r="K467" i="1"/>
  <c r="J467" i="1"/>
  <c r="L467" i="1" s="1"/>
  <c r="D467" i="1"/>
  <c r="C467" i="1"/>
  <c r="T466" i="1"/>
  <c r="S466" i="1"/>
  <c r="Q466" i="1"/>
  <c r="R466" i="1" s="1"/>
  <c r="P466" i="1"/>
  <c r="O466" i="1"/>
  <c r="N466" i="1"/>
  <c r="K466" i="1"/>
  <c r="J466" i="1"/>
  <c r="D466" i="1"/>
  <c r="C466" i="1"/>
  <c r="T465" i="1"/>
  <c r="S465" i="1"/>
  <c r="Q465" i="1"/>
  <c r="R465" i="1" s="1"/>
  <c r="P465" i="1"/>
  <c r="O465" i="1"/>
  <c r="N465" i="1"/>
  <c r="K465" i="1"/>
  <c r="J465" i="1"/>
  <c r="L465" i="1" s="1"/>
  <c r="D465" i="1"/>
  <c r="C465" i="1"/>
  <c r="T464" i="1"/>
  <c r="S464" i="1"/>
  <c r="Q464" i="1"/>
  <c r="R464" i="1" s="1"/>
  <c r="P464" i="1"/>
  <c r="O464" i="1"/>
  <c r="N464" i="1"/>
  <c r="K464" i="1"/>
  <c r="J464" i="1"/>
  <c r="D464" i="1"/>
  <c r="C464" i="1"/>
  <c r="T463" i="1"/>
  <c r="S463" i="1"/>
  <c r="Q463" i="1"/>
  <c r="R463" i="1" s="1"/>
  <c r="P463" i="1"/>
  <c r="O463" i="1"/>
  <c r="N463" i="1"/>
  <c r="K463" i="1"/>
  <c r="J463" i="1"/>
  <c r="L463" i="1" s="1"/>
  <c r="D463" i="1"/>
  <c r="C463" i="1"/>
  <c r="T462" i="1"/>
  <c r="S462" i="1"/>
  <c r="Q462" i="1"/>
  <c r="R462" i="1" s="1"/>
  <c r="P462" i="1"/>
  <c r="O462" i="1"/>
  <c r="N462" i="1"/>
  <c r="K462" i="1"/>
  <c r="J462" i="1"/>
  <c r="D462" i="1"/>
  <c r="C462" i="1"/>
  <c r="T461" i="1"/>
  <c r="S461" i="1"/>
  <c r="Q461" i="1"/>
  <c r="R461" i="1" s="1"/>
  <c r="P461" i="1"/>
  <c r="O461" i="1"/>
  <c r="N461" i="1"/>
  <c r="K461" i="1"/>
  <c r="J461" i="1"/>
  <c r="D461" i="1"/>
  <c r="C461" i="1"/>
  <c r="T460" i="1"/>
  <c r="S460" i="1"/>
  <c r="Q460" i="1"/>
  <c r="R460" i="1" s="1"/>
  <c r="P460" i="1"/>
  <c r="O460" i="1"/>
  <c r="N460" i="1"/>
  <c r="K460" i="1"/>
  <c r="J460" i="1"/>
  <c r="D460" i="1"/>
  <c r="C460" i="1"/>
  <c r="T459" i="1"/>
  <c r="S459" i="1"/>
  <c r="Q459" i="1"/>
  <c r="R459" i="1" s="1"/>
  <c r="P459" i="1"/>
  <c r="O459" i="1"/>
  <c r="N459" i="1"/>
  <c r="K459" i="1"/>
  <c r="J459" i="1"/>
  <c r="D459" i="1"/>
  <c r="C459" i="1"/>
  <c r="T458" i="1"/>
  <c r="S458" i="1"/>
  <c r="Q458" i="1"/>
  <c r="R458" i="1" s="1"/>
  <c r="P458" i="1"/>
  <c r="O458" i="1"/>
  <c r="N458" i="1"/>
  <c r="K458" i="1"/>
  <c r="J458" i="1"/>
  <c r="D458" i="1"/>
  <c r="C458" i="1"/>
  <c r="T457" i="1"/>
  <c r="S457" i="1"/>
  <c r="Q457" i="1"/>
  <c r="R457" i="1" s="1"/>
  <c r="P457" i="1"/>
  <c r="O457" i="1"/>
  <c r="N457" i="1"/>
  <c r="K457" i="1"/>
  <c r="J457" i="1"/>
  <c r="D457" i="1"/>
  <c r="C457" i="1"/>
  <c r="T456" i="1"/>
  <c r="S456" i="1"/>
  <c r="Q456" i="1"/>
  <c r="R456" i="1" s="1"/>
  <c r="P456" i="1"/>
  <c r="O456" i="1"/>
  <c r="N456" i="1"/>
  <c r="K456" i="1"/>
  <c r="J456" i="1"/>
  <c r="D456" i="1"/>
  <c r="C456" i="1"/>
  <c r="T455" i="1"/>
  <c r="S455" i="1"/>
  <c r="Q455" i="1"/>
  <c r="R455" i="1" s="1"/>
  <c r="P455" i="1"/>
  <c r="O455" i="1"/>
  <c r="N455" i="1"/>
  <c r="K455" i="1"/>
  <c r="J455" i="1"/>
  <c r="D455" i="1"/>
  <c r="C455" i="1"/>
  <c r="T454" i="1"/>
  <c r="S454" i="1"/>
  <c r="Q454" i="1"/>
  <c r="R454" i="1" s="1"/>
  <c r="P454" i="1"/>
  <c r="O454" i="1"/>
  <c r="N454" i="1"/>
  <c r="K454" i="1"/>
  <c r="J454" i="1"/>
  <c r="D454" i="1"/>
  <c r="C454" i="1"/>
  <c r="T453" i="1"/>
  <c r="S453" i="1"/>
  <c r="Q453" i="1"/>
  <c r="R453" i="1" s="1"/>
  <c r="P453" i="1"/>
  <c r="O453" i="1"/>
  <c r="N453" i="1"/>
  <c r="K453" i="1"/>
  <c r="J453" i="1"/>
  <c r="D453" i="1"/>
  <c r="C453" i="1"/>
  <c r="T452" i="1"/>
  <c r="S452" i="1"/>
  <c r="Q452" i="1"/>
  <c r="R452" i="1" s="1"/>
  <c r="P452" i="1"/>
  <c r="O452" i="1"/>
  <c r="N452" i="1"/>
  <c r="K452" i="1"/>
  <c r="J452" i="1"/>
  <c r="D452" i="1"/>
  <c r="C452" i="1"/>
  <c r="T451" i="1"/>
  <c r="S451" i="1"/>
  <c r="Q451" i="1"/>
  <c r="R451" i="1" s="1"/>
  <c r="P451" i="1"/>
  <c r="O451" i="1"/>
  <c r="N451" i="1"/>
  <c r="K451" i="1"/>
  <c r="J451" i="1"/>
  <c r="D451" i="1"/>
  <c r="C451" i="1"/>
  <c r="T450" i="1"/>
  <c r="S450" i="1"/>
  <c r="Q450" i="1"/>
  <c r="R450" i="1" s="1"/>
  <c r="P450" i="1"/>
  <c r="O450" i="1"/>
  <c r="N450" i="1"/>
  <c r="K450" i="1"/>
  <c r="J450" i="1"/>
  <c r="D450" i="1"/>
  <c r="C450" i="1"/>
  <c r="T449" i="1"/>
  <c r="S449" i="1"/>
  <c r="Q449" i="1"/>
  <c r="R449" i="1" s="1"/>
  <c r="P449" i="1"/>
  <c r="O449" i="1"/>
  <c r="N449" i="1"/>
  <c r="K449" i="1"/>
  <c r="J449" i="1"/>
  <c r="D449" i="1"/>
  <c r="C449" i="1"/>
  <c r="T448" i="1"/>
  <c r="S448" i="1"/>
  <c r="Q448" i="1"/>
  <c r="R448" i="1" s="1"/>
  <c r="P448" i="1"/>
  <c r="O448" i="1"/>
  <c r="N448" i="1"/>
  <c r="K448" i="1"/>
  <c r="J448" i="1"/>
  <c r="D448" i="1"/>
  <c r="C448" i="1"/>
  <c r="T447" i="1"/>
  <c r="S447" i="1"/>
  <c r="Q447" i="1"/>
  <c r="R447" i="1" s="1"/>
  <c r="P447" i="1"/>
  <c r="O447" i="1"/>
  <c r="N447" i="1"/>
  <c r="K447" i="1"/>
  <c r="J447" i="1"/>
  <c r="L447" i="1" s="1"/>
  <c r="D447" i="1"/>
  <c r="C447" i="1"/>
  <c r="T446" i="1"/>
  <c r="S446" i="1"/>
  <c r="Q446" i="1"/>
  <c r="R446" i="1" s="1"/>
  <c r="P446" i="1"/>
  <c r="O446" i="1"/>
  <c r="N446" i="1"/>
  <c r="K446" i="1"/>
  <c r="J446" i="1"/>
  <c r="D446" i="1"/>
  <c r="C446" i="1"/>
  <c r="T445" i="1"/>
  <c r="S445" i="1"/>
  <c r="Q445" i="1"/>
  <c r="R445" i="1" s="1"/>
  <c r="P445" i="1"/>
  <c r="O445" i="1"/>
  <c r="N445" i="1"/>
  <c r="K445" i="1"/>
  <c r="J445" i="1"/>
  <c r="D445" i="1"/>
  <c r="C445" i="1"/>
  <c r="T444" i="1"/>
  <c r="S444" i="1"/>
  <c r="Q444" i="1"/>
  <c r="R444" i="1" s="1"/>
  <c r="P444" i="1"/>
  <c r="O444" i="1"/>
  <c r="N444" i="1"/>
  <c r="K444" i="1"/>
  <c r="J444" i="1"/>
  <c r="D444" i="1"/>
  <c r="C444" i="1"/>
  <c r="T443" i="1"/>
  <c r="S443" i="1"/>
  <c r="Q443" i="1"/>
  <c r="R443" i="1" s="1"/>
  <c r="P443" i="1"/>
  <c r="O443" i="1"/>
  <c r="N443" i="1"/>
  <c r="K443" i="1"/>
  <c r="J443" i="1"/>
  <c r="D443" i="1"/>
  <c r="C443" i="1"/>
  <c r="T442" i="1"/>
  <c r="S442" i="1"/>
  <c r="Q442" i="1"/>
  <c r="R442" i="1" s="1"/>
  <c r="P442" i="1"/>
  <c r="O442" i="1"/>
  <c r="N442" i="1"/>
  <c r="K442" i="1"/>
  <c r="J442" i="1"/>
  <c r="D442" i="1"/>
  <c r="C442" i="1"/>
  <c r="T441" i="1"/>
  <c r="S441" i="1"/>
  <c r="Q441" i="1"/>
  <c r="R441" i="1" s="1"/>
  <c r="P441" i="1"/>
  <c r="O441" i="1"/>
  <c r="N441" i="1"/>
  <c r="K441" i="1"/>
  <c r="J441" i="1"/>
  <c r="D441" i="1"/>
  <c r="C441" i="1"/>
  <c r="T440" i="1"/>
  <c r="S440" i="1"/>
  <c r="Q440" i="1"/>
  <c r="R440" i="1" s="1"/>
  <c r="P440" i="1"/>
  <c r="O440" i="1"/>
  <c r="N440" i="1"/>
  <c r="K440" i="1"/>
  <c r="J440" i="1"/>
  <c r="D440" i="1"/>
  <c r="C440" i="1"/>
  <c r="T439" i="1"/>
  <c r="S439" i="1"/>
  <c r="Q439" i="1"/>
  <c r="R439" i="1" s="1"/>
  <c r="P439" i="1"/>
  <c r="O439" i="1"/>
  <c r="N439" i="1"/>
  <c r="K439" i="1"/>
  <c r="J439" i="1"/>
  <c r="D439" i="1"/>
  <c r="C439" i="1"/>
  <c r="T438" i="1"/>
  <c r="S438" i="1"/>
  <c r="Q438" i="1"/>
  <c r="R438" i="1" s="1"/>
  <c r="P438" i="1"/>
  <c r="O438" i="1"/>
  <c r="N438" i="1"/>
  <c r="K438" i="1"/>
  <c r="J438" i="1"/>
  <c r="D438" i="1"/>
  <c r="C438" i="1"/>
  <c r="T437" i="1"/>
  <c r="S437" i="1"/>
  <c r="Q437" i="1"/>
  <c r="R437" i="1" s="1"/>
  <c r="P437" i="1"/>
  <c r="O437" i="1"/>
  <c r="N437" i="1"/>
  <c r="K437" i="1"/>
  <c r="J437" i="1"/>
  <c r="D437" i="1"/>
  <c r="C437" i="1"/>
  <c r="T436" i="1"/>
  <c r="S436" i="1"/>
  <c r="Q436" i="1"/>
  <c r="R436" i="1" s="1"/>
  <c r="P436" i="1"/>
  <c r="O436" i="1"/>
  <c r="N436" i="1"/>
  <c r="K436" i="1"/>
  <c r="J436" i="1"/>
  <c r="D436" i="1"/>
  <c r="C436" i="1"/>
  <c r="T435" i="1"/>
  <c r="S435" i="1"/>
  <c r="Q435" i="1"/>
  <c r="R435" i="1" s="1"/>
  <c r="P435" i="1"/>
  <c r="O435" i="1"/>
  <c r="N435" i="1"/>
  <c r="K435" i="1"/>
  <c r="J435" i="1"/>
  <c r="D435" i="1"/>
  <c r="C435" i="1"/>
  <c r="T434" i="1"/>
  <c r="S434" i="1"/>
  <c r="Q434" i="1"/>
  <c r="R434" i="1" s="1"/>
  <c r="P434" i="1"/>
  <c r="O434" i="1"/>
  <c r="N434" i="1"/>
  <c r="K434" i="1"/>
  <c r="J434" i="1"/>
  <c r="D434" i="1"/>
  <c r="C434" i="1"/>
  <c r="T433" i="1"/>
  <c r="S433" i="1"/>
  <c r="Q433" i="1"/>
  <c r="R433" i="1" s="1"/>
  <c r="P433" i="1"/>
  <c r="O433" i="1"/>
  <c r="N433" i="1"/>
  <c r="K433" i="1"/>
  <c r="J433" i="1"/>
  <c r="D433" i="1"/>
  <c r="C433" i="1"/>
  <c r="T432" i="1"/>
  <c r="S432" i="1"/>
  <c r="Q432" i="1"/>
  <c r="R432" i="1" s="1"/>
  <c r="P432" i="1"/>
  <c r="O432" i="1"/>
  <c r="N432" i="1"/>
  <c r="K432" i="1"/>
  <c r="J432" i="1"/>
  <c r="D432" i="1"/>
  <c r="C432" i="1"/>
  <c r="T431" i="1"/>
  <c r="S431" i="1"/>
  <c r="Q431" i="1"/>
  <c r="R431" i="1" s="1"/>
  <c r="P431" i="1"/>
  <c r="O431" i="1"/>
  <c r="N431" i="1"/>
  <c r="K431" i="1"/>
  <c r="J431" i="1"/>
  <c r="D431" i="1"/>
  <c r="C431" i="1"/>
  <c r="T430" i="1"/>
  <c r="S430" i="1"/>
  <c r="Q430" i="1"/>
  <c r="R430" i="1" s="1"/>
  <c r="P430" i="1"/>
  <c r="O430" i="1"/>
  <c r="N430" i="1"/>
  <c r="K430" i="1"/>
  <c r="J430" i="1"/>
  <c r="D430" i="1"/>
  <c r="C430" i="1"/>
  <c r="T429" i="1"/>
  <c r="S429" i="1"/>
  <c r="Q429" i="1"/>
  <c r="R429" i="1" s="1"/>
  <c r="P429" i="1"/>
  <c r="O429" i="1"/>
  <c r="N429" i="1"/>
  <c r="K429" i="1"/>
  <c r="J429" i="1"/>
  <c r="D429" i="1"/>
  <c r="C429" i="1"/>
  <c r="T428" i="1"/>
  <c r="S428" i="1"/>
  <c r="Q428" i="1"/>
  <c r="R428" i="1" s="1"/>
  <c r="P428" i="1"/>
  <c r="O428" i="1"/>
  <c r="N428" i="1"/>
  <c r="K428" i="1"/>
  <c r="J428" i="1"/>
  <c r="D428" i="1"/>
  <c r="C428" i="1"/>
  <c r="T427" i="1"/>
  <c r="S427" i="1"/>
  <c r="Q427" i="1"/>
  <c r="R427" i="1" s="1"/>
  <c r="P427" i="1"/>
  <c r="O427" i="1"/>
  <c r="N427" i="1"/>
  <c r="K427" i="1"/>
  <c r="J427" i="1"/>
  <c r="D427" i="1"/>
  <c r="C427" i="1"/>
  <c r="T426" i="1"/>
  <c r="S426" i="1"/>
  <c r="Q426" i="1"/>
  <c r="R426" i="1" s="1"/>
  <c r="P426" i="1"/>
  <c r="O426" i="1"/>
  <c r="N426" i="1"/>
  <c r="K426" i="1"/>
  <c r="J426" i="1"/>
  <c r="D426" i="1"/>
  <c r="C426" i="1"/>
  <c r="T425" i="1"/>
  <c r="S425" i="1"/>
  <c r="Q425" i="1"/>
  <c r="R425" i="1" s="1"/>
  <c r="P425" i="1"/>
  <c r="O425" i="1"/>
  <c r="N425" i="1"/>
  <c r="K425" i="1"/>
  <c r="J425" i="1"/>
  <c r="D425" i="1"/>
  <c r="C425" i="1"/>
  <c r="T424" i="1"/>
  <c r="S424" i="1"/>
  <c r="Q424" i="1"/>
  <c r="R424" i="1" s="1"/>
  <c r="P424" i="1"/>
  <c r="O424" i="1"/>
  <c r="N424" i="1"/>
  <c r="K424" i="1"/>
  <c r="J424" i="1"/>
  <c r="D424" i="1"/>
  <c r="C424" i="1"/>
  <c r="T423" i="1"/>
  <c r="S423" i="1"/>
  <c r="Q423" i="1"/>
  <c r="R423" i="1" s="1"/>
  <c r="P423" i="1"/>
  <c r="O423" i="1"/>
  <c r="N423" i="1"/>
  <c r="K423" i="1"/>
  <c r="J423" i="1"/>
  <c r="D423" i="1"/>
  <c r="C423" i="1"/>
  <c r="T422" i="1"/>
  <c r="S422" i="1"/>
  <c r="Q422" i="1"/>
  <c r="R422" i="1" s="1"/>
  <c r="P422" i="1"/>
  <c r="O422" i="1"/>
  <c r="N422" i="1"/>
  <c r="K422" i="1"/>
  <c r="J422" i="1"/>
  <c r="D422" i="1"/>
  <c r="C422" i="1"/>
  <c r="T421" i="1"/>
  <c r="S421" i="1"/>
  <c r="Q421" i="1"/>
  <c r="R421" i="1" s="1"/>
  <c r="P421" i="1"/>
  <c r="O421" i="1"/>
  <c r="N421" i="1"/>
  <c r="K421" i="1"/>
  <c r="J421" i="1"/>
  <c r="D421" i="1"/>
  <c r="C421" i="1"/>
  <c r="T420" i="1"/>
  <c r="S420" i="1"/>
  <c r="Q420" i="1"/>
  <c r="R420" i="1" s="1"/>
  <c r="P420" i="1"/>
  <c r="O420" i="1"/>
  <c r="N420" i="1"/>
  <c r="K420" i="1"/>
  <c r="J420" i="1"/>
  <c r="D420" i="1"/>
  <c r="C420" i="1"/>
  <c r="T419" i="1"/>
  <c r="S419" i="1"/>
  <c r="Q419" i="1"/>
  <c r="R419" i="1" s="1"/>
  <c r="P419" i="1"/>
  <c r="O419" i="1"/>
  <c r="N419" i="1"/>
  <c r="K419" i="1"/>
  <c r="J419" i="1"/>
  <c r="D419" i="1"/>
  <c r="C419" i="1"/>
  <c r="T418" i="1"/>
  <c r="S418" i="1"/>
  <c r="Q418" i="1"/>
  <c r="R418" i="1" s="1"/>
  <c r="P418" i="1"/>
  <c r="O418" i="1"/>
  <c r="N418" i="1"/>
  <c r="K418" i="1"/>
  <c r="J418" i="1"/>
  <c r="D418" i="1"/>
  <c r="C418" i="1"/>
  <c r="T417" i="1"/>
  <c r="S417" i="1"/>
  <c r="Q417" i="1"/>
  <c r="R417" i="1" s="1"/>
  <c r="P417" i="1"/>
  <c r="O417" i="1"/>
  <c r="N417" i="1"/>
  <c r="K417" i="1"/>
  <c r="J417" i="1"/>
  <c r="D417" i="1"/>
  <c r="C417" i="1"/>
  <c r="T416" i="1"/>
  <c r="S416" i="1"/>
  <c r="Q416" i="1"/>
  <c r="R416" i="1" s="1"/>
  <c r="P416" i="1"/>
  <c r="O416" i="1"/>
  <c r="N416" i="1"/>
  <c r="K416" i="1"/>
  <c r="J416" i="1"/>
  <c r="D416" i="1"/>
  <c r="C416" i="1"/>
  <c r="T415" i="1"/>
  <c r="S415" i="1"/>
  <c r="Q415" i="1"/>
  <c r="R415" i="1" s="1"/>
  <c r="P415" i="1"/>
  <c r="O415" i="1"/>
  <c r="N415" i="1"/>
  <c r="K415" i="1"/>
  <c r="J415" i="1"/>
  <c r="D415" i="1"/>
  <c r="C415" i="1"/>
  <c r="T414" i="1"/>
  <c r="S414" i="1"/>
  <c r="Q414" i="1"/>
  <c r="R414" i="1" s="1"/>
  <c r="P414" i="1"/>
  <c r="O414" i="1"/>
  <c r="N414" i="1"/>
  <c r="K414" i="1"/>
  <c r="J414" i="1"/>
  <c r="D414" i="1"/>
  <c r="C414" i="1"/>
  <c r="T413" i="1"/>
  <c r="S413" i="1"/>
  <c r="Q413" i="1"/>
  <c r="R413" i="1" s="1"/>
  <c r="P413" i="1"/>
  <c r="O413" i="1"/>
  <c r="N413" i="1"/>
  <c r="K413" i="1"/>
  <c r="J413" i="1"/>
  <c r="D413" i="1"/>
  <c r="C413" i="1"/>
  <c r="T412" i="1"/>
  <c r="S412" i="1"/>
  <c r="Q412" i="1"/>
  <c r="R412" i="1" s="1"/>
  <c r="P412" i="1"/>
  <c r="O412" i="1"/>
  <c r="N412" i="1"/>
  <c r="K412" i="1"/>
  <c r="J412" i="1"/>
  <c r="D412" i="1"/>
  <c r="C412" i="1"/>
  <c r="T411" i="1"/>
  <c r="S411" i="1"/>
  <c r="Q411" i="1"/>
  <c r="R411" i="1" s="1"/>
  <c r="P411" i="1"/>
  <c r="O411" i="1"/>
  <c r="N411" i="1"/>
  <c r="K411" i="1"/>
  <c r="J411" i="1"/>
  <c r="D411" i="1"/>
  <c r="C411" i="1"/>
  <c r="T410" i="1"/>
  <c r="S410" i="1"/>
  <c r="Q410" i="1"/>
  <c r="R410" i="1" s="1"/>
  <c r="P410" i="1"/>
  <c r="O410" i="1"/>
  <c r="N410" i="1"/>
  <c r="K410" i="1"/>
  <c r="J410" i="1"/>
  <c r="D410" i="1"/>
  <c r="C410" i="1"/>
  <c r="T409" i="1"/>
  <c r="S409" i="1"/>
  <c r="Q409" i="1"/>
  <c r="R409" i="1" s="1"/>
  <c r="P409" i="1"/>
  <c r="O409" i="1"/>
  <c r="N409" i="1"/>
  <c r="K409" i="1"/>
  <c r="J409" i="1"/>
  <c r="D409" i="1"/>
  <c r="C409" i="1"/>
  <c r="T408" i="1"/>
  <c r="S408" i="1"/>
  <c r="Q408" i="1"/>
  <c r="R408" i="1" s="1"/>
  <c r="P408" i="1"/>
  <c r="O408" i="1"/>
  <c r="N408" i="1"/>
  <c r="K408" i="1"/>
  <c r="J408" i="1"/>
  <c r="D408" i="1"/>
  <c r="C408" i="1"/>
  <c r="T407" i="1"/>
  <c r="S407" i="1"/>
  <c r="Q407" i="1"/>
  <c r="R407" i="1" s="1"/>
  <c r="P407" i="1"/>
  <c r="O407" i="1"/>
  <c r="N407" i="1"/>
  <c r="K407" i="1"/>
  <c r="J407" i="1"/>
  <c r="D407" i="1"/>
  <c r="C407" i="1"/>
  <c r="T406" i="1"/>
  <c r="S406" i="1"/>
  <c r="Q406" i="1"/>
  <c r="R406" i="1" s="1"/>
  <c r="P406" i="1"/>
  <c r="O406" i="1"/>
  <c r="N406" i="1"/>
  <c r="K406" i="1"/>
  <c r="J406" i="1"/>
  <c r="D406" i="1"/>
  <c r="C406" i="1"/>
  <c r="T405" i="1"/>
  <c r="S405" i="1"/>
  <c r="R405" i="1"/>
  <c r="Q405" i="1"/>
  <c r="P405" i="1"/>
  <c r="O405" i="1"/>
  <c r="N405" i="1"/>
  <c r="K405" i="1"/>
  <c r="J405" i="1"/>
  <c r="D405" i="1"/>
  <c r="C405" i="1"/>
  <c r="T404" i="1"/>
  <c r="S404" i="1"/>
  <c r="Q404" i="1"/>
  <c r="R404" i="1" s="1"/>
  <c r="P404" i="1"/>
  <c r="O404" i="1"/>
  <c r="N404" i="1"/>
  <c r="K404" i="1"/>
  <c r="J404" i="1"/>
  <c r="D404" i="1"/>
  <c r="C404" i="1"/>
  <c r="T403" i="1"/>
  <c r="S403" i="1"/>
  <c r="Q403" i="1"/>
  <c r="R403" i="1" s="1"/>
  <c r="P403" i="1"/>
  <c r="O403" i="1"/>
  <c r="N403" i="1"/>
  <c r="K403" i="1"/>
  <c r="J403" i="1"/>
  <c r="D403" i="1"/>
  <c r="C403" i="1"/>
  <c r="T402" i="1"/>
  <c r="S402" i="1"/>
  <c r="Q402" i="1"/>
  <c r="R402" i="1" s="1"/>
  <c r="P402" i="1"/>
  <c r="O402" i="1"/>
  <c r="N402" i="1"/>
  <c r="K402" i="1"/>
  <c r="J402" i="1"/>
  <c r="D402" i="1"/>
  <c r="C402" i="1"/>
  <c r="T401" i="1"/>
  <c r="S401" i="1"/>
  <c r="Q401" i="1"/>
  <c r="R401" i="1" s="1"/>
  <c r="P401" i="1"/>
  <c r="O401" i="1"/>
  <c r="N401" i="1"/>
  <c r="K401" i="1"/>
  <c r="J401" i="1"/>
  <c r="D401" i="1"/>
  <c r="C401" i="1"/>
  <c r="T400" i="1"/>
  <c r="S400" i="1"/>
  <c r="Q400" i="1"/>
  <c r="R400" i="1" s="1"/>
  <c r="P400" i="1"/>
  <c r="O400" i="1"/>
  <c r="N400" i="1"/>
  <c r="K400" i="1"/>
  <c r="J400" i="1"/>
  <c r="D400" i="1"/>
  <c r="C400" i="1"/>
  <c r="T399" i="1"/>
  <c r="S399" i="1"/>
  <c r="Q399" i="1"/>
  <c r="R399" i="1" s="1"/>
  <c r="P399" i="1"/>
  <c r="O399" i="1"/>
  <c r="N399" i="1"/>
  <c r="K399" i="1"/>
  <c r="J399" i="1"/>
  <c r="L399" i="1" s="1"/>
  <c r="D399" i="1"/>
  <c r="C399" i="1"/>
  <c r="T398" i="1"/>
  <c r="S398" i="1"/>
  <c r="Q398" i="1"/>
  <c r="R398" i="1" s="1"/>
  <c r="P398" i="1"/>
  <c r="O398" i="1"/>
  <c r="N398" i="1"/>
  <c r="K398" i="1"/>
  <c r="J398" i="1"/>
  <c r="D398" i="1"/>
  <c r="C398" i="1"/>
  <c r="T397" i="1"/>
  <c r="S397" i="1"/>
  <c r="Q397" i="1"/>
  <c r="R397" i="1" s="1"/>
  <c r="P397" i="1"/>
  <c r="O397" i="1"/>
  <c r="N397" i="1"/>
  <c r="K397" i="1"/>
  <c r="J397" i="1"/>
  <c r="D397" i="1"/>
  <c r="C397" i="1"/>
  <c r="T396" i="1"/>
  <c r="S396" i="1"/>
  <c r="Q396" i="1"/>
  <c r="R396" i="1" s="1"/>
  <c r="P396" i="1"/>
  <c r="O396" i="1"/>
  <c r="N396" i="1"/>
  <c r="K396" i="1"/>
  <c r="J396" i="1"/>
  <c r="D396" i="1"/>
  <c r="C396" i="1"/>
  <c r="T395" i="1"/>
  <c r="S395" i="1"/>
  <c r="Q395" i="1"/>
  <c r="R395" i="1" s="1"/>
  <c r="P395" i="1"/>
  <c r="O395" i="1"/>
  <c r="N395" i="1"/>
  <c r="K395" i="1"/>
  <c r="J395" i="1"/>
  <c r="D395" i="1"/>
  <c r="C395" i="1"/>
  <c r="T394" i="1"/>
  <c r="S394" i="1"/>
  <c r="R394" i="1"/>
  <c r="Q394" i="1"/>
  <c r="P394" i="1"/>
  <c r="O394" i="1"/>
  <c r="N394" i="1"/>
  <c r="K394" i="1"/>
  <c r="J394" i="1"/>
  <c r="L394" i="1" s="1"/>
  <c r="D394" i="1"/>
  <c r="C394" i="1"/>
  <c r="T393" i="1"/>
  <c r="S393" i="1"/>
  <c r="Q393" i="1"/>
  <c r="R393" i="1" s="1"/>
  <c r="P393" i="1"/>
  <c r="O393" i="1"/>
  <c r="N393" i="1"/>
  <c r="K393" i="1"/>
  <c r="J393" i="1"/>
  <c r="D393" i="1"/>
  <c r="C393" i="1"/>
  <c r="T392" i="1"/>
  <c r="S392" i="1"/>
  <c r="Q392" i="1"/>
  <c r="R392" i="1" s="1"/>
  <c r="P392" i="1"/>
  <c r="O392" i="1"/>
  <c r="N392" i="1"/>
  <c r="K392" i="1"/>
  <c r="J392" i="1"/>
  <c r="D392" i="1"/>
  <c r="C392" i="1"/>
  <c r="T391" i="1"/>
  <c r="S391" i="1"/>
  <c r="Q391" i="1"/>
  <c r="R391" i="1" s="1"/>
  <c r="P391" i="1"/>
  <c r="O391" i="1"/>
  <c r="N391" i="1"/>
  <c r="K391" i="1"/>
  <c r="J391" i="1"/>
  <c r="D391" i="1"/>
  <c r="C391" i="1"/>
  <c r="T390" i="1"/>
  <c r="S390" i="1"/>
  <c r="Q390" i="1"/>
  <c r="R390" i="1" s="1"/>
  <c r="P390" i="1"/>
  <c r="O390" i="1"/>
  <c r="N390" i="1"/>
  <c r="K390" i="1"/>
  <c r="J390" i="1"/>
  <c r="D390" i="1"/>
  <c r="C390" i="1"/>
  <c r="T389" i="1"/>
  <c r="S389" i="1"/>
  <c r="Q389" i="1"/>
  <c r="R389" i="1" s="1"/>
  <c r="P389" i="1"/>
  <c r="O389" i="1"/>
  <c r="N389" i="1"/>
  <c r="K389" i="1"/>
  <c r="J389" i="1"/>
  <c r="D389" i="1"/>
  <c r="C389" i="1"/>
  <c r="T388" i="1"/>
  <c r="S388" i="1"/>
  <c r="Q388" i="1"/>
  <c r="R388" i="1" s="1"/>
  <c r="P388" i="1"/>
  <c r="O388" i="1"/>
  <c r="N388" i="1"/>
  <c r="K388" i="1"/>
  <c r="J388" i="1"/>
  <c r="D388" i="1"/>
  <c r="C388" i="1"/>
  <c r="T387" i="1"/>
  <c r="S387" i="1"/>
  <c r="Q387" i="1"/>
  <c r="R387" i="1" s="1"/>
  <c r="P387" i="1"/>
  <c r="O387" i="1"/>
  <c r="N387" i="1"/>
  <c r="K387" i="1"/>
  <c r="J387" i="1"/>
  <c r="D387" i="1"/>
  <c r="C387" i="1"/>
  <c r="T386" i="1"/>
  <c r="S386" i="1"/>
  <c r="R386" i="1"/>
  <c r="Q386" i="1"/>
  <c r="P386" i="1"/>
  <c r="O386" i="1"/>
  <c r="N386" i="1"/>
  <c r="K386" i="1"/>
  <c r="J386" i="1"/>
  <c r="L386" i="1" s="1"/>
  <c r="D386" i="1"/>
  <c r="C386" i="1"/>
  <c r="T385" i="1"/>
  <c r="S385" i="1"/>
  <c r="Q385" i="1"/>
  <c r="R385" i="1" s="1"/>
  <c r="P385" i="1"/>
  <c r="O385" i="1"/>
  <c r="N385" i="1"/>
  <c r="K385" i="1"/>
  <c r="J385" i="1"/>
  <c r="D385" i="1"/>
  <c r="C385" i="1"/>
  <c r="T384" i="1"/>
  <c r="S384" i="1"/>
  <c r="Q384" i="1"/>
  <c r="R384" i="1" s="1"/>
  <c r="P384" i="1"/>
  <c r="O384" i="1"/>
  <c r="N384" i="1"/>
  <c r="K384" i="1"/>
  <c r="J384" i="1"/>
  <c r="D384" i="1"/>
  <c r="C384" i="1"/>
  <c r="T383" i="1"/>
  <c r="S383" i="1"/>
  <c r="Q383" i="1"/>
  <c r="R383" i="1" s="1"/>
  <c r="P383" i="1"/>
  <c r="O383" i="1"/>
  <c r="N383" i="1"/>
  <c r="K383" i="1"/>
  <c r="J383" i="1"/>
  <c r="D383" i="1"/>
  <c r="C383" i="1"/>
  <c r="T382" i="1"/>
  <c r="S382" i="1"/>
  <c r="Q382" i="1"/>
  <c r="R382" i="1" s="1"/>
  <c r="P382" i="1"/>
  <c r="O382" i="1"/>
  <c r="N382" i="1"/>
  <c r="K382" i="1"/>
  <c r="J382" i="1"/>
  <c r="D382" i="1"/>
  <c r="C382" i="1"/>
  <c r="T381" i="1"/>
  <c r="S381" i="1"/>
  <c r="Q381" i="1"/>
  <c r="R381" i="1" s="1"/>
  <c r="P381" i="1"/>
  <c r="O381" i="1"/>
  <c r="N381" i="1"/>
  <c r="K381" i="1"/>
  <c r="J381" i="1"/>
  <c r="D381" i="1"/>
  <c r="C381" i="1"/>
  <c r="T380" i="1"/>
  <c r="S380" i="1"/>
  <c r="Q380" i="1"/>
  <c r="R380" i="1" s="1"/>
  <c r="P380" i="1"/>
  <c r="O380" i="1"/>
  <c r="N380" i="1"/>
  <c r="K380" i="1"/>
  <c r="J380" i="1"/>
  <c r="D380" i="1"/>
  <c r="C380" i="1"/>
  <c r="T379" i="1"/>
  <c r="S379" i="1"/>
  <c r="Q379" i="1"/>
  <c r="R379" i="1" s="1"/>
  <c r="P379" i="1"/>
  <c r="O379" i="1"/>
  <c r="N379" i="1"/>
  <c r="K379" i="1"/>
  <c r="J379" i="1"/>
  <c r="D379" i="1"/>
  <c r="C379" i="1"/>
  <c r="T378" i="1"/>
  <c r="S378" i="1"/>
  <c r="R378" i="1"/>
  <c r="Q378" i="1"/>
  <c r="P378" i="1"/>
  <c r="O378" i="1"/>
  <c r="N378" i="1"/>
  <c r="K378" i="1"/>
  <c r="J378" i="1"/>
  <c r="L378" i="1" s="1"/>
  <c r="D378" i="1"/>
  <c r="C378" i="1"/>
  <c r="T377" i="1"/>
  <c r="S377" i="1"/>
  <c r="Q377" i="1"/>
  <c r="R377" i="1" s="1"/>
  <c r="P377" i="1"/>
  <c r="O377" i="1"/>
  <c r="N377" i="1"/>
  <c r="K377" i="1"/>
  <c r="J377" i="1"/>
  <c r="D377" i="1"/>
  <c r="C377" i="1"/>
  <c r="T376" i="1"/>
  <c r="S376" i="1"/>
  <c r="Q376" i="1"/>
  <c r="R376" i="1" s="1"/>
  <c r="P376" i="1"/>
  <c r="O376" i="1"/>
  <c r="N376" i="1"/>
  <c r="K376" i="1"/>
  <c r="J376" i="1"/>
  <c r="D376" i="1"/>
  <c r="C376" i="1"/>
  <c r="T375" i="1"/>
  <c r="S375" i="1"/>
  <c r="Q375" i="1"/>
  <c r="R375" i="1" s="1"/>
  <c r="P375" i="1"/>
  <c r="O375" i="1"/>
  <c r="N375" i="1"/>
  <c r="K375" i="1"/>
  <c r="J375" i="1"/>
  <c r="D375" i="1"/>
  <c r="C375" i="1"/>
  <c r="T374" i="1"/>
  <c r="S374" i="1"/>
  <c r="Q374" i="1"/>
  <c r="R374" i="1" s="1"/>
  <c r="P374" i="1"/>
  <c r="O374" i="1"/>
  <c r="N374" i="1"/>
  <c r="K374" i="1"/>
  <c r="J374" i="1"/>
  <c r="D374" i="1"/>
  <c r="C374" i="1"/>
  <c r="T373" i="1"/>
  <c r="S373" i="1"/>
  <c r="Q373" i="1"/>
  <c r="R373" i="1" s="1"/>
  <c r="P373" i="1"/>
  <c r="O373" i="1"/>
  <c r="N373" i="1"/>
  <c r="K373" i="1"/>
  <c r="J373" i="1"/>
  <c r="D373" i="1"/>
  <c r="C373" i="1"/>
  <c r="T372" i="1"/>
  <c r="S372" i="1"/>
  <c r="Q372" i="1"/>
  <c r="R372" i="1" s="1"/>
  <c r="P372" i="1"/>
  <c r="O372" i="1"/>
  <c r="N372" i="1"/>
  <c r="K372" i="1"/>
  <c r="J372" i="1"/>
  <c r="D372" i="1"/>
  <c r="C372" i="1"/>
  <c r="T371" i="1"/>
  <c r="S371" i="1"/>
  <c r="Q371" i="1"/>
  <c r="R371" i="1" s="1"/>
  <c r="P371" i="1"/>
  <c r="O371" i="1"/>
  <c r="N371" i="1"/>
  <c r="K371" i="1"/>
  <c r="J371" i="1"/>
  <c r="D371" i="1"/>
  <c r="C371" i="1"/>
  <c r="T370" i="1"/>
  <c r="S370" i="1"/>
  <c r="R370" i="1"/>
  <c r="Q370" i="1"/>
  <c r="P370" i="1"/>
  <c r="O370" i="1"/>
  <c r="N370" i="1"/>
  <c r="K370" i="1"/>
  <c r="J370" i="1"/>
  <c r="L370" i="1" s="1"/>
  <c r="D370" i="1"/>
  <c r="C370" i="1"/>
  <c r="T369" i="1"/>
  <c r="S369" i="1"/>
  <c r="Q369" i="1"/>
  <c r="R369" i="1" s="1"/>
  <c r="P369" i="1"/>
  <c r="O369" i="1"/>
  <c r="N369" i="1"/>
  <c r="K369" i="1"/>
  <c r="J369" i="1"/>
  <c r="D369" i="1"/>
  <c r="C369" i="1"/>
  <c r="T368" i="1"/>
  <c r="S368" i="1"/>
  <c r="Q368" i="1"/>
  <c r="R368" i="1" s="1"/>
  <c r="P368" i="1"/>
  <c r="O368" i="1"/>
  <c r="N368" i="1"/>
  <c r="K368" i="1"/>
  <c r="J368" i="1"/>
  <c r="D368" i="1"/>
  <c r="C368" i="1"/>
  <c r="T367" i="1"/>
  <c r="S367" i="1"/>
  <c r="Q367" i="1"/>
  <c r="R367" i="1" s="1"/>
  <c r="P367" i="1"/>
  <c r="O367" i="1"/>
  <c r="N367" i="1"/>
  <c r="K367" i="1"/>
  <c r="J367" i="1"/>
  <c r="D367" i="1"/>
  <c r="C367" i="1"/>
  <c r="T366" i="1"/>
  <c r="S366" i="1"/>
  <c r="Q366" i="1"/>
  <c r="R366" i="1" s="1"/>
  <c r="P366" i="1"/>
  <c r="O366" i="1"/>
  <c r="N366" i="1"/>
  <c r="K366" i="1"/>
  <c r="J366" i="1"/>
  <c r="D366" i="1"/>
  <c r="C366" i="1"/>
  <c r="T365" i="1"/>
  <c r="S365" i="1"/>
  <c r="Q365" i="1"/>
  <c r="R365" i="1" s="1"/>
  <c r="P365" i="1"/>
  <c r="O365" i="1"/>
  <c r="N365" i="1"/>
  <c r="K365" i="1"/>
  <c r="J365" i="1"/>
  <c r="D365" i="1"/>
  <c r="C365" i="1"/>
  <c r="T364" i="1"/>
  <c r="S364" i="1"/>
  <c r="Q364" i="1"/>
  <c r="R364" i="1" s="1"/>
  <c r="P364" i="1"/>
  <c r="O364" i="1"/>
  <c r="N364" i="1"/>
  <c r="K364" i="1"/>
  <c r="J364" i="1"/>
  <c r="D364" i="1"/>
  <c r="C364" i="1"/>
  <c r="T363" i="1"/>
  <c r="S363" i="1"/>
  <c r="Q363" i="1"/>
  <c r="R363" i="1" s="1"/>
  <c r="P363" i="1"/>
  <c r="O363" i="1"/>
  <c r="N363" i="1"/>
  <c r="K363" i="1"/>
  <c r="J363" i="1"/>
  <c r="D363" i="1"/>
  <c r="C363" i="1"/>
  <c r="T362" i="1"/>
  <c r="S362" i="1"/>
  <c r="R362" i="1"/>
  <c r="Q362" i="1"/>
  <c r="P362" i="1"/>
  <c r="O362" i="1"/>
  <c r="N362" i="1"/>
  <c r="K362" i="1"/>
  <c r="J362" i="1"/>
  <c r="L362" i="1" s="1"/>
  <c r="D362" i="1"/>
  <c r="C362" i="1"/>
  <c r="T361" i="1"/>
  <c r="S361" i="1"/>
  <c r="Q361" i="1"/>
  <c r="R361" i="1" s="1"/>
  <c r="P361" i="1"/>
  <c r="O361" i="1"/>
  <c r="N361" i="1"/>
  <c r="K361" i="1"/>
  <c r="J361" i="1"/>
  <c r="D361" i="1"/>
  <c r="C361" i="1"/>
  <c r="T360" i="1"/>
  <c r="S360" i="1"/>
  <c r="Q360" i="1"/>
  <c r="R360" i="1" s="1"/>
  <c r="P360" i="1"/>
  <c r="O360" i="1"/>
  <c r="N360" i="1"/>
  <c r="K360" i="1"/>
  <c r="J360" i="1"/>
  <c r="D360" i="1"/>
  <c r="C360" i="1"/>
  <c r="T359" i="1"/>
  <c r="S359" i="1"/>
  <c r="Q359" i="1"/>
  <c r="R359" i="1" s="1"/>
  <c r="P359" i="1"/>
  <c r="O359" i="1"/>
  <c r="N359" i="1"/>
  <c r="K359" i="1"/>
  <c r="J359" i="1"/>
  <c r="D359" i="1"/>
  <c r="C359" i="1"/>
  <c r="T358" i="1"/>
  <c r="S358" i="1"/>
  <c r="Q358" i="1"/>
  <c r="R358" i="1" s="1"/>
  <c r="P358" i="1"/>
  <c r="O358" i="1"/>
  <c r="N358" i="1"/>
  <c r="K358" i="1"/>
  <c r="J358" i="1"/>
  <c r="D358" i="1"/>
  <c r="C358" i="1"/>
  <c r="T357" i="1"/>
  <c r="S357" i="1"/>
  <c r="Q357" i="1"/>
  <c r="R357" i="1" s="1"/>
  <c r="P357" i="1"/>
  <c r="O357" i="1"/>
  <c r="N357" i="1"/>
  <c r="K357" i="1"/>
  <c r="J357" i="1"/>
  <c r="D357" i="1"/>
  <c r="C357" i="1"/>
  <c r="T356" i="1"/>
  <c r="S356" i="1"/>
  <c r="Q356" i="1"/>
  <c r="R356" i="1" s="1"/>
  <c r="P356" i="1"/>
  <c r="O356" i="1"/>
  <c r="N356" i="1"/>
  <c r="K356" i="1"/>
  <c r="J356" i="1"/>
  <c r="D356" i="1"/>
  <c r="C356" i="1"/>
  <c r="T355" i="1"/>
  <c r="S355" i="1"/>
  <c r="Q355" i="1"/>
  <c r="R355" i="1" s="1"/>
  <c r="P355" i="1"/>
  <c r="O355" i="1"/>
  <c r="N355" i="1"/>
  <c r="K355" i="1"/>
  <c r="J355" i="1"/>
  <c r="D355" i="1"/>
  <c r="C355" i="1"/>
  <c r="T354" i="1"/>
  <c r="S354" i="1"/>
  <c r="R354" i="1"/>
  <c r="Q354" i="1"/>
  <c r="P354" i="1"/>
  <c r="O354" i="1"/>
  <c r="N354" i="1"/>
  <c r="K354" i="1"/>
  <c r="J354" i="1"/>
  <c r="L354" i="1" s="1"/>
  <c r="D354" i="1"/>
  <c r="C354" i="1"/>
  <c r="T353" i="1"/>
  <c r="S353" i="1"/>
  <c r="Q353" i="1"/>
  <c r="R353" i="1" s="1"/>
  <c r="P353" i="1"/>
  <c r="O353" i="1"/>
  <c r="N353" i="1"/>
  <c r="K353" i="1"/>
  <c r="J353" i="1"/>
  <c r="D353" i="1"/>
  <c r="C353" i="1"/>
  <c r="T352" i="1"/>
  <c r="S352" i="1"/>
  <c r="Q352" i="1"/>
  <c r="R352" i="1" s="1"/>
  <c r="P352" i="1"/>
  <c r="O352" i="1"/>
  <c r="N352" i="1"/>
  <c r="K352" i="1"/>
  <c r="J352" i="1"/>
  <c r="D352" i="1"/>
  <c r="C352" i="1"/>
  <c r="T351" i="1"/>
  <c r="S351" i="1"/>
  <c r="Q351" i="1"/>
  <c r="R351" i="1" s="1"/>
  <c r="P351" i="1"/>
  <c r="O351" i="1"/>
  <c r="N351" i="1"/>
  <c r="K351" i="1"/>
  <c r="J351" i="1"/>
  <c r="D351" i="1"/>
  <c r="C351" i="1"/>
  <c r="T350" i="1"/>
  <c r="S350" i="1"/>
  <c r="Q350" i="1"/>
  <c r="R350" i="1" s="1"/>
  <c r="P350" i="1"/>
  <c r="O350" i="1"/>
  <c r="N350" i="1"/>
  <c r="K350" i="1"/>
  <c r="J350" i="1"/>
  <c r="D350" i="1"/>
  <c r="C350" i="1"/>
  <c r="T349" i="1"/>
  <c r="S349" i="1"/>
  <c r="Q349" i="1"/>
  <c r="R349" i="1" s="1"/>
  <c r="P349" i="1"/>
  <c r="O349" i="1"/>
  <c r="N349" i="1"/>
  <c r="K349" i="1"/>
  <c r="J349" i="1"/>
  <c r="D349" i="1"/>
  <c r="C349" i="1"/>
  <c r="T348" i="1"/>
  <c r="S348" i="1"/>
  <c r="Q348" i="1"/>
  <c r="R348" i="1" s="1"/>
  <c r="P348" i="1"/>
  <c r="O348" i="1"/>
  <c r="N348" i="1"/>
  <c r="K348" i="1"/>
  <c r="J348" i="1"/>
  <c r="D348" i="1"/>
  <c r="C348" i="1"/>
  <c r="T347" i="1"/>
  <c r="S347" i="1"/>
  <c r="Q347" i="1"/>
  <c r="R347" i="1" s="1"/>
  <c r="P347" i="1"/>
  <c r="O347" i="1"/>
  <c r="N347" i="1"/>
  <c r="K347" i="1"/>
  <c r="J347" i="1"/>
  <c r="D347" i="1"/>
  <c r="C347" i="1"/>
  <c r="T346" i="1"/>
  <c r="S346" i="1"/>
  <c r="Q346" i="1"/>
  <c r="R346" i="1" s="1"/>
  <c r="P346" i="1"/>
  <c r="O346" i="1"/>
  <c r="N346" i="1"/>
  <c r="K346" i="1"/>
  <c r="J346" i="1"/>
  <c r="D346" i="1"/>
  <c r="C346" i="1"/>
  <c r="T345" i="1"/>
  <c r="S345" i="1"/>
  <c r="R345" i="1"/>
  <c r="Q345" i="1"/>
  <c r="P345" i="1"/>
  <c r="O345" i="1"/>
  <c r="N345" i="1"/>
  <c r="K345" i="1"/>
  <c r="J345" i="1"/>
  <c r="D345" i="1"/>
  <c r="C345" i="1"/>
  <c r="T344" i="1"/>
  <c r="S344" i="1"/>
  <c r="Q344" i="1"/>
  <c r="R344" i="1" s="1"/>
  <c r="P344" i="1"/>
  <c r="O344" i="1"/>
  <c r="N344" i="1"/>
  <c r="K344" i="1"/>
  <c r="J344" i="1"/>
  <c r="D344" i="1"/>
  <c r="C344" i="1"/>
  <c r="T343" i="1"/>
  <c r="S343" i="1"/>
  <c r="Q343" i="1"/>
  <c r="R343" i="1" s="1"/>
  <c r="P343" i="1"/>
  <c r="O343" i="1"/>
  <c r="N343" i="1"/>
  <c r="K343" i="1"/>
  <c r="J343" i="1"/>
  <c r="L343" i="1" s="1"/>
  <c r="D343" i="1"/>
  <c r="C343" i="1"/>
  <c r="T342" i="1"/>
  <c r="S342" i="1"/>
  <c r="Q342" i="1"/>
  <c r="R342" i="1" s="1"/>
  <c r="P342" i="1"/>
  <c r="O342" i="1"/>
  <c r="N342" i="1"/>
  <c r="K342" i="1"/>
  <c r="J342" i="1"/>
  <c r="D342" i="1"/>
  <c r="C342" i="1"/>
  <c r="T341" i="1"/>
  <c r="S341" i="1"/>
  <c r="Q341" i="1"/>
  <c r="R341" i="1" s="1"/>
  <c r="P341" i="1"/>
  <c r="O341" i="1"/>
  <c r="N341" i="1"/>
  <c r="K341" i="1"/>
  <c r="J341" i="1"/>
  <c r="D341" i="1"/>
  <c r="C341" i="1"/>
  <c r="T340" i="1"/>
  <c r="S340" i="1"/>
  <c r="Q340" i="1"/>
  <c r="R340" i="1" s="1"/>
  <c r="P340" i="1"/>
  <c r="O340" i="1"/>
  <c r="N340" i="1"/>
  <c r="K340" i="1"/>
  <c r="J340" i="1"/>
  <c r="D340" i="1"/>
  <c r="C340" i="1"/>
  <c r="T339" i="1"/>
  <c r="S339" i="1"/>
  <c r="Q339" i="1"/>
  <c r="R339" i="1" s="1"/>
  <c r="P339" i="1"/>
  <c r="O339" i="1"/>
  <c r="N339" i="1"/>
  <c r="K339" i="1"/>
  <c r="J339" i="1"/>
  <c r="L339" i="1" s="1"/>
  <c r="D339" i="1"/>
  <c r="C339" i="1"/>
  <c r="T338" i="1"/>
  <c r="S338" i="1"/>
  <c r="Q338" i="1"/>
  <c r="R338" i="1" s="1"/>
  <c r="P338" i="1"/>
  <c r="O338" i="1"/>
  <c r="N338" i="1"/>
  <c r="K338" i="1"/>
  <c r="J338" i="1"/>
  <c r="L338" i="1" s="1"/>
  <c r="D338" i="1"/>
  <c r="C338" i="1"/>
  <c r="T337" i="1"/>
  <c r="S337" i="1"/>
  <c r="Q337" i="1"/>
  <c r="R337" i="1" s="1"/>
  <c r="P337" i="1"/>
  <c r="O337" i="1"/>
  <c r="N337" i="1"/>
  <c r="K337" i="1"/>
  <c r="J337" i="1"/>
  <c r="D337" i="1"/>
  <c r="C337" i="1"/>
  <c r="T336" i="1"/>
  <c r="S336" i="1"/>
  <c r="Q336" i="1"/>
  <c r="R336" i="1" s="1"/>
  <c r="P336" i="1"/>
  <c r="O336" i="1"/>
  <c r="N336" i="1"/>
  <c r="K336" i="1"/>
  <c r="J336" i="1"/>
  <c r="D336" i="1"/>
  <c r="C336" i="1"/>
  <c r="T335" i="1"/>
  <c r="S335" i="1"/>
  <c r="Q335" i="1"/>
  <c r="R335" i="1" s="1"/>
  <c r="P335" i="1"/>
  <c r="O335" i="1"/>
  <c r="N335" i="1"/>
  <c r="K335" i="1"/>
  <c r="J335" i="1"/>
  <c r="D335" i="1"/>
  <c r="C335" i="1"/>
  <c r="T334" i="1"/>
  <c r="S334" i="1"/>
  <c r="Q334" i="1"/>
  <c r="R334" i="1" s="1"/>
  <c r="P334" i="1"/>
  <c r="O334" i="1"/>
  <c r="N334" i="1"/>
  <c r="K334" i="1"/>
  <c r="J334" i="1"/>
  <c r="D334" i="1"/>
  <c r="C334" i="1"/>
  <c r="T333" i="1"/>
  <c r="S333" i="1"/>
  <c r="Q333" i="1"/>
  <c r="R333" i="1" s="1"/>
  <c r="P333" i="1"/>
  <c r="O333" i="1"/>
  <c r="N333" i="1"/>
  <c r="K333" i="1"/>
  <c r="J333" i="1"/>
  <c r="D333" i="1"/>
  <c r="C333" i="1"/>
  <c r="T332" i="1"/>
  <c r="S332" i="1"/>
  <c r="Q332" i="1"/>
  <c r="R332" i="1" s="1"/>
  <c r="P332" i="1"/>
  <c r="O332" i="1"/>
  <c r="N332" i="1"/>
  <c r="K332" i="1"/>
  <c r="J332" i="1"/>
  <c r="D332" i="1"/>
  <c r="C332" i="1"/>
  <c r="T331" i="1"/>
  <c r="S331" i="1"/>
  <c r="Q331" i="1"/>
  <c r="R331" i="1" s="1"/>
  <c r="P331" i="1"/>
  <c r="O331" i="1"/>
  <c r="N331" i="1"/>
  <c r="K331" i="1"/>
  <c r="J331" i="1"/>
  <c r="D331" i="1"/>
  <c r="C331" i="1"/>
  <c r="T330" i="1"/>
  <c r="S330" i="1"/>
  <c r="Q330" i="1"/>
  <c r="R330" i="1" s="1"/>
  <c r="P330" i="1"/>
  <c r="O330" i="1"/>
  <c r="N330" i="1"/>
  <c r="K330" i="1"/>
  <c r="J330" i="1"/>
  <c r="D330" i="1"/>
  <c r="C330" i="1"/>
  <c r="T329" i="1"/>
  <c r="S329" i="1"/>
  <c r="R329" i="1"/>
  <c r="Q329" i="1"/>
  <c r="P329" i="1"/>
  <c r="O329" i="1"/>
  <c r="N329" i="1"/>
  <c r="K329" i="1"/>
  <c r="J329" i="1"/>
  <c r="D329" i="1"/>
  <c r="C329" i="1"/>
  <c r="T328" i="1"/>
  <c r="S328" i="1"/>
  <c r="Q328" i="1"/>
  <c r="R328" i="1" s="1"/>
  <c r="P328" i="1"/>
  <c r="O328" i="1"/>
  <c r="N328" i="1"/>
  <c r="K328" i="1"/>
  <c r="J328" i="1"/>
  <c r="D328" i="1"/>
  <c r="C328" i="1"/>
  <c r="T327" i="1"/>
  <c r="S327" i="1"/>
  <c r="Q327" i="1"/>
  <c r="R327" i="1" s="1"/>
  <c r="P327" i="1"/>
  <c r="O327" i="1"/>
  <c r="N327" i="1"/>
  <c r="K327" i="1"/>
  <c r="J327" i="1"/>
  <c r="D327" i="1"/>
  <c r="C327" i="1"/>
  <c r="T326" i="1"/>
  <c r="S326" i="1"/>
  <c r="Q326" i="1"/>
  <c r="R326" i="1" s="1"/>
  <c r="P326" i="1"/>
  <c r="O326" i="1"/>
  <c r="N326" i="1"/>
  <c r="K326" i="1"/>
  <c r="J326" i="1"/>
  <c r="D326" i="1"/>
  <c r="C326" i="1"/>
  <c r="T325" i="1"/>
  <c r="S325" i="1"/>
  <c r="Q325" i="1"/>
  <c r="R325" i="1" s="1"/>
  <c r="P325" i="1"/>
  <c r="O325" i="1"/>
  <c r="N325" i="1"/>
  <c r="K325" i="1"/>
  <c r="J325" i="1"/>
  <c r="D325" i="1"/>
  <c r="C325" i="1"/>
  <c r="T324" i="1"/>
  <c r="S324" i="1"/>
  <c r="Q324" i="1"/>
  <c r="R324" i="1" s="1"/>
  <c r="P324" i="1"/>
  <c r="O324" i="1"/>
  <c r="N324" i="1"/>
  <c r="K324" i="1"/>
  <c r="J324" i="1"/>
  <c r="D324" i="1"/>
  <c r="C324" i="1"/>
  <c r="T323" i="1"/>
  <c r="S323" i="1"/>
  <c r="Q323" i="1"/>
  <c r="R323" i="1" s="1"/>
  <c r="P323" i="1"/>
  <c r="O323" i="1"/>
  <c r="N323" i="1"/>
  <c r="K323" i="1"/>
  <c r="J323" i="1"/>
  <c r="D323" i="1"/>
  <c r="C323" i="1"/>
  <c r="T322" i="1"/>
  <c r="S322" i="1"/>
  <c r="Q322" i="1"/>
  <c r="R322" i="1" s="1"/>
  <c r="P322" i="1"/>
  <c r="O322" i="1"/>
  <c r="N322" i="1"/>
  <c r="K322" i="1"/>
  <c r="J322" i="1"/>
  <c r="D322" i="1"/>
  <c r="C322" i="1"/>
  <c r="T321" i="1"/>
  <c r="S321" i="1"/>
  <c r="Q321" i="1"/>
  <c r="R321" i="1" s="1"/>
  <c r="P321" i="1"/>
  <c r="O321" i="1"/>
  <c r="N321" i="1"/>
  <c r="K321" i="1"/>
  <c r="J321" i="1"/>
  <c r="D321" i="1"/>
  <c r="C321" i="1"/>
  <c r="T320" i="1"/>
  <c r="S320" i="1"/>
  <c r="Q320" i="1"/>
  <c r="R320" i="1" s="1"/>
  <c r="P320" i="1"/>
  <c r="O320" i="1"/>
  <c r="N320" i="1"/>
  <c r="K320" i="1"/>
  <c r="J320" i="1"/>
  <c r="D320" i="1"/>
  <c r="C320" i="1"/>
  <c r="T319" i="1"/>
  <c r="S319" i="1"/>
  <c r="Q319" i="1"/>
  <c r="R319" i="1" s="1"/>
  <c r="P319" i="1"/>
  <c r="O319" i="1"/>
  <c r="N319" i="1"/>
  <c r="K319" i="1"/>
  <c r="J319" i="1"/>
  <c r="D319" i="1"/>
  <c r="C319" i="1"/>
  <c r="T318" i="1"/>
  <c r="S318" i="1"/>
  <c r="Q318" i="1"/>
  <c r="R318" i="1" s="1"/>
  <c r="P318" i="1"/>
  <c r="O318" i="1"/>
  <c r="N318" i="1"/>
  <c r="K318" i="1"/>
  <c r="J318" i="1"/>
  <c r="D318" i="1"/>
  <c r="C318" i="1"/>
  <c r="T317" i="1"/>
  <c r="S317" i="1"/>
  <c r="R317" i="1"/>
  <c r="Q317" i="1"/>
  <c r="P317" i="1"/>
  <c r="O317" i="1"/>
  <c r="N317" i="1"/>
  <c r="K317" i="1"/>
  <c r="J317" i="1"/>
  <c r="D317" i="1"/>
  <c r="C317" i="1"/>
  <c r="T316" i="1"/>
  <c r="S316" i="1"/>
  <c r="Q316" i="1"/>
  <c r="R316" i="1" s="1"/>
  <c r="P316" i="1"/>
  <c r="O316" i="1"/>
  <c r="N316" i="1"/>
  <c r="K316" i="1"/>
  <c r="J316" i="1"/>
  <c r="D316" i="1"/>
  <c r="C316" i="1"/>
  <c r="T315" i="1"/>
  <c r="S315" i="1"/>
  <c r="Q315" i="1"/>
  <c r="R315" i="1" s="1"/>
  <c r="P315" i="1"/>
  <c r="O315" i="1"/>
  <c r="N315" i="1"/>
  <c r="K315" i="1"/>
  <c r="J315" i="1"/>
  <c r="D315" i="1"/>
  <c r="C315" i="1"/>
  <c r="T314" i="1"/>
  <c r="S314" i="1"/>
  <c r="Q314" i="1"/>
  <c r="R314" i="1" s="1"/>
  <c r="P314" i="1"/>
  <c r="O314" i="1"/>
  <c r="N314" i="1"/>
  <c r="K314" i="1"/>
  <c r="J314" i="1"/>
  <c r="D314" i="1"/>
  <c r="C314" i="1"/>
  <c r="T313" i="1"/>
  <c r="S313" i="1"/>
  <c r="Q313" i="1"/>
  <c r="R313" i="1" s="1"/>
  <c r="P313" i="1"/>
  <c r="O313" i="1"/>
  <c r="N313" i="1"/>
  <c r="K313" i="1"/>
  <c r="J313" i="1"/>
  <c r="D313" i="1"/>
  <c r="C313" i="1"/>
  <c r="T312" i="1"/>
  <c r="S312" i="1"/>
  <c r="Q312" i="1"/>
  <c r="R312" i="1" s="1"/>
  <c r="P312" i="1"/>
  <c r="O312" i="1"/>
  <c r="N312" i="1"/>
  <c r="K312" i="1"/>
  <c r="J312" i="1"/>
  <c r="D312" i="1"/>
  <c r="C312" i="1"/>
  <c r="T311" i="1"/>
  <c r="S311" i="1"/>
  <c r="Q311" i="1"/>
  <c r="R311" i="1" s="1"/>
  <c r="P311" i="1"/>
  <c r="O311" i="1"/>
  <c r="N311" i="1"/>
  <c r="K311" i="1"/>
  <c r="J311" i="1"/>
  <c r="D311" i="1"/>
  <c r="C311" i="1"/>
  <c r="T310" i="1"/>
  <c r="S310" i="1"/>
  <c r="Q310" i="1"/>
  <c r="R310" i="1" s="1"/>
  <c r="P310" i="1"/>
  <c r="O310" i="1"/>
  <c r="N310" i="1"/>
  <c r="K310" i="1"/>
  <c r="J310" i="1"/>
  <c r="D310" i="1"/>
  <c r="C310" i="1"/>
  <c r="T309" i="1"/>
  <c r="S309" i="1"/>
  <c r="Q309" i="1"/>
  <c r="R309" i="1" s="1"/>
  <c r="P309" i="1"/>
  <c r="O309" i="1"/>
  <c r="N309" i="1"/>
  <c r="K309" i="1"/>
  <c r="J309" i="1"/>
  <c r="D309" i="1"/>
  <c r="C309" i="1"/>
  <c r="T308" i="1"/>
  <c r="S308" i="1"/>
  <c r="Q308" i="1"/>
  <c r="R308" i="1" s="1"/>
  <c r="P308" i="1"/>
  <c r="O308" i="1"/>
  <c r="N308" i="1"/>
  <c r="K308" i="1"/>
  <c r="J308" i="1"/>
  <c r="D308" i="1"/>
  <c r="C308" i="1"/>
  <c r="T307" i="1"/>
  <c r="S307" i="1"/>
  <c r="Q307" i="1"/>
  <c r="R307" i="1" s="1"/>
  <c r="P307" i="1"/>
  <c r="O307" i="1"/>
  <c r="N307" i="1"/>
  <c r="K307" i="1"/>
  <c r="J307" i="1"/>
  <c r="L307" i="1" s="1"/>
  <c r="D307" i="1"/>
  <c r="C307" i="1"/>
  <c r="T306" i="1"/>
  <c r="S306" i="1"/>
  <c r="Q306" i="1"/>
  <c r="R306" i="1" s="1"/>
  <c r="P306" i="1"/>
  <c r="O306" i="1"/>
  <c r="N306" i="1"/>
  <c r="K306" i="1"/>
  <c r="J306" i="1"/>
  <c r="D306" i="1"/>
  <c r="C306" i="1"/>
  <c r="T305" i="1"/>
  <c r="S305" i="1"/>
  <c r="Q305" i="1"/>
  <c r="R305" i="1" s="1"/>
  <c r="P305" i="1"/>
  <c r="O305" i="1"/>
  <c r="N305" i="1"/>
  <c r="K305" i="1"/>
  <c r="J305" i="1"/>
  <c r="L305" i="1" s="1"/>
  <c r="D305" i="1"/>
  <c r="C305" i="1"/>
  <c r="T304" i="1"/>
  <c r="S304" i="1"/>
  <c r="Q304" i="1"/>
  <c r="R304" i="1" s="1"/>
  <c r="P304" i="1"/>
  <c r="O304" i="1"/>
  <c r="N304" i="1"/>
  <c r="K304" i="1"/>
  <c r="J304" i="1"/>
  <c r="D304" i="1"/>
  <c r="C304" i="1"/>
  <c r="T303" i="1"/>
  <c r="S303" i="1"/>
  <c r="Q303" i="1"/>
  <c r="R303" i="1" s="1"/>
  <c r="P303" i="1"/>
  <c r="O303" i="1"/>
  <c r="N303" i="1"/>
  <c r="K303" i="1"/>
  <c r="J303" i="1"/>
  <c r="D303" i="1"/>
  <c r="C303" i="1"/>
  <c r="T302" i="1"/>
  <c r="S302" i="1"/>
  <c r="Q302" i="1"/>
  <c r="R302" i="1" s="1"/>
  <c r="P302" i="1"/>
  <c r="O302" i="1"/>
  <c r="N302" i="1"/>
  <c r="K302" i="1"/>
  <c r="J302" i="1"/>
  <c r="D302" i="1"/>
  <c r="C302" i="1"/>
  <c r="T301" i="1"/>
  <c r="S301" i="1"/>
  <c r="Q301" i="1"/>
  <c r="R301" i="1" s="1"/>
  <c r="P301" i="1"/>
  <c r="O301" i="1"/>
  <c r="N301" i="1"/>
  <c r="K301" i="1"/>
  <c r="J301" i="1"/>
  <c r="D301" i="1"/>
  <c r="C301" i="1"/>
  <c r="T300" i="1"/>
  <c r="S300" i="1"/>
  <c r="Q300" i="1"/>
  <c r="R300" i="1" s="1"/>
  <c r="P300" i="1"/>
  <c r="O300" i="1"/>
  <c r="N300" i="1"/>
  <c r="K300" i="1"/>
  <c r="J300" i="1"/>
  <c r="L300" i="1" s="1"/>
  <c r="D300" i="1"/>
  <c r="C300" i="1"/>
  <c r="T299" i="1"/>
  <c r="S299" i="1"/>
  <c r="R299" i="1"/>
  <c r="Q299" i="1"/>
  <c r="P299" i="1"/>
  <c r="O299" i="1"/>
  <c r="N299" i="1"/>
  <c r="K299" i="1"/>
  <c r="J299" i="1"/>
  <c r="D299" i="1"/>
  <c r="C299" i="1"/>
  <c r="T298" i="1"/>
  <c r="S298" i="1"/>
  <c r="Q298" i="1"/>
  <c r="R298" i="1" s="1"/>
  <c r="P298" i="1"/>
  <c r="O298" i="1"/>
  <c r="N298" i="1"/>
  <c r="K298" i="1"/>
  <c r="J298" i="1"/>
  <c r="D298" i="1"/>
  <c r="C298" i="1"/>
  <c r="T297" i="1"/>
  <c r="S297" i="1"/>
  <c r="Q297" i="1"/>
  <c r="R297" i="1" s="1"/>
  <c r="P297" i="1"/>
  <c r="O297" i="1"/>
  <c r="N297" i="1"/>
  <c r="K297" i="1"/>
  <c r="J297" i="1"/>
  <c r="D297" i="1"/>
  <c r="C297" i="1"/>
  <c r="T296" i="1"/>
  <c r="S296" i="1"/>
  <c r="Q296" i="1"/>
  <c r="R296" i="1" s="1"/>
  <c r="P296" i="1"/>
  <c r="O296" i="1"/>
  <c r="N296" i="1"/>
  <c r="K296" i="1"/>
  <c r="J296" i="1"/>
  <c r="L296" i="1" s="1"/>
  <c r="D296" i="1"/>
  <c r="C296" i="1"/>
  <c r="T295" i="1"/>
  <c r="S295" i="1"/>
  <c r="R295" i="1"/>
  <c r="Q295" i="1"/>
  <c r="P295" i="1"/>
  <c r="O295" i="1"/>
  <c r="N295" i="1"/>
  <c r="K295" i="1"/>
  <c r="J295" i="1"/>
  <c r="L295" i="1" s="1"/>
  <c r="D295" i="1"/>
  <c r="C295" i="1"/>
  <c r="T294" i="1"/>
  <c r="S294" i="1"/>
  <c r="Q294" i="1"/>
  <c r="R294" i="1" s="1"/>
  <c r="P294" i="1"/>
  <c r="O294" i="1"/>
  <c r="N294" i="1"/>
  <c r="K294" i="1"/>
  <c r="J294" i="1"/>
  <c r="D294" i="1"/>
  <c r="C294" i="1"/>
  <c r="T293" i="1"/>
  <c r="S293" i="1"/>
  <c r="Q293" i="1"/>
  <c r="R293" i="1" s="1"/>
  <c r="P293" i="1"/>
  <c r="O293" i="1"/>
  <c r="N293" i="1"/>
  <c r="K293" i="1"/>
  <c r="J293" i="1"/>
  <c r="L293" i="1" s="1"/>
  <c r="D293" i="1"/>
  <c r="C293" i="1"/>
  <c r="T292" i="1"/>
  <c r="S292" i="1"/>
  <c r="Q292" i="1"/>
  <c r="R292" i="1" s="1"/>
  <c r="P292" i="1"/>
  <c r="O292" i="1"/>
  <c r="N292" i="1"/>
  <c r="K292" i="1"/>
  <c r="J292" i="1"/>
  <c r="D292" i="1"/>
  <c r="C292" i="1"/>
  <c r="T291" i="1"/>
  <c r="S291" i="1"/>
  <c r="Q291" i="1"/>
  <c r="R291" i="1" s="1"/>
  <c r="P291" i="1"/>
  <c r="O291" i="1"/>
  <c r="N291" i="1"/>
  <c r="K291" i="1"/>
  <c r="J291" i="1"/>
  <c r="L291" i="1" s="1"/>
  <c r="D291" i="1"/>
  <c r="C291" i="1"/>
  <c r="T290" i="1"/>
  <c r="S290" i="1"/>
  <c r="Q290" i="1"/>
  <c r="R290" i="1" s="1"/>
  <c r="P290" i="1"/>
  <c r="O290" i="1"/>
  <c r="N290" i="1"/>
  <c r="K290" i="1"/>
  <c r="J290" i="1"/>
  <c r="D290" i="1"/>
  <c r="C290" i="1"/>
  <c r="T289" i="1"/>
  <c r="S289" i="1"/>
  <c r="Q289" i="1"/>
  <c r="R289" i="1" s="1"/>
  <c r="P289" i="1"/>
  <c r="O289" i="1"/>
  <c r="N289" i="1"/>
  <c r="K289" i="1"/>
  <c r="J289" i="1"/>
  <c r="L289" i="1" s="1"/>
  <c r="D289" i="1"/>
  <c r="C289" i="1"/>
  <c r="T288" i="1"/>
  <c r="S288" i="1"/>
  <c r="Q288" i="1"/>
  <c r="R288" i="1" s="1"/>
  <c r="P288" i="1"/>
  <c r="O288" i="1"/>
  <c r="N288" i="1"/>
  <c r="K288" i="1"/>
  <c r="J288" i="1"/>
  <c r="D288" i="1"/>
  <c r="C288" i="1"/>
  <c r="T287" i="1"/>
  <c r="S287" i="1"/>
  <c r="Q287" i="1"/>
  <c r="R287" i="1" s="1"/>
  <c r="P287" i="1"/>
  <c r="O287" i="1"/>
  <c r="N287" i="1"/>
  <c r="K287" i="1"/>
  <c r="J287" i="1"/>
  <c r="D287" i="1"/>
  <c r="C287" i="1"/>
  <c r="T286" i="1"/>
  <c r="S286" i="1"/>
  <c r="Q286" i="1"/>
  <c r="R286" i="1" s="1"/>
  <c r="P286" i="1"/>
  <c r="O286" i="1"/>
  <c r="N286" i="1"/>
  <c r="K286" i="1"/>
  <c r="J286" i="1"/>
  <c r="D286" i="1"/>
  <c r="C286" i="1"/>
  <c r="T285" i="1"/>
  <c r="S285" i="1"/>
  <c r="Q285" i="1"/>
  <c r="R285" i="1" s="1"/>
  <c r="P285" i="1"/>
  <c r="O285" i="1"/>
  <c r="N285" i="1"/>
  <c r="K285" i="1"/>
  <c r="J285" i="1"/>
  <c r="D285" i="1"/>
  <c r="C285" i="1"/>
  <c r="T284" i="1"/>
  <c r="S284" i="1"/>
  <c r="Q284" i="1"/>
  <c r="R284" i="1" s="1"/>
  <c r="P284" i="1"/>
  <c r="O284" i="1"/>
  <c r="N284" i="1"/>
  <c r="K284" i="1"/>
  <c r="J284" i="1"/>
  <c r="L284" i="1" s="1"/>
  <c r="D284" i="1"/>
  <c r="C284" i="1"/>
  <c r="T283" i="1"/>
  <c r="S283" i="1"/>
  <c r="R283" i="1"/>
  <c r="Q283" i="1"/>
  <c r="P283" i="1"/>
  <c r="O283" i="1"/>
  <c r="N283" i="1"/>
  <c r="K283" i="1"/>
  <c r="J283" i="1"/>
  <c r="D283" i="1"/>
  <c r="C283" i="1"/>
  <c r="T282" i="1"/>
  <c r="S282" i="1"/>
  <c r="Q282" i="1"/>
  <c r="R282" i="1" s="1"/>
  <c r="P282" i="1"/>
  <c r="O282" i="1"/>
  <c r="N282" i="1"/>
  <c r="K282" i="1"/>
  <c r="J282" i="1"/>
  <c r="D282" i="1"/>
  <c r="C282" i="1"/>
  <c r="T281" i="1"/>
  <c r="S281" i="1"/>
  <c r="Q281" i="1"/>
  <c r="R281" i="1" s="1"/>
  <c r="P281" i="1"/>
  <c r="O281" i="1"/>
  <c r="N281" i="1"/>
  <c r="K281" i="1"/>
  <c r="J281" i="1"/>
  <c r="D281" i="1"/>
  <c r="C281" i="1"/>
  <c r="T280" i="1"/>
  <c r="S280" i="1"/>
  <c r="Q280" i="1"/>
  <c r="R280" i="1" s="1"/>
  <c r="P280" i="1"/>
  <c r="O280" i="1"/>
  <c r="N280" i="1"/>
  <c r="K280" i="1"/>
  <c r="J280" i="1"/>
  <c r="L280" i="1" s="1"/>
  <c r="D280" i="1"/>
  <c r="C280" i="1"/>
  <c r="T279" i="1"/>
  <c r="S279" i="1"/>
  <c r="R279" i="1"/>
  <c r="Q279" i="1"/>
  <c r="P279" i="1"/>
  <c r="O279" i="1"/>
  <c r="N279" i="1"/>
  <c r="K279" i="1"/>
  <c r="J279" i="1"/>
  <c r="L279" i="1" s="1"/>
  <c r="D279" i="1"/>
  <c r="C279" i="1"/>
  <c r="T278" i="1"/>
  <c r="S278" i="1"/>
  <c r="Q278" i="1"/>
  <c r="R278" i="1" s="1"/>
  <c r="P278" i="1"/>
  <c r="O278" i="1"/>
  <c r="N278" i="1"/>
  <c r="K278" i="1"/>
  <c r="J278" i="1"/>
  <c r="D278" i="1"/>
  <c r="C278" i="1"/>
  <c r="T277" i="1"/>
  <c r="S277" i="1"/>
  <c r="Q277" i="1"/>
  <c r="R277" i="1" s="1"/>
  <c r="P277" i="1"/>
  <c r="O277" i="1"/>
  <c r="N277" i="1"/>
  <c r="K277" i="1"/>
  <c r="J277" i="1"/>
  <c r="L277" i="1" s="1"/>
  <c r="D277" i="1"/>
  <c r="C277" i="1"/>
  <c r="T276" i="1"/>
  <c r="S276" i="1"/>
  <c r="Q276" i="1"/>
  <c r="R276" i="1" s="1"/>
  <c r="P276" i="1"/>
  <c r="O276" i="1"/>
  <c r="N276" i="1"/>
  <c r="K276" i="1"/>
  <c r="J276" i="1"/>
  <c r="D276" i="1"/>
  <c r="C276" i="1"/>
  <c r="T275" i="1"/>
  <c r="S275" i="1"/>
  <c r="Q275" i="1"/>
  <c r="R275" i="1" s="1"/>
  <c r="P275" i="1"/>
  <c r="O275" i="1"/>
  <c r="N275" i="1"/>
  <c r="K275" i="1"/>
  <c r="J275" i="1"/>
  <c r="L275" i="1" s="1"/>
  <c r="D275" i="1"/>
  <c r="C275" i="1"/>
  <c r="T274" i="1"/>
  <c r="S274" i="1"/>
  <c r="Q274" i="1"/>
  <c r="R274" i="1" s="1"/>
  <c r="P274" i="1"/>
  <c r="O274" i="1"/>
  <c r="N274" i="1"/>
  <c r="K274" i="1"/>
  <c r="J274" i="1"/>
  <c r="D274" i="1"/>
  <c r="C274" i="1"/>
  <c r="T273" i="1"/>
  <c r="S273" i="1"/>
  <c r="Q273" i="1"/>
  <c r="R273" i="1" s="1"/>
  <c r="P273" i="1"/>
  <c r="O273" i="1"/>
  <c r="N273" i="1"/>
  <c r="K273" i="1"/>
  <c r="J273" i="1"/>
  <c r="L273" i="1" s="1"/>
  <c r="D273" i="1"/>
  <c r="C273" i="1"/>
  <c r="T272" i="1"/>
  <c r="S272" i="1"/>
  <c r="Q272" i="1"/>
  <c r="R272" i="1" s="1"/>
  <c r="P272" i="1"/>
  <c r="O272" i="1"/>
  <c r="N272" i="1"/>
  <c r="K272" i="1"/>
  <c r="J272" i="1"/>
  <c r="D272" i="1"/>
  <c r="C272" i="1"/>
  <c r="T271" i="1"/>
  <c r="S271" i="1"/>
  <c r="Q271" i="1"/>
  <c r="R271" i="1" s="1"/>
  <c r="P271" i="1"/>
  <c r="O271" i="1"/>
  <c r="N271" i="1"/>
  <c r="K271" i="1"/>
  <c r="J271" i="1"/>
  <c r="D271" i="1"/>
  <c r="C271" i="1"/>
  <c r="T270" i="1"/>
  <c r="S270" i="1"/>
  <c r="Q270" i="1"/>
  <c r="R270" i="1" s="1"/>
  <c r="P270" i="1"/>
  <c r="O270" i="1"/>
  <c r="N270" i="1"/>
  <c r="K270" i="1"/>
  <c r="J270" i="1"/>
  <c r="D270" i="1"/>
  <c r="C270" i="1"/>
  <c r="T269" i="1"/>
  <c r="S269" i="1"/>
  <c r="Q269" i="1"/>
  <c r="R269" i="1" s="1"/>
  <c r="P269" i="1"/>
  <c r="O269" i="1"/>
  <c r="N269" i="1"/>
  <c r="K269" i="1"/>
  <c r="J269" i="1"/>
  <c r="D269" i="1"/>
  <c r="C269" i="1"/>
  <c r="T268" i="1"/>
  <c r="S268" i="1"/>
  <c r="Q268" i="1"/>
  <c r="R268" i="1" s="1"/>
  <c r="P268" i="1"/>
  <c r="O268" i="1"/>
  <c r="N268" i="1"/>
  <c r="K268" i="1"/>
  <c r="J268" i="1"/>
  <c r="L268" i="1" s="1"/>
  <c r="D268" i="1"/>
  <c r="C268" i="1"/>
  <c r="T267" i="1"/>
  <c r="S267" i="1"/>
  <c r="R267" i="1"/>
  <c r="Q267" i="1"/>
  <c r="P267" i="1"/>
  <c r="O267" i="1"/>
  <c r="N267" i="1"/>
  <c r="K267" i="1"/>
  <c r="J267" i="1"/>
  <c r="D267" i="1"/>
  <c r="C267" i="1"/>
  <c r="T266" i="1"/>
  <c r="S266" i="1"/>
  <c r="Q266" i="1"/>
  <c r="R266" i="1" s="1"/>
  <c r="P266" i="1"/>
  <c r="O266" i="1"/>
  <c r="N266" i="1"/>
  <c r="K266" i="1"/>
  <c r="J266" i="1"/>
  <c r="D266" i="1"/>
  <c r="C266" i="1"/>
  <c r="T265" i="1"/>
  <c r="S265" i="1"/>
  <c r="Q265" i="1"/>
  <c r="R265" i="1" s="1"/>
  <c r="P265" i="1"/>
  <c r="O265" i="1"/>
  <c r="N265" i="1"/>
  <c r="K265" i="1"/>
  <c r="J265" i="1"/>
  <c r="D265" i="1"/>
  <c r="C265" i="1"/>
  <c r="T264" i="1"/>
  <c r="S264" i="1"/>
  <c r="Q264" i="1"/>
  <c r="R264" i="1" s="1"/>
  <c r="P264" i="1"/>
  <c r="O264" i="1"/>
  <c r="N264" i="1"/>
  <c r="K264" i="1"/>
  <c r="J264" i="1"/>
  <c r="L264" i="1" s="1"/>
  <c r="D264" i="1"/>
  <c r="C264" i="1"/>
  <c r="T263" i="1"/>
  <c r="S263" i="1"/>
  <c r="R263" i="1"/>
  <c r="Q263" i="1"/>
  <c r="P263" i="1"/>
  <c r="O263" i="1"/>
  <c r="N263" i="1"/>
  <c r="K263" i="1"/>
  <c r="J263" i="1"/>
  <c r="L263" i="1" s="1"/>
  <c r="D263" i="1"/>
  <c r="C263" i="1"/>
  <c r="T262" i="1"/>
  <c r="S262" i="1"/>
  <c r="Q262" i="1"/>
  <c r="R262" i="1" s="1"/>
  <c r="P262" i="1"/>
  <c r="O262" i="1"/>
  <c r="N262" i="1"/>
  <c r="K262" i="1"/>
  <c r="J262" i="1"/>
  <c r="D262" i="1"/>
  <c r="C262" i="1"/>
  <c r="T261" i="1"/>
  <c r="S261" i="1"/>
  <c r="Q261" i="1"/>
  <c r="R261" i="1" s="1"/>
  <c r="P261" i="1"/>
  <c r="O261" i="1"/>
  <c r="N261" i="1"/>
  <c r="K261" i="1"/>
  <c r="J261" i="1"/>
  <c r="L261" i="1" s="1"/>
  <c r="D261" i="1"/>
  <c r="C261" i="1"/>
  <c r="T260" i="1"/>
  <c r="S260" i="1"/>
  <c r="Q260" i="1"/>
  <c r="R260" i="1" s="1"/>
  <c r="P260" i="1"/>
  <c r="O260" i="1"/>
  <c r="N260" i="1"/>
  <c r="K260" i="1"/>
  <c r="J260" i="1"/>
  <c r="D260" i="1"/>
  <c r="C260" i="1"/>
  <c r="T259" i="1"/>
  <c r="S259" i="1"/>
  <c r="Q259" i="1"/>
  <c r="R259" i="1" s="1"/>
  <c r="P259" i="1"/>
  <c r="O259" i="1"/>
  <c r="N259" i="1"/>
  <c r="K259" i="1"/>
  <c r="J259" i="1"/>
  <c r="L259" i="1" s="1"/>
  <c r="D259" i="1"/>
  <c r="C259" i="1"/>
  <c r="T258" i="1"/>
  <c r="S258" i="1"/>
  <c r="Q258" i="1"/>
  <c r="R258" i="1" s="1"/>
  <c r="P258" i="1"/>
  <c r="O258" i="1"/>
  <c r="N258" i="1"/>
  <c r="K258" i="1"/>
  <c r="J258" i="1"/>
  <c r="D258" i="1"/>
  <c r="C258" i="1"/>
  <c r="T257" i="1"/>
  <c r="S257" i="1"/>
  <c r="Q257" i="1"/>
  <c r="R257" i="1" s="1"/>
  <c r="P257" i="1"/>
  <c r="O257" i="1"/>
  <c r="N257" i="1"/>
  <c r="K257" i="1"/>
  <c r="J257" i="1"/>
  <c r="L257" i="1" s="1"/>
  <c r="D257" i="1"/>
  <c r="C257" i="1"/>
  <c r="T256" i="1"/>
  <c r="S256" i="1"/>
  <c r="Q256" i="1"/>
  <c r="R256" i="1" s="1"/>
  <c r="P256" i="1"/>
  <c r="O256" i="1"/>
  <c r="N256" i="1"/>
  <c r="K256" i="1"/>
  <c r="J256" i="1"/>
  <c r="D256" i="1"/>
  <c r="C256" i="1"/>
  <c r="T255" i="1"/>
  <c r="S255" i="1"/>
  <c r="Q255" i="1"/>
  <c r="R255" i="1" s="1"/>
  <c r="P255" i="1"/>
  <c r="O255" i="1"/>
  <c r="N255" i="1"/>
  <c r="K255" i="1"/>
  <c r="J255" i="1"/>
  <c r="D255" i="1"/>
  <c r="C255" i="1"/>
  <c r="T254" i="1"/>
  <c r="S254" i="1"/>
  <c r="Q254" i="1"/>
  <c r="R254" i="1" s="1"/>
  <c r="P254" i="1"/>
  <c r="O254" i="1"/>
  <c r="N254" i="1"/>
  <c r="K254" i="1"/>
  <c r="J254" i="1"/>
  <c r="D254" i="1"/>
  <c r="C254" i="1"/>
  <c r="T253" i="1"/>
  <c r="S253" i="1"/>
  <c r="Q253" i="1"/>
  <c r="R253" i="1" s="1"/>
  <c r="P253" i="1"/>
  <c r="O253" i="1"/>
  <c r="N253" i="1"/>
  <c r="K253" i="1"/>
  <c r="J253" i="1"/>
  <c r="D253" i="1"/>
  <c r="C253" i="1"/>
  <c r="T252" i="1"/>
  <c r="S252" i="1"/>
  <c r="Q252" i="1"/>
  <c r="R252" i="1" s="1"/>
  <c r="P252" i="1"/>
  <c r="O252" i="1"/>
  <c r="N252" i="1"/>
  <c r="K252" i="1"/>
  <c r="J252" i="1"/>
  <c r="L252" i="1" s="1"/>
  <c r="D252" i="1"/>
  <c r="C252" i="1"/>
  <c r="T251" i="1"/>
  <c r="S251" i="1"/>
  <c r="R251" i="1"/>
  <c r="Q251" i="1"/>
  <c r="P251" i="1"/>
  <c r="O251" i="1"/>
  <c r="N251" i="1"/>
  <c r="K251" i="1"/>
  <c r="J251" i="1"/>
  <c r="D251" i="1"/>
  <c r="C251" i="1"/>
  <c r="T250" i="1"/>
  <c r="S250" i="1"/>
  <c r="Q250" i="1"/>
  <c r="R250" i="1" s="1"/>
  <c r="P250" i="1"/>
  <c r="O250" i="1"/>
  <c r="N250" i="1"/>
  <c r="K250" i="1"/>
  <c r="J250" i="1"/>
  <c r="D250" i="1"/>
  <c r="C250" i="1"/>
  <c r="T249" i="1"/>
  <c r="S249" i="1"/>
  <c r="Q249" i="1"/>
  <c r="R249" i="1" s="1"/>
  <c r="P249" i="1"/>
  <c r="O249" i="1"/>
  <c r="N249" i="1"/>
  <c r="K249" i="1"/>
  <c r="J249" i="1"/>
  <c r="D249" i="1"/>
  <c r="C249" i="1"/>
  <c r="T248" i="1"/>
  <c r="S248" i="1"/>
  <c r="Q248" i="1"/>
  <c r="R248" i="1" s="1"/>
  <c r="P248" i="1"/>
  <c r="O248" i="1"/>
  <c r="N248" i="1"/>
  <c r="K248" i="1"/>
  <c r="J248" i="1"/>
  <c r="L248" i="1" s="1"/>
  <c r="D248" i="1"/>
  <c r="C248" i="1"/>
  <c r="T247" i="1"/>
  <c r="S247" i="1"/>
  <c r="R247" i="1"/>
  <c r="Q247" i="1"/>
  <c r="P247" i="1"/>
  <c r="O247" i="1"/>
  <c r="N247" i="1"/>
  <c r="K247" i="1"/>
  <c r="J247" i="1"/>
  <c r="L247" i="1" s="1"/>
  <c r="D247" i="1"/>
  <c r="C247" i="1"/>
  <c r="T246" i="1"/>
  <c r="S246" i="1"/>
  <c r="Q246" i="1"/>
  <c r="R246" i="1" s="1"/>
  <c r="P246" i="1"/>
  <c r="O246" i="1"/>
  <c r="N246" i="1"/>
  <c r="K246" i="1"/>
  <c r="J246" i="1"/>
  <c r="D246" i="1"/>
  <c r="C246" i="1"/>
  <c r="T245" i="1"/>
  <c r="S245" i="1"/>
  <c r="Q245" i="1"/>
  <c r="R245" i="1" s="1"/>
  <c r="P245" i="1"/>
  <c r="O245" i="1"/>
  <c r="N245" i="1"/>
  <c r="K245" i="1"/>
  <c r="J245" i="1"/>
  <c r="L245" i="1" s="1"/>
  <c r="D245" i="1"/>
  <c r="C245" i="1"/>
  <c r="T244" i="1"/>
  <c r="S244" i="1"/>
  <c r="Q244" i="1"/>
  <c r="R244" i="1" s="1"/>
  <c r="P244" i="1"/>
  <c r="O244" i="1"/>
  <c r="N244" i="1"/>
  <c r="K244" i="1"/>
  <c r="J244" i="1"/>
  <c r="D244" i="1"/>
  <c r="C244" i="1"/>
  <c r="T243" i="1"/>
  <c r="S243" i="1"/>
  <c r="Q243" i="1"/>
  <c r="R243" i="1" s="1"/>
  <c r="P243" i="1"/>
  <c r="O243" i="1"/>
  <c r="N243" i="1"/>
  <c r="K243" i="1"/>
  <c r="J243" i="1"/>
  <c r="L243" i="1" s="1"/>
  <c r="D243" i="1"/>
  <c r="C243" i="1"/>
  <c r="T242" i="1"/>
  <c r="S242" i="1"/>
  <c r="Q242" i="1"/>
  <c r="R242" i="1" s="1"/>
  <c r="P242" i="1"/>
  <c r="O242" i="1"/>
  <c r="N242" i="1"/>
  <c r="K242" i="1"/>
  <c r="J242" i="1"/>
  <c r="D242" i="1"/>
  <c r="C242" i="1"/>
  <c r="T241" i="1"/>
  <c r="S241" i="1"/>
  <c r="Q241" i="1"/>
  <c r="R241" i="1" s="1"/>
  <c r="P241" i="1"/>
  <c r="O241" i="1"/>
  <c r="N241" i="1"/>
  <c r="K241" i="1"/>
  <c r="J241" i="1"/>
  <c r="L241" i="1" s="1"/>
  <c r="D241" i="1"/>
  <c r="C241" i="1"/>
  <c r="T240" i="1"/>
  <c r="S240" i="1"/>
  <c r="Q240" i="1"/>
  <c r="R240" i="1" s="1"/>
  <c r="P240" i="1"/>
  <c r="O240" i="1"/>
  <c r="N240" i="1"/>
  <c r="K240" i="1"/>
  <c r="J240" i="1"/>
  <c r="D240" i="1"/>
  <c r="C240" i="1"/>
  <c r="T239" i="1"/>
  <c r="S239" i="1"/>
  <c r="Q239" i="1"/>
  <c r="R239" i="1" s="1"/>
  <c r="P239" i="1"/>
  <c r="O239" i="1"/>
  <c r="N239" i="1"/>
  <c r="K239" i="1"/>
  <c r="J239" i="1"/>
  <c r="D239" i="1"/>
  <c r="C239" i="1"/>
  <c r="T238" i="1"/>
  <c r="S238" i="1"/>
  <c r="Q238" i="1"/>
  <c r="R238" i="1" s="1"/>
  <c r="P238" i="1"/>
  <c r="O238" i="1"/>
  <c r="N238" i="1"/>
  <c r="K238" i="1"/>
  <c r="J238" i="1"/>
  <c r="D238" i="1"/>
  <c r="C238" i="1"/>
  <c r="T237" i="1"/>
  <c r="S237" i="1"/>
  <c r="Q237" i="1"/>
  <c r="R237" i="1" s="1"/>
  <c r="P237" i="1"/>
  <c r="O237" i="1"/>
  <c r="N237" i="1"/>
  <c r="K237" i="1"/>
  <c r="J237" i="1"/>
  <c r="D237" i="1"/>
  <c r="C237" i="1"/>
  <c r="T236" i="1"/>
  <c r="S236" i="1"/>
  <c r="Q236" i="1"/>
  <c r="R236" i="1" s="1"/>
  <c r="P236" i="1"/>
  <c r="O236" i="1"/>
  <c r="N236" i="1"/>
  <c r="K236" i="1"/>
  <c r="J236" i="1"/>
  <c r="L236" i="1" s="1"/>
  <c r="D236" i="1"/>
  <c r="C236" i="1"/>
  <c r="T235" i="1"/>
  <c r="S235" i="1"/>
  <c r="R235" i="1"/>
  <c r="Q235" i="1"/>
  <c r="P235" i="1"/>
  <c r="O235" i="1"/>
  <c r="N235" i="1"/>
  <c r="K235" i="1"/>
  <c r="J235" i="1"/>
  <c r="D235" i="1"/>
  <c r="C235" i="1"/>
  <c r="T234" i="1"/>
  <c r="S234" i="1"/>
  <c r="Q234" i="1"/>
  <c r="R234" i="1" s="1"/>
  <c r="P234" i="1"/>
  <c r="O234" i="1"/>
  <c r="N234" i="1"/>
  <c r="K234" i="1"/>
  <c r="J234" i="1"/>
  <c r="D234" i="1"/>
  <c r="C234" i="1"/>
  <c r="T233" i="1"/>
  <c r="S233" i="1"/>
  <c r="Q233" i="1"/>
  <c r="R233" i="1" s="1"/>
  <c r="P233" i="1"/>
  <c r="O233" i="1"/>
  <c r="N233" i="1"/>
  <c r="K233" i="1"/>
  <c r="J233" i="1"/>
  <c r="D233" i="1"/>
  <c r="C233" i="1"/>
  <c r="T232" i="1"/>
  <c r="S232" i="1"/>
  <c r="Q232" i="1"/>
  <c r="R232" i="1" s="1"/>
  <c r="P232" i="1"/>
  <c r="O232" i="1"/>
  <c r="N232" i="1"/>
  <c r="K232" i="1"/>
  <c r="J232" i="1"/>
  <c r="D232" i="1"/>
  <c r="C232" i="1"/>
  <c r="T231" i="1"/>
  <c r="S231" i="1"/>
  <c r="R231" i="1"/>
  <c r="Q231" i="1"/>
  <c r="P231" i="1"/>
  <c r="O231" i="1"/>
  <c r="N231" i="1"/>
  <c r="K231" i="1"/>
  <c r="J231" i="1"/>
  <c r="L231" i="1" s="1"/>
  <c r="D231" i="1"/>
  <c r="C231" i="1"/>
  <c r="T230" i="1"/>
  <c r="S230" i="1"/>
  <c r="Q230" i="1"/>
  <c r="R230" i="1" s="1"/>
  <c r="P230" i="1"/>
  <c r="O230" i="1"/>
  <c r="N230" i="1"/>
  <c r="K230" i="1"/>
  <c r="J230" i="1"/>
  <c r="D230" i="1"/>
  <c r="C230" i="1"/>
  <c r="T229" i="1"/>
  <c r="S229" i="1"/>
  <c r="Q229" i="1"/>
  <c r="R229" i="1" s="1"/>
  <c r="P229" i="1"/>
  <c r="O229" i="1"/>
  <c r="N229" i="1"/>
  <c r="K229" i="1"/>
  <c r="J229" i="1"/>
  <c r="L229" i="1" s="1"/>
  <c r="D229" i="1"/>
  <c r="C229" i="1"/>
  <c r="T228" i="1"/>
  <c r="S228" i="1"/>
  <c r="Q228" i="1"/>
  <c r="R228" i="1" s="1"/>
  <c r="P228" i="1"/>
  <c r="O228" i="1"/>
  <c r="N228" i="1"/>
  <c r="K228" i="1"/>
  <c r="J228" i="1"/>
  <c r="D228" i="1"/>
  <c r="C228" i="1"/>
  <c r="T227" i="1"/>
  <c r="S227" i="1"/>
  <c r="Q227" i="1"/>
  <c r="R227" i="1" s="1"/>
  <c r="P227" i="1"/>
  <c r="O227" i="1"/>
  <c r="N227" i="1"/>
  <c r="K227" i="1"/>
  <c r="J227" i="1"/>
  <c r="L227" i="1" s="1"/>
  <c r="D227" i="1"/>
  <c r="C227" i="1"/>
  <c r="T226" i="1"/>
  <c r="S226" i="1"/>
  <c r="Q226" i="1"/>
  <c r="R226" i="1" s="1"/>
  <c r="P226" i="1"/>
  <c r="O226" i="1"/>
  <c r="N226" i="1"/>
  <c r="K226" i="1"/>
  <c r="J226" i="1"/>
  <c r="D226" i="1"/>
  <c r="C226" i="1"/>
  <c r="T225" i="1"/>
  <c r="S225" i="1"/>
  <c r="Q225" i="1"/>
  <c r="R225" i="1" s="1"/>
  <c r="P225" i="1"/>
  <c r="O225" i="1"/>
  <c r="N225" i="1"/>
  <c r="K225" i="1"/>
  <c r="J225" i="1"/>
  <c r="L225" i="1" s="1"/>
  <c r="D225" i="1"/>
  <c r="C225" i="1"/>
  <c r="T224" i="1"/>
  <c r="S224" i="1"/>
  <c r="Q224" i="1"/>
  <c r="R224" i="1" s="1"/>
  <c r="P224" i="1"/>
  <c r="O224" i="1"/>
  <c r="N224" i="1"/>
  <c r="K224" i="1"/>
  <c r="J224" i="1"/>
  <c r="D224" i="1"/>
  <c r="C224" i="1"/>
  <c r="T223" i="1"/>
  <c r="S223" i="1"/>
  <c r="Q223" i="1"/>
  <c r="R223" i="1" s="1"/>
  <c r="P223" i="1"/>
  <c r="O223" i="1"/>
  <c r="N223" i="1"/>
  <c r="K223" i="1"/>
  <c r="J223" i="1"/>
  <c r="D223" i="1"/>
  <c r="C223" i="1"/>
  <c r="T222" i="1"/>
  <c r="S222" i="1"/>
  <c r="Q222" i="1"/>
  <c r="R222" i="1" s="1"/>
  <c r="P222" i="1"/>
  <c r="O222" i="1"/>
  <c r="N222" i="1"/>
  <c r="K222" i="1"/>
  <c r="J222" i="1"/>
  <c r="L222" i="1" s="1"/>
  <c r="D222" i="1"/>
  <c r="C222" i="1"/>
  <c r="T221" i="1"/>
  <c r="S221" i="1"/>
  <c r="Q221" i="1"/>
  <c r="R221" i="1" s="1"/>
  <c r="P221" i="1"/>
  <c r="O221" i="1"/>
  <c r="N221" i="1"/>
  <c r="K221" i="1"/>
  <c r="J221" i="1"/>
  <c r="D221" i="1"/>
  <c r="C221" i="1"/>
  <c r="T220" i="1"/>
  <c r="S220" i="1"/>
  <c r="Q220" i="1"/>
  <c r="R220" i="1" s="1"/>
  <c r="P220" i="1"/>
  <c r="O220" i="1"/>
  <c r="N220" i="1"/>
  <c r="K220" i="1"/>
  <c r="J220" i="1"/>
  <c r="D220" i="1"/>
  <c r="C220" i="1"/>
  <c r="T219" i="1"/>
  <c r="S219" i="1"/>
  <c r="Q219" i="1"/>
  <c r="R219" i="1" s="1"/>
  <c r="P219" i="1"/>
  <c r="O219" i="1"/>
  <c r="N219" i="1"/>
  <c r="K219" i="1"/>
  <c r="J219" i="1"/>
  <c r="D219" i="1"/>
  <c r="C219" i="1"/>
  <c r="T218" i="1"/>
  <c r="S218" i="1"/>
  <c r="Q218" i="1"/>
  <c r="R218" i="1" s="1"/>
  <c r="P218" i="1"/>
  <c r="O218" i="1"/>
  <c r="N218" i="1"/>
  <c r="K218" i="1"/>
  <c r="J218" i="1"/>
  <c r="D218" i="1"/>
  <c r="C218" i="1"/>
  <c r="T217" i="1"/>
  <c r="S217" i="1"/>
  <c r="Q217" i="1"/>
  <c r="R217" i="1" s="1"/>
  <c r="P217" i="1"/>
  <c r="O217" i="1"/>
  <c r="N217" i="1"/>
  <c r="K217" i="1"/>
  <c r="J217" i="1"/>
  <c r="D217" i="1"/>
  <c r="C217" i="1"/>
  <c r="T216" i="1"/>
  <c r="S216" i="1"/>
  <c r="Q216" i="1"/>
  <c r="R216" i="1" s="1"/>
  <c r="P216" i="1"/>
  <c r="O216" i="1"/>
  <c r="N216" i="1"/>
  <c r="K216" i="1"/>
  <c r="J216" i="1"/>
  <c r="D216" i="1"/>
  <c r="C216" i="1"/>
  <c r="T215" i="1"/>
  <c r="S215" i="1"/>
  <c r="Q215" i="1"/>
  <c r="R215" i="1" s="1"/>
  <c r="P215" i="1"/>
  <c r="O215" i="1"/>
  <c r="N215" i="1"/>
  <c r="K215" i="1"/>
  <c r="J215" i="1"/>
  <c r="D215" i="1"/>
  <c r="C215" i="1"/>
  <c r="T214" i="1"/>
  <c r="S214" i="1"/>
  <c r="Q214" i="1"/>
  <c r="R214" i="1" s="1"/>
  <c r="P214" i="1"/>
  <c r="O214" i="1"/>
  <c r="N214" i="1"/>
  <c r="K214" i="1"/>
  <c r="J214" i="1"/>
  <c r="D214" i="1"/>
  <c r="C214" i="1"/>
  <c r="T213" i="1"/>
  <c r="S213" i="1"/>
  <c r="Q213" i="1"/>
  <c r="R213" i="1" s="1"/>
  <c r="P213" i="1"/>
  <c r="O213" i="1"/>
  <c r="N213" i="1"/>
  <c r="K213" i="1"/>
  <c r="J213" i="1"/>
  <c r="D213" i="1"/>
  <c r="C213" i="1"/>
  <c r="T212" i="1"/>
  <c r="S212" i="1"/>
  <c r="Q212" i="1"/>
  <c r="R212" i="1" s="1"/>
  <c r="P212" i="1"/>
  <c r="O212" i="1"/>
  <c r="N212" i="1"/>
  <c r="K212" i="1"/>
  <c r="J212" i="1"/>
  <c r="D212" i="1"/>
  <c r="C212" i="1"/>
  <c r="T211" i="1"/>
  <c r="S211" i="1"/>
  <c r="Q211" i="1"/>
  <c r="R211" i="1" s="1"/>
  <c r="P211" i="1"/>
  <c r="O211" i="1"/>
  <c r="N211" i="1"/>
  <c r="K211" i="1"/>
  <c r="J211" i="1"/>
  <c r="D211" i="1"/>
  <c r="C211" i="1"/>
  <c r="T210" i="1"/>
  <c r="S210" i="1"/>
  <c r="Q210" i="1"/>
  <c r="R210" i="1" s="1"/>
  <c r="P210" i="1"/>
  <c r="O210" i="1"/>
  <c r="N210" i="1"/>
  <c r="K210" i="1"/>
  <c r="J210" i="1"/>
  <c r="D210" i="1"/>
  <c r="C210" i="1"/>
  <c r="T209" i="1"/>
  <c r="S209" i="1"/>
  <c r="R209" i="1"/>
  <c r="Q209" i="1"/>
  <c r="P209" i="1"/>
  <c r="O209" i="1"/>
  <c r="N209" i="1"/>
  <c r="K209" i="1"/>
  <c r="J209" i="1"/>
  <c r="L209" i="1" s="1"/>
  <c r="D209" i="1"/>
  <c r="C209" i="1"/>
  <c r="T208" i="1"/>
  <c r="S208" i="1"/>
  <c r="Q208" i="1"/>
  <c r="R208" i="1" s="1"/>
  <c r="P208" i="1"/>
  <c r="O208" i="1"/>
  <c r="N208" i="1"/>
  <c r="K208" i="1"/>
  <c r="J208" i="1"/>
  <c r="D208" i="1"/>
  <c r="C208" i="1"/>
  <c r="T207" i="1"/>
  <c r="S207" i="1"/>
  <c r="Q207" i="1"/>
  <c r="R207" i="1" s="1"/>
  <c r="P207" i="1"/>
  <c r="O207" i="1"/>
  <c r="N207" i="1"/>
  <c r="K207" i="1"/>
  <c r="J207" i="1"/>
  <c r="D207" i="1"/>
  <c r="C207" i="1"/>
  <c r="T206" i="1"/>
  <c r="S206" i="1"/>
  <c r="Q206" i="1"/>
  <c r="R206" i="1" s="1"/>
  <c r="P206" i="1"/>
  <c r="O206" i="1"/>
  <c r="N206" i="1"/>
  <c r="K206" i="1"/>
  <c r="J206" i="1"/>
  <c r="D206" i="1"/>
  <c r="C206" i="1"/>
  <c r="T205" i="1"/>
  <c r="S205" i="1"/>
  <c r="Q205" i="1"/>
  <c r="R205" i="1" s="1"/>
  <c r="P205" i="1"/>
  <c r="O205" i="1"/>
  <c r="N205" i="1"/>
  <c r="K205" i="1"/>
  <c r="J205" i="1"/>
  <c r="D205" i="1"/>
  <c r="C205" i="1"/>
  <c r="T204" i="1"/>
  <c r="S204" i="1"/>
  <c r="Q204" i="1"/>
  <c r="R204" i="1" s="1"/>
  <c r="P204" i="1"/>
  <c r="O204" i="1"/>
  <c r="N204" i="1"/>
  <c r="K204" i="1"/>
  <c r="J204" i="1"/>
  <c r="D204" i="1"/>
  <c r="C204" i="1"/>
  <c r="T203" i="1"/>
  <c r="S203" i="1"/>
  <c r="Q203" i="1"/>
  <c r="R203" i="1" s="1"/>
  <c r="P203" i="1"/>
  <c r="O203" i="1"/>
  <c r="N203" i="1"/>
  <c r="K203" i="1"/>
  <c r="J203" i="1"/>
  <c r="D203" i="1"/>
  <c r="C203" i="1"/>
  <c r="T202" i="1"/>
  <c r="S202" i="1"/>
  <c r="Q202" i="1"/>
  <c r="R202" i="1" s="1"/>
  <c r="P202" i="1"/>
  <c r="O202" i="1"/>
  <c r="N202" i="1"/>
  <c r="K202" i="1"/>
  <c r="J202" i="1"/>
  <c r="D202" i="1"/>
  <c r="C202" i="1"/>
  <c r="T201" i="1"/>
  <c r="S201" i="1"/>
  <c r="Q201" i="1"/>
  <c r="R201" i="1" s="1"/>
  <c r="P201" i="1"/>
  <c r="O201" i="1"/>
  <c r="N201" i="1"/>
  <c r="K201" i="1"/>
  <c r="J201" i="1"/>
  <c r="L201" i="1" s="1"/>
  <c r="D201" i="1"/>
  <c r="C201" i="1"/>
  <c r="T200" i="1"/>
  <c r="S200" i="1"/>
  <c r="R200" i="1"/>
  <c r="Q200" i="1"/>
  <c r="P200" i="1"/>
  <c r="O200" i="1"/>
  <c r="N200" i="1"/>
  <c r="K200" i="1"/>
  <c r="J200" i="1"/>
  <c r="D200" i="1"/>
  <c r="C200" i="1"/>
  <c r="T199" i="1"/>
  <c r="S199" i="1"/>
  <c r="Q199" i="1"/>
  <c r="R199" i="1" s="1"/>
  <c r="P199" i="1"/>
  <c r="O199" i="1"/>
  <c r="N199" i="1"/>
  <c r="K199" i="1"/>
  <c r="J199" i="1"/>
  <c r="D199" i="1"/>
  <c r="C199" i="1"/>
  <c r="T198" i="1"/>
  <c r="S198" i="1"/>
  <c r="Q198" i="1"/>
  <c r="R198" i="1" s="1"/>
  <c r="P198" i="1"/>
  <c r="O198" i="1"/>
  <c r="N198" i="1"/>
  <c r="K198" i="1"/>
  <c r="J198" i="1"/>
  <c r="D198" i="1"/>
  <c r="C198" i="1"/>
  <c r="T197" i="1"/>
  <c r="S197" i="1"/>
  <c r="Q197" i="1"/>
  <c r="R197" i="1" s="1"/>
  <c r="P197" i="1"/>
  <c r="O197" i="1"/>
  <c r="N197" i="1"/>
  <c r="K197" i="1"/>
  <c r="J197" i="1"/>
  <c r="D197" i="1"/>
  <c r="C197" i="1"/>
  <c r="T196" i="1"/>
  <c r="S196" i="1"/>
  <c r="Q196" i="1"/>
  <c r="R196" i="1" s="1"/>
  <c r="P196" i="1"/>
  <c r="O196" i="1"/>
  <c r="N196" i="1"/>
  <c r="K196" i="1"/>
  <c r="J196" i="1"/>
  <c r="D196" i="1"/>
  <c r="C196" i="1"/>
  <c r="T195" i="1"/>
  <c r="S195" i="1"/>
  <c r="Q195" i="1"/>
  <c r="R195" i="1" s="1"/>
  <c r="P195" i="1"/>
  <c r="O195" i="1"/>
  <c r="N195" i="1"/>
  <c r="K195" i="1"/>
  <c r="J195" i="1"/>
  <c r="D195" i="1"/>
  <c r="C195" i="1"/>
  <c r="T194" i="1"/>
  <c r="S194" i="1"/>
  <c r="Q194" i="1"/>
  <c r="R194" i="1" s="1"/>
  <c r="P194" i="1"/>
  <c r="O194" i="1"/>
  <c r="N194" i="1"/>
  <c r="K194" i="1"/>
  <c r="J194" i="1"/>
  <c r="D194" i="1"/>
  <c r="C194" i="1"/>
  <c r="T193" i="1"/>
  <c r="S193" i="1"/>
  <c r="Q193" i="1"/>
  <c r="R193" i="1" s="1"/>
  <c r="P193" i="1"/>
  <c r="O193" i="1"/>
  <c r="N193" i="1"/>
  <c r="K193" i="1"/>
  <c r="J193" i="1"/>
  <c r="D193" i="1"/>
  <c r="C193" i="1"/>
  <c r="T192" i="1"/>
  <c r="S192" i="1"/>
  <c r="Q192" i="1"/>
  <c r="R192" i="1" s="1"/>
  <c r="P192" i="1"/>
  <c r="O192" i="1"/>
  <c r="N192" i="1"/>
  <c r="K192" i="1"/>
  <c r="J192" i="1"/>
  <c r="D192" i="1"/>
  <c r="C192" i="1"/>
  <c r="T191" i="1"/>
  <c r="S191" i="1"/>
  <c r="R191" i="1"/>
  <c r="Q191" i="1"/>
  <c r="P191" i="1"/>
  <c r="O191" i="1"/>
  <c r="N191" i="1"/>
  <c r="K191" i="1"/>
  <c r="J191" i="1"/>
  <c r="D191" i="1"/>
  <c r="C191" i="1"/>
  <c r="T190" i="1"/>
  <c r="S190" i="1"/>
  <c r="Q190" i="1"/>
  <c r="R190" i="1" s="1"/>
  <c r="P190" i="1"/>
  <c r="O190" i="1"/>
  <c r="N190" i="1"/>
  <c r="K190" i="1"/>
  <c r="J190" i="1"/>
  <c r="L190" i="1" s="1"/>
  <c r="D190" i="1"/>
  <c r="C190" i="1"/>
  <c r="T189" i="1"/>
  <c r="S189" i="1"/>
  <c r="Q189" i="1"/>
  <c r="R189" i="1" s="1"/>
  <c r="P189" i="1"/>
  <c r="O189" i="1"/>
  <c r="N189" i="1"/>
  <c r="K189" i="1"/>
  <c r="J189" i="1"/>
  <c r="D189" i="1"/>
  <c r="C189" i="1"/>
  <c r="T188" i="1"/>
  <c r="S188" i="1"/>
  <c r="Q188" i="1"/>
  <c r="R188" i="1" s="1"/>
  <c r="P188" i="1"/>
  <c r="O188" i="1"/>
  <c r="N188" i="1"/>
  <c r="K188" i="1"/>
  <c r="J188" i="1"/>
  <c r="D188" i="1"/>
  <c r="C188" i="1"/>
  <c r="T187" i="1"/>
  <c r="S187" i="1"/>
  <c r="Q187" i="1"/>
  <c r="R187" i="1" s="1"/>
  <c r="P187" i="1"/>
  <c r="O187" i="1"/>
  <c r="N187" i="1"/>
  <c r="K187" i="1"/>
  <c r="J187" i="1"/>
  <c r="D187" i="1"/>
  <c r="C187" i="1"/>
  <c r="T186" i="1"/>
  <c r="S186" i="1"/>
  <c r="Q186" i="1"/>
  <c r="R186" i="1" s="1"/>
  <c r="P186" i="1"/>
  <c r="O186" i="1"/>
  <c r="N186" i="1"/>
  <c r="K186" i="1"/>
  <c r="J186" i="1"/>
  <c r="D186" i="1"/>
  <c r="C186" i="1"/>
  <c r="T185" i="1"/>
  <c r="S185" i="1"/>
  <c r="Q185" i="1"/>
  <c r="R185" i="1" s="1"/>
  <c r="P185" i="1"/>
  <c r="O185" i="1"/>
  <c r="N185" i="1"/>
  <c r="K185" i="1"/>
  <c r="J185" i="1"/>
  <c r="D185" i="1"/>
  <c r="C185" i="1"/>
  <c r="T184" i="1"/>
  <c r="S184" i="1"/>
  <c r="Q184" i="1"/>
  <c r="R184" i="1" s="1"/>
  <c r="P184" i="1"/>
  <c r="O184" i="1"/>
  <c r="N184" i="1"/>
  <c r="K184" i="1"/>
  <c r="J184" i="1"/>
  <c r="D184" i="1"/>
  <c r="C184" i="1"/>
  <c r="T183" i="1"/>
  <c r="S183" i="1"/>
  <c r="Q183" i="1"/>
  <c r="R183" i="1" s="1"/>
  <c r="P183" i="1"/>
  <c r="O183" i="1"/>
  <c r="N183" i="1"/>
  <c r="K183" i="1"/>
  <c r="J183" i="1"/>
  <c r="D183" i="1"/>
  <c r="C183" i="1"/>
  <c r="T182" i="1"/>
  <c r="S182" i="1"/>
  <c r="Q182" i="1"/>
  <c r="R182" i="1" s="1"/>
  <c r="P182" i="1"/>
  <c r="O182" i="1"/>
  <c r="N182" i="1"/>
  <c r="K182" i="1"/>
  <c r="J182" i="1"/>
  <c r="D182" i="1"/>
  <c r="C182" i="1"/>
  <c r="T181" i="1"/>
  <c r="S181" i="1"/>
  <c r="Q181" i="1"/>
  <c r="R181" i="1" s="1"/>
  <c r="P181" i="1"/>
  <c r="O181" i="1"/>
  <c r="N181" i="1"/>
  <c r="K181" i="1"/>
  <c r="J181" i="1"/>
  <c r="L181" i="1" s="1"/>
  <c r="D181" i="1"/>
  <c r="C181" i="1"/>
  <c r="T180" i="1"/>
  <c r="S180" i="1"/>
  <c r="Q180" i="1"/>
  <c r="R180" i="1" s="1"/>
  <c r="P180" i="1"/>
  <c r="O180" i="1"/>
  <c r="N180" i="1"/>
  <c r="K180" i="1"/>
  <c r="J180" i="1"/>
  <c r="D180" i="1"/>
  <c r="C180" i="1"/>
  <c r="T179" i="1"/>
  <c r="S179" i="1"/>
  <c r="Q179" i="1"/>
  <c r="R179" i="1" s="1"/>
  <c r="P179" i="1"/>
  <c r="O179" i="1"/>
  <c r="N179" i="1"/>
  <c r="K179" i="1"/>
  <c r="J179" i="1"/>
  <c r="D179" i="1"/>
  <c r="C179" i="1"/>
  <c r="T178" i="1"/>
  <c r="S178" i="1"/>
  <c r="Q178" i="1"/>
  <c r="R178" i="1" s="1"/>
  <c r="P178" i="1"/>
  <c r="O178" i="1"/>
  <c r="N178" i="1"/>
  <c r="K178" i="1"/>
  <c r="J178" i="1"/>
  <c r="D178" i="1"/>
  <c r="C178" i="1"/>
  <c r="T177" i="1"/>
  <c r="S177" i="1"/>
  <c r="Q177" i="1"/>
  <c r="R177" i="1" s="1"/>
  <c r="P177" i="1"/>
  <c r="O177" i="1"/>
  <c r="N177" i="1"/>
  <c r="K177" i="1"/>
  <c r="J177" i="1"/>
  <c r="L177" i="1" s="1"/>
  <c r="D177" i="1"/>
  <c r="C177" i="1"/>
  <c r="T176" i="1"/>
  <c r="S176" i="1"/>
  <c r="Q176" i="1"/>
  <c r="R176" i="1" s="1"/>
  <c r="P176" i="1"/>
  <c r="O176" i="1"/>
  <c r="N176" i="1"/>
  <c r="K176" i="1"/>
  <c r="J176" i="1"/>
  <c r="D176" i="1"/>
  <c r="C176" i="1"/>
  <c r="T175" i="1"/>
  <c r="S175" i="1"/>
  <c r="Q175" i="1"/>
  <c r="R175" i="1" s="1"/>
  <c r="P175" i="1"/>
  <c r="O175" i="1"/>
  <c r="N175" i="1"/>
  <c r="K175" i="1"/>
  <c r="J175" i="1"/>
  <c r="D175" i="1"/>
  <c r="C175" i="1"/>
  <c r="T174" i="1"/>
  <c r="S174" i="1"/>
  <c r="Q174" i="1"/>
  <c r="R174" i="1" s="1"/>
  <c r="P174" i="1"/>
  <c r="O174" i="1"/>
  <c r="N174" i="1"/>
  <c r="K174" i="1"/>
  <c r="J174" i="1"/>
  <c r="D174" i="1"/>
  <c r="C174" i="1"/>
  <c r="T173" i="1"/>
  <c r="S173" i="1"/>
  <c r="Q173" i="1"/>
  <c r="R173" i="1" s="1"/>
  <c r="P173" i="1"/>
  <c r="O173" i="1"/>
  <c r="N173" i="1"/>
  <c r="K173" i="1"/>
  <c r="J173" i="1"/>
  <c r="D173" i="1"/>
  <c r="C173" i="1"/>
  <c r="T172" i="1"/>
  <c r="S172" i="1"/>
  <c r="Q172" i="1"/>
  <c r="R172" i="1" s="1"/>
  <c r="P172" i="1"/>
  <c r="O172" i="1"/>
  <c r="N172" i="1"/>
  <c r="K172" i="1"/>
  <c r="J172" i="1"/>
  <c r="D172" i="1"/>
  <c r="C172" i="1"/>
  <c r="T171" i="1"/>
  <c r="S171" i="1"/>
  <c r="Q171" i="1"/>
  <c r="R171" i="1" s="1"/>
  <c r="P171" i="1"/>
  <c r="O171" i="1"/>
  <c r="N171" i="1"/>
  <c r="K171" i="1"/>
  <c r="J171" i="1"/>
  <c r="D171" i="1"/>
  <c r="C171" i="1"/>
  <c r="T170" i="1"/>
  <c r="S170" i="1"/>
  <c r="Q170" i="1"/>
  <c r="R170" i="1" s="1"/>
  <c r="P170" i="1"/>
  <c r="O170" i="1"/>
  <c r="N170" i="1"/>
  <c r="K170" i="1"/>
  <c r="J170" i="1"/>
  <c r="D170" i="1"/>
  <c r="C170" i="1"/>
  <c r="T169" i="1"/>
  <c r="S169" i="1"/>
  <c r="Q169" i="1"/>
  <c r="R169" i="1" s="1"/>
  <c r="P169" i="1"/>
  <c r="O169" i="1"/>
  <c r="N169" i="1"/>
  <c r="K169" i="1"/>
  <c r="J169" i="1"/>
  <c r="L169" i="1" s="1"/>
  <c r="D169" i="1"/>
  <c r="C169" i="1"/>
  <c r="T168" i="1"/>
  <c r="S168" i="1"/>
  <c r="Q168" i="1"/>
  <c r="R168" i="1" s="1"/>
  <c r="P168" i="1"/>
  <c r="O168" i="1"/>
  <c r="N168" i="1"/>
  <c r="K168" i="1"/>
  <c r="J168" i="1"/>
  <c r="D168" i="1"/>
  <c r="C168" i="1"/>
  <c r="T167" i="1"/>
  <c r="S167" i="1"/>
  <c r="Q167" i="1"/>
  <c r="R167" i="1" s="1"/>
  <c r="P167" i="1"/>
  <c r="O167" i="1"/>
  <c r="N167" i="1"/>
  <c r="K167" i="1"/>
  <c r="J167" i="1"/>
  <c r="L167" i="1" s="1"/>
  <c r="D167" i="1"/>
  <c r="C167" i="1"/>
  <c r="T166" i="1"/>
  <c r="S166" i="1"/>
  <c r="Q166" i="1"/>
  <c r="R166" i="1" s="1"/>
  <c r="P166" i="1"/>
  <c r="O166" i="1"/>
  <c r="N166" i="1"/>
  <c r="K166" i="1"/>
  <c r="J166" i="1"/>
  <c r="D166" i="1"/>
  <c r="C166" i="1"/>
  <c r="T165" i="1"/>
  <c r="S165" i="1"/>
  <c r="Q165" i="1"/>
  <c r="R165" i="1" s="1"/>
  <c r="P165" i="1"/>
  <c r="O165" i="1"/>
  <c r="N165" i="1"/>
  <c r="K165" i="1"/>
  <c r="J165" i="1"/>
  <c r="D165" i="1"/>
  <c r="C165" i="1"/>
  <c r="T164" i="1"/>
  <c r="S164" i="1"/>
  <c r="Q164" i="1"/>
  <c r="R164" i="1" s="1"/>
  <c r="P164" i="1"/>
  <c r="O164" i="1"/>
  <c r="N164" i="1"/>
  <c r="K164" i="1"/>
  <c r="J164" i="1"/>
  <c r="D164" i="1"/>
  <c r="C164" i="1"/>
  <c r="T163" i="1"/>
  <c r="S163" i="1"/>
  <c r="Q163" i="1"/>
  <c r="R163" i="1" s="1"/>
  <c r="P163" i="1"/>
  <c r="O163" i="1"/>
  <c r="N163" i="1"/>
  <c r="K163" i="1"/>
  <c r="J163" i="1"/>
  <c r="D163" i="1"/>
  <c r="C163" i="1"/>
  <c r="T162" i="1"/>
  <c r="S162" i="1"/>
  <c r="Q162" i="1"/>
  <c r="R162" i="1" s="1"/>
  <c r="P162" i="1"/>
  <c r="O162" i="1"/>
  <c r="N162" i="1"/>
  <c r="K162" i="1"/>
  <c r="J162" i="1"/>
  <c r="D162" i="1"/>
  <c r="C162" i="1"/>
  <c r="T161" i="1"/>
  <c r="S161" i="1"/>
  <c r="Q161" i="1"/>
  <c r="R161" i="1" s="1"/>
  <c r="P161" i="1"/>
  <c r="O161" i="1"/>
  <c r="N161" i="1"/>
  <c r="K161" i="1"/>
  <c r="J161" i="1"/>
  <c r="D161" i="1"/>
  <c r="C161" i="1"/>
  <c r="T160" i="1"/>
  <c r="S160" i="1"/>
  <c r="R160" i="1"/>
  <c r="Q160" i="1"/>
  <c r="P160" i="1"/>
  <c r="O160" i="1"/>
  <c r="N160" i="1"/>
  <c r="K160" i="1"/>
  <c r="J160" i="1"/>
  <c r="L160" i="1" s="1"/>
  <c r="D160" i="1"/>
  <c r="C160" i="1"/>
  <c r="T159" i="1"/>
  <c r="S159" i="1"/>
  <c r="Q159" i="1"/>
  <c r="R159" i="1" s="1"/>
  <c r="P159" i="1"/>
  <c r="O159" i="1"/>
  <c r="N159" i="1"/>
  <c r="K159" i="1"/>
  <c r="J159" i="1"/>
  <c r="D159" i="1"/>
  <c r="C159" i="1"/>
  <c r="T158" i="1"/>
  <c r="S158" i="1"/>
  <c r="Q158" i="1"/>
  <c r="R158" i="1" s="1"/>
  <c r="P158" i="1"/>
  <c r="O158" i="1"/>
  <c r="N158" i="1"/>
  <c r="K158" i="1"/>
  <c r="J158" i="1"/>
  <c r="L158" i="1" s="1"/>
  <c r="D158" i="1"/>
  <c r="C158" i="1"/>
  <c r="T157" i="1"/>
  <c r="S157" i="1"/>
  <c r="Q157" i="1"/>
  <c r="R157" i="1" s="1"/>
  <c r="P157" i="1"/>
  <c r="O157" i="1"/>
  <c r="N157" i="1"/>
  <c r="K157" i="1"/>
  <c r="J157" i="1"/>
  <c r="D157" i="1"/>
  <c r="C157" i="1"/>
  <c r="T156" i="1"/>
  <c r="S156" i="1"/>
  <c r="Q156" i="1"/>
  <c r="R156" i="1" s="1"/>
  <c r="P156" i="1"/>
  <c r="O156" i="1"/>
  <c r="N156" i="1"/>
  <c r="K156" i="1"/>
  <c r="J156" i="1"/>
  <c r="L156" i="1" s="1"/>
  <c r="D156" i="1"/>
  <c r="C156" i="1"/>
  <c r="T155" i="1"/>
  <c r="S155" i="1"/>
  <c r="Q155" i="1"/>
  <c r="R155" i="1" s="1"/>
  <c r="P155" i="1"/>
  <c r="O155" i="1"/>
  <c r="N155" i="1"/>
  <c r="K155" i="1"/>
  <c r="J155" i="1"/>
  <c r="D155" i="1"/>
  <c r="C155" i="1"/>
  <c r="T154" i="1"/>
  <c r="S154" i="1"/>
  <c r="Q154" i="1"/>
  <c r="R154" i="1" s="1"/>
  <c r="P154" i="1"/>
  <c r="O154" i="1"/>
  <c r="N154" i="1"/>
  <c r="K154" i="1"/>
  <c r="J154" i="1"/>
  <c r="D154" i="1"/>
  <c r="C154" i="1"/>
  <c r="T153" i="1"/>
  <c r="S153" i="1"/>
  <c r="Q153" i="1"/>
  <c r="R153" i="1" s="1"/>
  <c r="P153" i="1"/>
  <c r="O153" i="1"/>
  <c r="N153" i="1"/>
  <c r="K153" i="1"/>
  <c r="J153" i="1"/>
  <c r="D153" i="1"/>
  <c r="C153" i="1"/>
  <c r="T152" i="1"/>
  <c r="S152" i="1"/>
  <c r="Q152" i="1"/>
  <c r="R152" i="1" s="1"/>
  <c r="P152" i="1"/>
  <c r="O152" i="1"/>
  <c r="N152" i="1"/>
  <c r="K152" i="1"/>
  <c r="J152" i="1"/>
  <c r="L152" i="1" s="1"/>
  <c r="D152" i="1"/>
  <c r="C152" i="1"/>
  <c r="T151" i="1"/>
  <c r="S151" i="1"/>
  <c r="Q151" i="1"/>
  <c r="R151" i="1" s="1"/>
  <c r="P151" i="1"/>
  <c r="O151" i="1"/>
  <c r="N151" i="1"/>
  <c r="K151" i="1"/>
  <c r="J151" i="1"/>
  <c r="D151" i="1"/>
  <c r="C151" i="1"/>
  <c r="T150" i="1"/>
  <c r="S150" i="1"/>
  <c r="Q150" i="1"/>
  <c r="R150" i="1" s="1"/>
  <c r="P150" i="1"/>
  <c r="O150" i="1"/>
  <c r="N150" i="1"/>
  <c r="K150" i="1"/>
  <c r="J150" i="1"/>
  <c r="L150" i="1" s="1"/>
  <c r="D150" i="1"/>
  <c r="C150" i="1"/>
  <c r="T149" i="1"/>
  <c r="S149" i="1"/>
  <c r="Q149" i="1"/>
  <c r="R149" i="1" s="1"/>
  <c r="P149" i="1"/>
  <c r="O149" i="1"/>
  <c r="N149" i="1"/>
  <c r="K149" i="1"/>
  <c r="J149" i="1"/>
  <c r="D149" i="1"/>
  <c r="C149" i="1"/>
  <c r="T148" i="1"/>
  <c r="S148" i="1"/>
  <c r="Q148" i="1"/>
  <c r="R148" i="1" s="1"/>
  <c r="P148" i="1"/>
  <c r="O148" i="1"/>
  <c r="N148" i="1"/>
  <c r="K148" i="1"/>
  <c r="J148" i="1"/>
  <c r="L148" i="1" s="1"/>
  <c r="D148" i="1"/>
  <c r="C148" i="1"/>
  <c r="T147" i="1"/>
  <c r="S147" i="1"/>
  <c r="Q147" i="1"/>
  <c r="R147" i="1" s="1"/>
  <c r="P147" i="1"/>
  <c r="O147" i="1"/>
  <c r="N147" i="1"/>
  <c r="K147" i="1"/>
  <c r="J147" i="1"/>
  <c r="D147" i="1"/>
  <c r="C147" i="1"/>
  <c r="T146" i="1"/>
  <c r="S146" i="1"/>
  <c r="Q146" i="1"/>
  <c r="R146" i="1" s="1"/>
  <c r="P146" i="1"/>
  <c r="O146" i="1"/>
  <c r="N146" i="1"/>
  <c r="K146" i="1"/>
  <c r="J146" i="1"/>
  <c r="D146" i="1"/>
  <c r="C146" i="1"/>
  <c r="T145" i="1"/>
  <c r="S145" i="1"/>
  <c r="Q145" i="1"/>
  <c r="R145" i="1" s="1"/>
  <c r="P145" i="1"/>
  <c r="O145" i="1"/>
  <c r="N145" i="1"/>
  <c r="K145" i="1"/>
  <c r="J145" i="1"/>
  <c r="D145" i="1"/>
  <c r="C145" i="1"/>
  <c r="T144" i="1"/>
  <c r="S144" i="1"/>
  <c r="Q144" i="1"/>
  <c r="R144" i="1" s="1"/>
  <c r="P144" i="1"/>
  <c r="O144" i="1"/>
  <c r="N144" i="1"/>
  <c r="K144" i="1"/>
  <c r="J144" i="1"/>
  <c r="D144" i="1"/>
  <c r="C144" i="1"/>
  <c r="T143" i="1"/>
  <c r="S143" i="1"/>
  <c r="Q143" i="1"/>
  <c r="R143" i="1" s="1"/>
  <c r="P143" i="1"/>
  <c r="O143" i="1"/>
  <c r="N143" i="1"/>
  <c r="K143" i="1"/>
  <c r="J143" i="1"/>
  <c r="D143" i="1"/>
  <c r="C143" i="1"/>
  <c r="T142" i="1"/>
  <c r="S142" i="1"/>
  <c r="Q142" i="1"/>
  <c r="R142" i="1" s="1"/>
  <c r="P142" i="1"/>
  <c r="O142" i="1"/>
  <c r="N142" i="1"/>
  <c r="K142" i="1"/>
  <c r="J142" i="1"/>
  <c r="D142" i="1"/>
  <c r="C142" i="1"/>
  <c r="T141" i="1"/>
  <c r="S141" i="1"/>
  <c r="Q141" i="1"/>
  <c r="R141" i="1" s="1"/>
  <c r="P141" i="1"/>
  <c r="O141" i="1"/>
  <c r="N141" i="1"/>
  <c r="K141" i="1"/>
  <c r="J141" i="1"/>
  <c r="D141" i="1"/>
  <c r="C141" i="1"/>
  <c r="T140" i="1"/>
  <c r="S140" i="1"/>
  <c r="Q140" i="1"/>
  <c r="R140" i="1" s="1"/>
  <c r="P140" i="1"/>
  <c r="O140" i="1"/>
  <c r="N140" i="1"/>
  <c r="K140" i="1"/>
  <c r="J140" i="1"/>
  <c r="D140" i="1"/>
  <c r="C140" i="1"/>
  <c r="T139" i="1"/>
  <c r="S139" i="1"/>
  <c r="Q139" i="1"/>
  <c r="R139" i="1" s="1"/>
  <c r="P139" i="1"/>
  <c r="O139" i="1"/>
  <c r="N139" i="1"/>
  <c r="K139" i="1"/>
  <c r="J139" i="1"/>
  <c r="D139" i="1"/>
  <c r="C139" i="1"/>
  <c r="T138" i="1"/>
  <c r="S138" i="1"/>
  <c r="Q138" i="1"/>
  <c r="R138" i="1" s="1"/>
  <c r="P138" i="1"/>
  <c r="O138" i="1"/>
  <c r="N138" i="1"/>
  <c r="K138" i="1"/>
  <c r="J138" i="1"/>
  <c r="D138" i="1"/>
  <c r="C138" i="1"/>
  <c r="T137" i="1"/>
  <c r="S137" i="1"/>
  <c r="Q137" i="1"/>
  <c r="R137" i="1" s="1"/>
  <c r="P137" i="1"/>
  <c r="O137" i="1"/>
  <c r="N137" i="1"/>
  <c r="K137" i="1"/>
  <c r="J137" i="1"/>
  <c r="D137" i="1"/>
  <c r="C137" i="1"/>
  <c r="T136" i="1"/>
  <c r="S136" i="1"/>
  <c r="R136" i="1"/>
  <c r="Q136" i="1"/>
  <c r="P136" i="1"/>
  <c r="O136" i="1"/>
  <c r="N136" i="1"/>
  <c r="K136" i="1"/>
  <c r="J136" i="1"/>
  <c r="D136" i="1"/>
  <c r="C136" i="1"/>
  <c r="T135" i="1"/>
  <c r="S135" i="1"/>
  <c r="Q135" i="1"/>
  <c r="R135" i="1" s="1"/>
  <c r="P135" i="1"/>
  <c r="O135" i="1"/>
  <c r="N135" i="1"/>
  <c r="K135" i="1"/>
  <c r="J135" i="1"/>
  <c r="D135" i="1"/>
  <c r="C135" i="1"/>
  <c r="T134" i="1"/>
  <c r="S134" i="1"/>
  <c r="Q134" i="1"/>
  <c r="R134" i="1" s="1"/>
  <c r="P134" i="1"/>
  <c r="O134" i="1"/>
  <c r="N134" i="1"/>
  <c r="K134" i="1"/>
  <c r="J134" i="1"/>
  <c r="D134" i="1"/>
  <c r="C134" i="1"/>
  <c r="T133" i="1"/>
  <c r="S133" i="1"/>
  <c r="Q133" i="1"/>
  <c r="R133" i="1" s="1"/>
  <c r="P133" i="1"/>
  <c r="O133" i="1"/>
  <c r="N133" i="1"/>
  <c r="K133" i="1"/>
  <c r="J133" i="1"/>
  <c r="D133" i="1"/>
  <c r="C133" i="1"/>
  <c r="T132" i="1"/>
  <c r="S132" i="1"/>
  <c r="Q132" i="1"/>
  <c r="R132" i="1" s="1"/>
  <c r="P132" i="1"/>
  <c r="O132" i="1"/>
  <c r="N132" i="1"/>
  <c r="K132" i="1"/>
  <c r="J132" i="1"/>
  <c r="D132" i="1"/>
  <c r="C132" i="1"/>
  <c r="T131" i="1"/>
  <c r="S131" i="1"/>
  <c r="Q131" i="1"/>
  <c r="R131" i="1" s="1"/>
  <c r="P131" i="1"/>
  <c r="O131" i="1"/>
  <c r="N131" i="1"/>
  <c r="K131" i="1"/>
  <c r="J131" i="1"/>
  <c r="D131" i="1"/>
  <c r="C131" i="1"/>
  <c r="T130" i="1"/>
  <c r="S130" i="1"/>
  <c r="Q130" i="1"/>
  <c r="R130" i="1" s="1"/>
  <c r="P130" i="1"/>
  <c r="O130" i="1"/>
  <c r="N130" i="1"/>
  <c r="K130" i="1"/>
  <c r="J130" i="1"/>
  <c r="D130" i="1"/>
  <c r="C130" i="1"/>
  <c r="T129" i="1"/>
  <c r="S129" i="1"/>
  <c r="Q129" i="1"/>
  <c r="R129" i="1" s="1"/>
  <c r="P129" i="1"/>
  <c r="O129" i="1"/>
  <c r="N129" i="1"/>
  <c r="K129" i="1"/>
  <c r="J129" i="1"/>
  <c r="D129" i="1"/>
  <c r="C129" i="1"/>
  <c r="T128" i="1"/>
  <c r="S128" i="1"/>
  <c r="R128" i="1"/>
  <c r="Q128" i="1"/>
  <c r="P128" i="1"/>
  <c r="O128" i="1"/>
  <c r="N128" i="1"/>
  <c r="K128" i="1"/>
  <c r="J128" i="1"/>
  <c r="L128" i="1" s="1"/>
  <c r="D128" i="1"/>
  <c r="C128" i="1"/>
  <c r="T127" i="1"/>
  <c r="S127" i="1"/>
  <c r="Q127" i="1"/>
  <c r="R127" i="1" s="1"/>
  <c r="P127" i="1"/>
  <c r="O127" i="1"/>
  <c r="N127" i="1"/>
  <c r="K127" i="1"/>
  <c r="J127" i="1"/>
  <c r="D127" i="1"/>
  <c r="C127" i="1"/>
  <c r="T126" i="1"/>
  <c r="S126" i="1"/>
  <c r="Q126" i="1"/>
  <c r="R126" i="1" s="1"/>
  <c r="P126" i="1"/>
  <c r="O126" i="1"/>
  <c r="N126" i="1"/>
  <c r="K126" i="1"/>
  <c r="J126" i="1"/>
  <c r="L126" i="1" s="1"/>
  <c r="D126" i="1"/>
  <c r="C126" i="1"/>
  <c r="T125" i="1"/>
  <c r="S125" i="1"/>
  <c r="Q125" i="1"/>
  <c r="R125" i="1" s="1"/>
  <c r="P125" i="1"/>
  <c r="O125" i="1"/>
  <c r="N125" i="1"/>
  <c r="K125" i="1"/>
  <c r="J125" i="1"/>
  <c r="D125" i="1"/>
  <c r="C125" i="1"/>
  <c r="T124" i="1"/>
  <c r="S124" i="1"/>
  <c r="Q124" i="1"/>
  <c r="R124" i="1" s="1"/>
  <c r="P124" i="1"/>
  <c r="O124" i="1"/>
  <c r="N124" i="1"/>
  <c r="K124" i="1"/>
  <c r="J124" i="1"/>
  <c r="L124" i="1" s="1"/>
  <c r="D124" i="1"/>
  <c r="C124" i="1"/>
  <c r="T123" i="1"/>
  <c r="S123" i="1"/>
  <c r="Q123" i="1"/>
  <c r="R123" i="1" s="1"/>
  <c r="P123" i="1"/>
  <c r="O123" i="1"/>
  <c r="N123" i="1"/>
  <c r="K123" i="1"/>
  <c r="J123" i="1"/>
  <c r="D123" i="1"/>
  <c r="C123" i="1"/>
  <c r="T122" i="1"/>
  <c r="S122" i="1"/>
  <c r="Q122" i="1"/>
  <c r="R122" i="1" s="1"/>
  <c r="P122" i="1"/>
  <c r="O122" i="1"/>
  <c r="N122" i="1"/>
  <c r="K122" i="1"/>
  <c r="J122" i="1"/>
  <c r="D122" i="1"/>
  <c r="C122" i="1"/>
  <c r="T121" i="1"/>
  <c r="S121" i="1"/>
  <c r="Q121" i="1"/>
  <c r="R121" i="1" s="1"/>
  <c r="P121" i="1"/>
  <c r="O121" i="1"/>
  <c r="N121" i="1"/>
  <c r="K121" i="1"/>
  <c r="J121" i="1"/>
  <c r="D121" i="1"/>
  <c r="C121" i="1"/>
  <c r="T120" i="1"/>
  <c r="S120" i="1"/>
  <c r="Q120" i="1"/>
  <c r="R120" i="1" s="1"/>
  <c r="P120" i="1"/>
  <c r="O120" i="1"/>
  <c r="N120" i="1"/>
  <c r="K120" i="1"/>
  <c r="J120" i="1"/>
  <c r="L120" i="1" s="1"/>
  <c r="D120" i="1"/>
  <c r="C120" i="1"/>
  <c r="T119" i="1"/>
  <c r="S119" i="1"/>
  <c r="Q119" i="1"/>
  <c r="R119" i="1" s="1"/>
  <c r="P119" i="1"/>
  <c r="O119" i="1"/>
  <c r="N119" i="1"/>
  <c r="K119" i="1"/>
  <c r="J119" i="1"/>
  <c r="D119" i="1"/>
  <c r="C119" i="1"/>
  <c r="T118" i="1"/>
  <c r="S118" i="1"/>
  <c r="Q118" i="1"/>
  <c r="R118" i="1" s="1"/>
  <c r="P118" i="1"/>
  <c r="O118" i="1"/>
  <c r="N118" i="1"/>
  <c r="K118" i="1"/>
  <c r="J118" i="1"/>
  <c r="L118" i="1" s="1"/>
  <c r="D118" i="1"/>
  <c r="C118" i="1"/>
  <c r="T117" i="1"/>
  <c r="S117" i="1"/>
  <c r="Q117" i="1"/>
  <c r="R117" i="1" s="1"/>
  <c r="P117" i="1"/>
  <c r="O117" i="1"/>
  <c r="N117" i="1"/>
  <c r="K117" i="1"/>
  <c r="J117" i="1"/>
  <c r="D117" i="1"/>
  <c r="C117" i="1"/>
  <c r="T116" i="1"/>
  <c r="S116" i="1"/>
  <c r="Q116" i="1"/>
  <c r="R116" i="1" s="1"/>
  <c r="P116" i="1"/>
  <c r="O116" i="1"/>
  <c r="N116" i="1"/>
  <c r="K116" i="1"/>
  <c r="J116" i="1"/>
  <c r="L116" i="1" s="1"/>
  <c r="D116" i="1"/>
  <c r="C116" i="1"/>
  <c r="T115" i="1"/>
  <c r="S115" i="1"/>
  <c r="Q115" i="1"/>
  <c r="R115" i="1" s="1"/>
  <c r="P115" i="1"/>
  <c r="O115" i="1"/>
  <c r="N115" i="1"/>
  <c r="K115" i="1"/>
  <c r="J115" i="1"/>
  <c r="D115" i="1"/>
  <c r="C115" i="1"/>
  <c r="T114" i="1"/>
  <c r="S114" i="1"/>
  <c r="Q114" i="1"/>
  <c r="R114" i="1" s="1"/>
  <c r="P114" i="1"/>
  <c r="O114" i="1"/>
  <c r="N114" i="1"/>
  <c r="K114" i="1"/>
  <c r="J114" i="1"/>
  <c r="D114" i="1"/>
  <c r="C114" i="1"/>
  <c r="T113" i="1"/>
  <c r="S113" i="1"/>
  <c r="Q113" i="1"/>
  <c r="R113" i="1" s="1"/>
  <c r="P113" i="1"/>
  <c r="O113" i="1"/>
  <c r="N113" i="1"/>
  <c r="K113" i="1"/>
  <c r="J113" i="1"/>
  <c r="D113" i="1"/>
  <c r="C113" i="1"/>
  <c r="T112" i="1"/>
  <c r="S112" i="1"/>
  <c r="Q112" i="1"/>
  <c r="R112" i="1" s="1"/>
  <c r="P112" i="1"/>
  <c r="O112" i="1"/>
  <c r="N112" i="1"/>
  <c r="K112" i="1"/>
  <c r="J112" i="1"/>
  <c r="D112" i="1"/>
  <c r="C112" i="1"/>
  <c r="T111" i="1"/>
  <c r="S111" i="1"/>
  <c r="Q111" i="1"/>
  <c r="R111" i="1" s="1"/>
  <c r="P111" i="1"/>
  <c r="O111" i="1"/>
  <c r="N111" i="1"/>
  <c r="K111" i="1"/>
  <c r="J111" i="1"/>
  <c r="D111" i="1"/>
  <c r="C111" i="1"/>
  <c r="T110" i="1"/>
  <c r="S110" i="1"/>
  <c r="Q110" i="1"/>
  <c r="R110" i="1" s="1"/>
  <c r="P110" i="1"/>
  <c r="O110" i="1"/>
  <c r="N110" i="1"/>
  <c r="K110" i="1"/>
  <c r="J110" i="1"/>
  <c r="D110" i="1"/>
  <c r="C110" i="1"/>
  <c r="T109" i="1"/>
  <c r="S109" i="1"/>
  <c r="Q109" i="1"/>
  <c r="R109" i="1" s="1"/>
  <c r="P109" i="1"/>
  <c r="O109" i="1"/>
  <c r="N109" i="1"/>
  <c r="K109" i="1"/>
  <c r="J109" i="1"/>
  <c r="D109" i="1"/>
  <c r="C109" i="1"/>
  <c r="T108" i="1"/>
  <c r="S108" i="1"/>
  <c r="Q108" i="1"/>
  <c r="R108" i="1" s="1"/>
  <c r="P108" i="1"/>
  <c r="O108" i="1"/>
  <c r="N108" i="1"/>
  <c r="K108" i="1"/>
  <c r="J108" i="1"/>
  <c r="D108" i="1"/>
  <c r="C108" i="1"/>
  <c r="T107" i="1"/>
  <c r="S107" i="1"/>
  <c r="Q107" i="1"/>
  <c r="R107" i="1" s="1"/>
  <c r="P107" i="1"/>
  <c r="O107" i="1"/>
  <c r="N107" i="1"/>
  <c r="K107" i="1"/>
  <c r="J107" i="1"/>
  <c r="D107" i="1"/>
  <c r="C107" i="1"/>
  <c r="T106" i="1"/>
  <c r="S106" i="1"/>
  <c r="Q106" i="1"/>
  <c r="R106" i="1" s="1"/>
  <c r="P106" i="1"/>
  <c r="O106" i="1"/>
  <c r="N106" i="1"/>
  <c r="K106" i="1"/>
  <c r="J106" i="1"/>
  <c r="D106" i="1"/>
  <c r="C106" i="1"/>
  <c r="T105" i="1"/>
  <c r="S105" i="1"/>
  <c r="Q105" i="1"/>
  <c r="R105" i="1" s="1"/>
  <c r="P105" i="1"/>
  <c r="O105" i="1"/>
  <c r="N105" i="1"/>
  <c r="K105" i="1"/>
  <c r="J105" i="1"/>
  <c r="D105" i="1"/>
  <c r="C105" i="1"/>
  <c r="T104" i="1"/>
  <c r="S104" i="1"/>
  <c r="R104" i="1"/>
  <c r="Q104" i="1"/>
  <c r="P104" i="1"/>
  <c r="O104" i="1"/>
  <c r="N104" i="1"/>
  <c r="K104" i="1"/>
  <c r="J104" i="1"/>
  <c r="D104" i="1"/>
  <c r="C104" i="1"/>
  <c r="T103" i="1"/>
  <c r="S103" i="1"/>
  <c r="Q103" i="1"/>
  <c r="R103" i="1" s="1"/>
  <c r="P103" i="1"/>
  <c r="O103" i="1"/>
  <c r="N103" i="1"/>
  <c r="K103" i="1"/>
  <c r="J103" i="1"/>
  <c r="D103" i="1"/>
  <c r="C103" i="1"/>
  <c r="T102" i="1"/>
  <c r="S102" i="1"/>
  <c r="Q102" i="1"/>
  <c r="R102" i="1" s="1"/>
  <c r="P102" i="1"/>
  <c r="O102" i="1"/>
  <c r="N102" i="1"/>
  <c r="K102" i="1"/>
  <c r="J102" i="1"/>
  <c r="D102" i="1"/>
  <c r="C102" i="1"/>
  <c r="T101" i="1"/>
  <c r="S101" i="1"/>
  <c r="Q101" i="1"/>
  <c r="R101" i="1" s="1"/>
  <c r="P101" i="1"/>
  <c r="O101" i="1"/>
  <c r="N101" i="1"/>
  <c r="K101" i="1"/>
  <c r="J101" i="1"/>
  <c r="D101" i="1"/>
  <c r="C101" i="1"/>
  <c r="T100" i="1"/>
  <c r="S100" i="1"/>
  <c r="Q100" i="1"/>
  <c r="R100" i="1" s="1"/>
  <c r="P100" i="1"/>
  <c r="O100" i="1"/>
  <c r="N100" i="1"/>
  <c r="K100" i="1"/>
  <c r="J100" i="1"/>
  <c r="D100" i="1"/>
  <c r="C100" i="1"/>
  <c r="T99" i="1"/>
  <c r="S99" i="1"/>
  <c r="Q99" i="1"/>
  <c r="R99" i="1" s="1"/>
  <c r="P99" i="1"/>
  <c r="O99" i="1"/>
  <c r="N99" i="1"/>
  <c r="K99" i="1"/>
  <c r="J99" i="1"/>
  <c r="D99" i="1"/>
  <c r="C99" i="1"/>
  <c r="T98" i="1"/>
  <c r="S98" i="1"/>
  <c r="Q98" i="1"/>
  <c r="R98" i="1" s="1"/>
  <c r="P98" i="1"/>
  <c r="O98" i="1"/>
  <c r="N98" i="1"/>
  <c r="K98" i="1"/>
  <c r="J98" i="1"/>
  <c r="D98" i="1"/>
  <c r="C98" i="1"/>
  <c r="T97" i="1"/>
  <c r="S97" i="1"/>
  <c r="Q97" i="1"/>
  <c r="R97" i="1" s="1"/>
  <c r="P97" i="1"/>
  <c r="O97" i="1"/>
  <c r="N97" i="1"/>
  <c r="K97" i="1"/>
  <c r="J97" i="1"/>
  <c r="D97" i="1"/>
  <c r="C97" i="1"/>
  <c r="T96" i="1"/>
  <c r="S96" i="1"/>
  <c r="R96" i="1"/>
  <c r="Q96" i="1"/>
  <c r="P96" i="1"/>
  <c r="O96" i="1"/>
  <c r="N96" i="1"/>
  <c r="K96" i="1"/>
  <c r="J96" i="1"/>
  <c r="L96" i="1" s="1"/>
  <c r="D96" i="1"/>
  <c r="C96" i="1"/>
  <c r="T95" i="1"/>
  <c r="S95" i="1"/>
  <c r="Q95" i="1"/>
  <c r="R95" i="1" s="1"/>
  <c r="P95" i="1"/>
  <c r="O95" i="1"/>
  <c r="N95" i="1"/>
  <c r="K95" i="1"/>
  <c r="J95" i="1"/>
  <c r="D95" i="1"/>
  <c r="C95" i="1"/>
  <c r="T94" i="1"/>
  <c r="S94" i="1"/>
  <c r="Q94" i="1"/>
  <c r="R94" i="1" s="1"/>
  <c r="P94" i="1"/>
  <c r="O94" i="1"/>
  <c r="N94" i="1"/>
  <c r="K94" i="1"/>
  <c r="J94" i="1"/>
  <c r="L94" i="1" s="1"/>
  <c r="D94" i="1"/>
  <c r="C94" i="1"/>
  <c r="T93" i="1"/>
  <c r="S93" i="1"/>
  <c r="Q93" i="1"/>
  <c r="R93" i="1" s="1"/>
  <c r="P93" i="1"/>
  <c r="O93" i="1"/>
  <c r="N93" i="1"/>
  <c r="K93" i="1"/>
  <c r="J93" i="1"/>
  <c r="D93" i="1"/>
  <c r="C93" i="1"/>
  <c r="T92" i="1"/>
  <c r="S92" i="1"/>
  <c r="Q92" i="1"/>
  <c r="R92" i="1" s="1"/>
  <c r="P92" i="1"/>
  <c r="O92" i="1"/>
  <c r="N92" i="1"/>
  <c r="K92" i="1"/>
  <c r="J92" i="1"/>
  <c r="L92" i="1" s="1"/>
  <c r="D92" i="1"/>
  <c r="C92" i="1"/>
  <c r="T91" i="1"/>
  <c r="S91" i="1"/>
  <c r="Q91" i="1"/>
  <c r="R91" i="1" s="1"/>
  <c r="P91" i="1"/>
  <c r="O91" i="1"/>
  <c r="N91" i="1"/>
  <c r="K91" i="1"/>
  <c r="J91" i="1"/>
  <c r="D91" i="1"/>
  <c r="C91" i="1"/>
  <c r="T90" i="1"/>
  <c r="S90" i="1"/>
  <c r="Q90" i="1"/>
  <c r="R90" i="1" s="1"/>
  <c r="P90" i="1"/>
  <c r="O90" i="1"/>
  <c r="N90" i="1"/>
  <c r="K90" i="1"/>
  <c r="J90" i="1"/>
  <c r="D90" i="1"/>
  <c r="C90" i="1"/>
  <c r="T89" i="1"/>
  <c r="S89" i="1"/>
  <c r="Q89" i="1"/>
  <c r="R89" i="1" s="1"/>
  <c r="P89" i="1"/>
  <c r="O89" i="1"/>
  <c r="N89" i="1"/>
  <c r="K89" i="1"/>
  <c r="J89" i="1"/>
  <c r="D89" i="1"/>
  <c r="C89" i="1"/>
  <c r="T88" i="1"/>
  <c r="S88" i="1"/>
  <c r="Q88" i="1"/>
  <c r="R88" i="1" s="1"/>
  <c r="P88" i="1"/>
  <c r="O88" i="1"/>
  <c r="N88" i="1"/>
  <c r="K88" i="1"/>
  <c r="J88" i="1"/>
  <c r="L88" i="1" s="1"/>
  <c r="D88" i="1"/>
  <c r="C88" i="1"/>
  <c r="T87" i="1"/>
  <c r="S87" i="1"/>
  <c r="Q87" i="1"/>
  <c r="R87" i="1" s="1"/>
  <c r="P87" i="1"/>
  <c r="O87" i="1"/>
  <c r="N87" i="1"/>
  <c r="K87" i="1"/>
  <c r="J87" i="1"/>
  <c r="D87" i="1"/>
  <c r="C87" i="1"/>
  <c r="T86" i="1"/>
  <c r="S86" i="1"/>
  <c r="Q86" i="1"/>
  <c r="R86" i="1" s="1"/>
  <c r="P86" i="1"/>
  <c r="O86" i="1"/>
  <c r="N86" i="1"/>
  <c r="K86" i="1"/>
  <c r="J86" i="1"/>
  <c r="L86" i="1" s="1"/>
  <c r="D86" i="1"/>
  <c r="C86" i="1"/>
  <c r="T85" i="1"/>
  <c r="S85" i="1"/>
  <c r="Q85" i="1"/>
  <c r="R85" i="1" s="1"/>
  <c r="P85" i="1"/>
  <c r="O85" i="1"/>
  <c r="N85" i="1"/>
  <c r="K85" i="1"/>
  <c r="J85" i="1"/>
  <c r="D85" i="1"/>
  <c r="C85" i="1"/>
  <c r="T84" i="1"/>
  <c r="S84" i="1"/>
  <c r="Q84" i="1"/>
  <c r="R84" i="1" s="1"/>
  <c r="P84" i="1"/>
  <c r="O84" i="1"/>
  <c r="N84" i="1"/>
  <c r="K84" i="1"/>
  <c r="J84" i="1"/>
  <c r="L84" i="1" s="1"/>
  <c r="D84" i="1"/>
  <c r="C84" i="1"/>
  <c r="T83" i="1"/>
  <c r="S83" i="1"/>
  <c r="Q83" i="1"/>
  <c r="R83" i="1" s="1"/>
  <c r="P83" i="1"/>
  <c r="O83" i="1"/>
  <c r="N83" i="1"/>
  <c r="K83" i="1"/>
  <c r="J83" i="1"/>
  <c r="D83" i="1"/>
  <c r="C83" i="1"/>
  <c r="T82" i="1"/>
  <c r="S82" i="1"/>
  <c r="Q82" i="1"/>
  <c r="R82" i="1" s="1"/>
  <c r="P82" i="1"/>
  <c r="O82" i="1"/>
  <c r="N82" i="1"/>
  <c r="K82" i="1"/>
  <c r="J82" i="1"/>
  <c r="D82" i="1"/>
  <c r="C82" i="1"/>
  <c r="T81" i="1"/>
  <c r="S81" i="1"/>
  <c r="Q81" i="1"/>
  <c r="R81" i="1" s="1"/>
  <c r="P81" i="1"/>
  <c r="O81" i="1"/>
  <c r="N81" i="1"/>
  <c r="K81" i="1"/>
  <c r="J81" i="1"/>
  <c r="D81" i="1"/>
  <c r="C81" i="1"/>
  <c r="T80" i="1"/>
  <c r="S80" i="1"/>
  <c r="Q80" i="1"/>
  <c r="R80" i="1" s="1"/>
  <c r="P80" i="1"/>
  <c r="O80" i="1"/>
  <c r="N80" i="1"/>
  <c r="K80" i="1"/>
  <c r="J80" i="1"/>
  <c r="D80" i="1"/>
  <c r="C80" i="1"/>
  <c r="T79" i="1"/>
  <c r="S79" i="1"/>
  <c r="Q79" i="1"/>
  <c r="R79" i="1" s="1"/>
  <c r="P79" i="1"/>
  <c r="O79" i="1"/>
  <c r="N79" i="1"/>
  <c r="K79" i="1"/>
  <c r="J79" i="1"/>
  <c r="D79" i="1"/>
  <c r="C79" i="1"/>
  <c r="T78" i="1"/>
  <c r="S78" i="1"/>
  <c r="Q78" i="1"/>
  <c r="R78" i="1" s="1"/>
  <c r="P78" i="1"/>
  <c r="O78" i="1"/>
  <c r="N78" i="1"/>
  <c r="K78" i="1"/>
  <c r="J78" i="1"/>
  <c r="D78" i="1"/>
  <c r="C78" i="1"/>
  <c r="T77" i="1"/>
  <c r="S77" i="1"/>
  <c r="Q77" i="1"/>
  <c r="R77" i="1" s="1"/>
  <c r="P77" i="1"/>
  <c r="O77" i="1"/>
  <c r="N77" i="1"/>
  <c r="K77" i="1"/>
  <c r="J77" i="1"/>
  <c r="D77" i="1"/>
  <c r="C77" i="1"/>
  <c r="T76" i="1"/>
  <c r="S76" i="1"/>
  <c r="Q76" i="1"/>
  <c r="R76" i="1" s="1"/>
  <c r="P76" i="1"/>
  <c r="O76" i="1"/>
  <c r="N76" i="1"/>
  <c r="K76" i="1"/>
  <c r="J76" i="1"/>
  <c r="D76" i="1"/>
  <c r="C76" i="1"/>
  <c r="T75" i="1"/>
  <c r="S75" i="1"/>
  <c r="Q75" i="1"/>
  <c r="R75" i="1" s="1"/>
  <c r="P75" i="1"/>
  <c r="O75" i="1"/>
  <c r="N75" i="1"/>
  <c r="K75" i="1"/>
  <c r="J75" i="1"/>
  <c r="D75" i="1"/>
  <c r="C75" i="1"/>
  <c r="T74" i="1"/>
  <c r="S74" i="1"/>
  <c r="Q74" i="1"/>
  <c r="R74" i="1" s="1"/>
  <c r="P74" i="1"/>
  <c r="O74" i="1"/>
  <c r="N74" i="1"/>
  <c r="K74" i="1"/>
  <c r="J74" i="1"/>
  <c r="D74" i="1"/>
  <c r="C74" i="1"/>
  <c r="T73" i="1"/>
  <c r="S73" i="1"/>
  <c r="Q73" i="1"/>
  <c r="R73" i="1" s="1"/>
  <c r="P73" i="1"/>
  <c r="O73" i="1"/>
  <c r="N73" i="1"/>
  <c r="K73" i="1"/>
  <c r="J73" i="1"/>
  <c r="D73" i="1"/>
  <c r="C73" i="1"/>
  <c r="T72" i="1"/>
  <c r="S72" i="1"/>
  <c r="R72" i="1"/>
  <c r="Q72" i="1"/>
  <c r="P72" i="1"/>
  <c r="O72" i="1"/>
  <c r="N72" i="1"/>
  <c r="K72" i="1"/>
  <c r="J72" i="1"/>
  <c r="D72" i="1"/>
  <c r="C72" i="1"/>
  <c r="T71" i="1"/>
  <c r="S71" i="1"/>
  <c r="Q71" i="1"/>
  <c r="R71" i="1" s="1"/>
  <c r="P71" i="1"/>
  <c r="O71" i="1"/>
  <c r="N71" i="1"/>
  <c r="K71" i="1"/>
  <c r="J71" i="1"/>
  <c r="D71" i="1"/>
  <c r="C71" i="1"/>
  <c r="T70" i="1"/>
  <c r="S70" i="1"/>
  <c r="Q70" i="1"/>
  <c r="R70" i="1" s="1"/>
  <c r="P70" i="1"/>
  <c r="O70" i="1"/>
  <c r="N70" i="1"/>
  <c r="K70" i="1"/>
  <c r="J70" i="1"/>
  <c r="D70" i="1"/>
  <c r="C70" i="1"/>
  <c r="T69" i="1"/>
  <c r="S69" i="1"/>
  <c r="Q69" i="1"/>
  <c r="R69" i="1" s="1"/>
  <c r="P69" i="1"/>
  <c r="O69" i="1"/>
  <c r="N69" i="1"/>
  <c r="K69" i="1"/>
  <c r="J69" i="1"/>
  <c r="D69" i="1"/>
  <c r="C69" i="1"/>
  <c r="T68" i="1"/>
  <c r="S68" i="1"/>
  <c r="Q68" i="1"/>
  <c r="R68" i="1" s="1"/>
  <c r="P68" i="1"/>
  <c r="O68" i="1"/>
  <c r="N68" i="1"/>
  <c r="K68" i="1"/>
  <c r="J68" i="1"/>
  <c r="D68" i="1"/>
  <c r="C68" i="1"/>
  <c r="T67" i="1"/>
  <c r="S67" i="1"/>
  <c r="Q67" i="1"/>
  <c r="R67" i="1" s="1"/>
  <c r="P67" i="1"/>
  <c r="O67" i="1"/>
  <c r="N67" i="1"/>
  <c r="K67" i="1"/>
  <c r="J67" i="1"/>
  <c r="D67" i="1"/>
  <c r="C67" i="1"/>
  <c r="T66" i="1"/>
  <c r="S66" i="1"/>
  <c r="Q66" i="1"/>
  <c r="R66" i="1" s="1"/>
  <c r="P66" i="1"/>
  <c r="O66" i="1"/>
  <c r="N66" i="1"/>
  <c r="K66" i="1"/>
  <c r="J66" i="1"/>
  <c r="D66" i="1"/>
  <c r="C66" i="1"/>
  <c r="T65" i="1"/>
  <c r="S65" i="1"/>
  <c r="Q65" i="1"/>
  <c r="R65" i="1" s="1"/>
  <c r="P65" i="1"/>
  <c r="O65" i="1"/>
  <c r="N65" i="1"/>
  <c r="K65" i="1"/>
  <c r="J65" i="1"/>
  <c r="D65" i="1"/>
  <c r="C65" i="1"/>
  <c r="T64" i="1"/>
  <c r="S64" i="1"/>
  <c r="R64" i="1"/>
  <c r="Q64" i="1"/>
  <c r="P64" i="1"/>
  <c r="O64" i="1"/>
  <c r="N64" i="1"/>
  <c r="K64" i="1"/>
  <c r="J64" i="1"/>
  <c r="L64" i="1" s="1"/>
  <c r="D64" i="1"/>
  <c r="C64" i="1"/>
  <c r="T63" i="1"/>
  <c r="S63" i="1"/>
  <c r="Q63" i="1"/>
  <c r="R63" i="1" s="1"/>
  <c r="P63" i="1"/>
  <c r="O63" i="1"/>
  <c r="N63" i="1"/>
  <c r="K63" i="1"/>
  <c r="J63" i="1"/>
  <c r="D63" i="1"/>
  <c r="C63" i="1"/>
  <c r="T62" i="1"/>
  <c r="S62" i="1"/>
  <c r="Q62" i="1"/>
  <c r="R62" i="1" s="1"/>
  <c r="P62" i="1"/>
  <c r="O62" i="1"/>
  <c r="N62" i="1"/>
  <c r="K62" i="1"/>
  <c r="J62" i="1"/>
  <c r="L62" i="1" s="1"/>
  <c r="D62" i="1"/>
  <c r="C62" i="1"/>
  <c r="T61" i="1"/>
  <c r="S61" i="1"/>
  <c r="Q61" i="1"/>
  <c r="R61" i="1" s="1"/>
  <c r="P61" i="1"/>
  <c r="O61" i="1"/>
  <c r="N61" i="1"/>
  <c r="K61" i="1"/>
  <c r="J61" i="1"/>
  <c r="D61" i="1"/>
  <c r="C61" i="1"/>
  <c r="T60" i="1"/>
  <c r="S60" i="1"/>
  <c r="Q60" i="1"/>
  <c r="R60" i="1" s="1"/>
  <c r="P60" i="1"/>
  <c r="O60" i="1"/>
  <c r="N60" i="1"/>
  <c r="K60" i="1"/>
  <c r="J60" i="1"/>
  <c r="L60" i="1" s="1"/>
  <c r="D60" i="1"/>
  <c r="C60" i="1"/>
  <c r="T59" i="1"/>
  <c r="S59" i="1"/>
  <c r="Q59" i="1"/>
  <c r="R59" i="1" s="1"/>
  <c r="P59" i="1"/>
  <c r="O59" i="1"/>
  <c r="N59" i="1"/>
  <c r="K59" i="1"/>
  <c r="J59" i="1"/>
  <c r="D59" i="1"/>
  <c r="C59" i="1"/>
  <c r="T58" i="1"/>
  <c r="S58" i="1"/>
  <c r="Q58" i="1"/>
  <c r="R58" i="1" s="1"/>
  <c r="P58" i="1"/>
  <c r="O58" i="1"/>
  <c r="N58" i="1"/>
  <c r="K58" i="1"/>
  <c r="J58" i="1"/>
  <c r="D58" i="1"/>
  <c r="C58" i="1"/>
  <c r="T57" i="1"/>
  <c r="S57" i="1"/>
  <c r="Q57" i="1"/>
  <c r="R57" i="1" s="1"/>
  <c r="P57" i="1"/>
  <c r="O57" i="1"/>
  <c r="N57" i="1"/>
  <c r="K57" i="1"/>
  <c r="J57" i="1"/>
  <c r="D57" i="1"/>
  <c r="C57" i="1"/>
  <c r="T56" i="1"/>
  <c r="S56" i="1"/>
  <c r="Q56" i="1"/>
  <c r="R56" i="1" s="1"/>
  <c r="P56" i="1"/>
  <c r="O56" i="1"/>
  <c r="N56" i="1"/>
  <c r="K56" i="1"/>
  <c r="J56" i="1"/>
  <c r="L56" i="1" s="1"/>
  <c r="D56" i="1"/>
  <c r="C56" i="1"/>
  <c r="T55" i="1"/>
  <c r="S55" i="1"/>
  <c r="Q55" i="1"/>
  <c r="R55" i="1" s="1"/>
  <c r="P55" i="1"/>
  <c r="O55" i="1"/>
  <c r="N55" i="1"/>
  <c r="K55" i="1"/>
  <c r="J55" i="1"/>
  <c r="D55" i="1"/>
  <c r="C55" i="1"/>
  <c r="T54" i="1"/>
  <c r="S54" i="1"/>
  <c r="Q54" i="1"/>
  <c r="R54" i="1" s="1"/>
  <c r="P54" i="1"/>
  <c r="O54" i="1"/>
  <c r="N54" i="1"/>
  <c r="K54" i="1"/>
  <c r="J54" i="1"/>
  <c r="L54" i="1" s="1"/>
  <c r="D54" i="1"/>
  <c r="C54" i="1"/>
  <c r="T53" i="1"/>
  <c r="S53" i="1"/>
  <c r="Q53" i="1"/>
  <c r="R53" i="1" s="1"/>
  <c r="P53" i="1"/>
  <c r="O53" i="1"/>
  <c r="N53" i="1"/>
  <c r="K53" i="1"/>
  <c r="J53" i="1"/>
  <c r="D53" i="1"/>
  <c r="C53" i="1"/>
  <c r="T52" i="1"/>
  <c r="S52" i="1"/>
  <c r="Q52" i="1"/>
  <c r="R52" i="1" s="1"/>
  <c r="P52" i="1"/>
  <c r="O52" i="1"/>
  <c r="N52" i="1"/>
  <c r="K52" i="1"/>
  <c r="J52" i="1"/>
  <c r="L52" i="1" s="1"/>
  <c r="D52" i="1"/>
  <c r="C52" i="1"/>
  <c r="T51" i="1"/>
  <c r="S51" i="1"/>
  <c r="Q51" i="1"/>
  <c r="R51" i="1" s="1"/>
  <c r="P51" i="1"/>
  <c r="O51" i="1"/>
  <c r="N51" i="1"/>
  <c r="K51" i="1"/>
  <c r="J51" i="1"/>
  <c r="D51" i="1"/>
  <c r="C51" i="1"/>
  <c r="T50" i="1"/>
  <c r="S50" i="1"/>
  <c r="Q50" i="1"/>
  <c r="R50" i="1" s="1"/>
  <c r="P50" i="1"/>
  <c r="O50" i="1"/>
  <c r="N50" i="1"/>
  <c r="K50" i="1"/>
  <c r="J50" i="1"/>
  <c r="D50" i="1"/>
  <c r="C50" i="1"/>
  <c r="T49" i="1"/>
  <c r="S49" i="1"/>
  <c r="Q49" i="1"/>
  <c r="R49" i="1" s="1"/>
  <c r="P49" i="1"/>
  <c r="O49" i="1"/>
  <c r="N49" i="1"/>
  <c r="K49" i="1"/>
  <c r="J49" i="1"/>
  <c r="D49" i="1"/>
  <c r="C49" i="1"/>
  <c r="T48" i="1"/>
  <c r="S48" i="1"/>
  <c r="Q48" i="1"/>
  <c r="R48" i="1" s="1"/>
  <c r="P48" i="1"/>
  <c r="O48" i="1"/>
  <c r="N48" i="1"/>
  <c r="K48" i="1"/>
  <c r="J48" i="1"/>
  <c r="D48" i="1"/>
  <c r="C48" i="1"/>
  <c r="T47" i="1"/>
  <c r="S47" i="1"/>
  <c r="Q47" i="1"/>
  <c r="R47" i="1" s="1"/>
  <c r="P47" i="1"/>
  <c r="O47" i="1"/>
  <c r="N47" i="1"/>
  <c r="K47" i="1"/>
  <c r="J47" i="1"/>
  <c r="D47" i="1"/>
  <c r="C47" i="1"/>
  <c r="T46" i="1"/>
  <c r="S46" i="1"/>
  <c r="Q46" i="1"/>
  <c r="R46" i="1" s="1"/>
  <c r="P46" i="1"/>
  <c r="O46" i="1"/>
  <c r="N46" i="1"/>
  <c r="K46" i="1"/>
  <c r="J46" i="1"/>
  <c r="D46" i="1"/>
  <c r="C46" i="1"/>
  <c r="T45" i="1"/>
  <c r="S45" i="1"/>
  <c r="Q45" i="1"/>
  <c r="R45" i="1" s="1"/>
  <c r="P45" i="1"/>
  <c r="O45" i="1"/>
  <c r="N45" i="1"/>
  <c r="K45" i="1"/>
  <c r="J45" i="1"/>
  <c r="D45" i="1"/>
  <c r="C45" i="1"/>
  <c r="T44" i="1"/>
  <c r="S44" i="1"/>
  <c r="Q44" i="1"/>
  <c r="R44" i="1" s="1"/>
  <c r="P44" i="1"/>
  <c r="O44" i="1"/>
  <c r="N44" i="1"/>
  <c r="K44" i="1"/>
  <c r="J44" i="1"/>
  <c r="D44" i="1"/>
  <c r="C44" i="1"/>
  <c r="T43" i="1"/>
  <c r="S43" i="1"/>
  <c r="Q43" i="1"/>
  <c r="R43" i="1" s="1"/>
  <c r="P43" i="1"/>
  <c r="O43" i="1"/>
  <c r="N43" i="1"/>
  <c r="K43" i="1"/>
  <c r="J43" i="1"/>
  <c r="D43" i="1"/>
  <c r="C43" i="1"/>
  <c r="T42" i="1"/>
  <c r="S42" i="1"/>
  <c r="Q42" i="1"/>
  <c r="R42" i="1" s="1"/>
  <c r="P42" i="1"/>
  <c r="O42" i="1"/>
  <c r="N42" i="1"/>
  <c r="K42" i="1"/>
  <c r="J42" i="1"/>
  <c r="D42" i="1"/>
  <c r="C42" i="1"/>
  <c r="T41" i="1"/>
  <c r="S41" i="1"/>
  <c r="Q41" i="1"/>
  <c r="R41" i="1" s="1"/>
  <c r="P41" i="1"/>
  <c r="O41" i="1"/>
  <c r="N41" i="1"/>
  <c r="K41" i="1"/>
  <c r="J41" i="1"/>
  <c r="D41" i="1"/>
  <c r="C41" i="1"/>
  <c r="T40" i="1"/>
  <c r="S40" i="1"/>
  <c r="R40" i="1"/>
  <c r="Q40" i="1"/>
  <c r="P40" i="1"/>
  <c r="O40" i="1"/>
  <c r="N40" i="1"/>
  <c r="K40" i="1"/>
  <c r="J40" i="1"/>
  <c r="D40" i="1"/>
  <c r="C40" i="1"/>
  <c r="T39" i="1"/>
  <c r="S39" i="1"/>
  <c r="Q39" i="1"/>
  <c r="R39" i="1" s="1"/>
  <c r="P39" i="1"/>
  <c r="O39" i="1"/>
  <c r="N39" i="1"/>
  <c r="K39" i="1"/>
  <c r="J39" i="1"/>
  <c r="D39" i="1"/>
  <c r="C39" i="1"/>
  <c r="T38" i="1"/>
  <c r="S38" i="1"/>
  <c r="Q38" i="1"/>
  <c r="R38" i="1" s="1"/>
  <c r="P38" i="1"/>
  <c r="O38" i="1"/>
  <c r="N38" i="1"/>
  <c r="K38" i="1"/>
  <c r="J38" i="1"/>
  <c r="D38" i="1"/>
  <c r="C38" i="1"/>
  <c r="T37" i="1"/>
  <c r="S37" i="1"/>
  <c r="Q37" i="1"/>
  <c r="R37" i="1" s="1"/>
  <c r="P37" i="1"/>
  <c r="O37" i="1"/>
  <c r="N37" i="1"/>
  <c r="K37" i="1"/>
  <c r="J37" i="1"/>
  <c r="D37" i="1"/>
  <c r="C37" i="1"/>
  <c r="T36" i="1"/>
  <c r="S36" i="1"/>
  <c r="Q36" i="1"/>
  <c r="R36" i="1" s="1"/>
  <c r="P36" i="1"/>
  <c r="O36" i="1"/>
  <c r="N36" i="1"/>
  <c r="K36" i="1"/>
  <c r="J36" i="1"/>
  <c r="D36" i="1"/>
  <c r="C36" i="1"/>
  <c r="T35" i="1"/>
  <c r="S35" i="1"/>
  <c r="Q35" i="1"/>
  <c r="R35" i="1" s="1"/>
  <c r="P35" i="1"/>
  <c r="O35" i="1"/>
  <c r="N35" i="1"/>
  <c r="K35" i="1"/>
  <c r="J35" i="1"/>
  <c r="D35" i="1"/>
  <c r="C35" i="1"/>
  <c r="T34" i="1"/>
  <c r="S34" i="1"/>
  <c r="Q34" i="1"/>
  <c r="R34" i="1" s="1"/>
  <c r="P34" i="1"/>
  <c r="O34" i="1"/>
  <c r="N34" i="1"/>
  <c r="K34" i="1"/>
  <c r="J34" i="1"/>
  <c r="D34" i="1"/>
  <c r="C34" i="1"/>
  <c r="T33" i="1"/>
  <c r="S33" i="1"/>
  <c r="Q33" i="1"/>
  <c r="R33" i="1" s="1"/>
  <c r="P33" i="1"/>
  <c r="O33" i="1"/>
  <c r="N33" i="1"/>
  <c r="K33" i="1"/>
  <c r="J33" i="1"/>
  <c r="D33" i="1"/>
  <c r="C33" i="1"/>
  <c r="T32" i="1"/>
  <c r="S32" i="1"/>
  <c r="R32" i="1"/>
  <c r="Q32" i="1"/>
  <c r="P32" i="1"/>
  <c r="O32" i="1"/>
  <c r="N32" i="1"/>
  <c r="K32" i="1"/>
  <c r="J32" i="1"/>
  <c r="L32" i="1" s="1"/>
  <c r="D32" i="1"/>
  <c r="C32" i="1"/>
  <c r="T31" i="1"/>
  <c r="S31" i="1"/>
  <c r="Q31" i="1"/>
  <c r="R31" i="1" s="1"/>
  <c r="P31" i="1"/>
  <c r="O31" i="1"/>
  <c r="N31" i="1"/>
  <c r="K31" i="1"/>
  <c r="J31" i="1"/>
  <c r="D31" i="1"/>
  <c r="C31" i="1"/>
  <c r="T30" i="1"/>
  <c r="S30" i="1"/>
  <c r="Q30" i="1"/>
  <c r="R30" i="1" s="1"/>
  <c r="P30" i="1"/>
  <c r="O30" i="1"/>
  <c r="N30" i="1"/>
  <c r="K30" i="1"/>
  <c r="J30" i="1"/>
  <c r="L30" i="1" s="1"/>
  <c r="D30" i="1"/>
  <c r="C30" i="1"/>
  <c r="T29" i="1"/>
  <c r="S29" i="1"/>
  <c r="Q29" i="1"/>
  <c r="R29" i="1" s="1"/>
  <c r="P29" i="1"/>
  <c r="O29" i="1"/>
  <c r="N29" i="1"/>
  <c r="K29" i="1"/>
  <c r="J29" i="1"/>
  <c r="D29" i="1"/>
  <c r="C29" i="1"/>
  <c r="T28" i="1"/>
  <c r="S28" i="1"/>
  <c r="Q28" i="1"/>
  <c r="R28" i="1" s="1"/>
  <c r="P28" i="1"/>
  <c r="O28" i="1"/>
  <c r="N28" i="1"/>
  <c r="K28" i="1"/>
  <c r="J28" i="1"/>
  <c r="L28" i="1" s="1"/>
  <c r="D28" i="1"/>
  <c r="C28" i="1"/>
  <c r="T27" i="1"/>
  <c r="S27" i="1"/>
  <c r="Q27" i="1"/>
  <c r="R27" i="1" s="1"/>
  <c r="P27" i="1"/>
  <c r="O27" i="1"/>
  <c r="N27" i="1"/>
  <c r="K27" i="1"/>
  <c r="J27" i="1"/>
  <c r="D27" i="1"/>
  <c r="C27" i="1"/>
  <c r="T26" i="1"/>
  <c r="S26" i="1"/>
  <c r="Q26" i="1"/>
  <c r="R26" i="1" s="1"/>
  <c r="P26" i="1"/>
  <c r="O26" i="1"/>
  <c r="N26" i="1"/>
  <c r="K26" i="1"/>
  <c r="J26" i="1"/>
  <c r="D26" i="1"/>
  <c r="C26" i="1"/>
  <c r="T25" i="1"/>
  <c r="S25" i="1"/>
  <c r="Q25" i="1"/>
  <c r="R25" i="1" s="1"/>
  <c r="P25" i="1"/>
  <c r="O25" i="1"/>
  <c r="N25" i="1"/>
  <c r="K25" i="1"/>
  <c r="J25" i="1"/>
  <c r="D25" i="1"/>
  <c r="C25" i="1"/>
  <c r="T24" i="1"/>
  <c r="S24" i="1"/>
  <c r="Q24" i="1"/>
  <c r="R24" i="1" s="1"/>
  <c r="P24" i="1"/>
  <c r="O24" i="1"/>
  <c r="N24" i="1"/>
  <c r="K24" i="1"/>
  <c r="J24" i="1"/>
  <c r="L24" i="1" s="1"/>
  <c r="D24" i="1"/>
  <c r="C24" i="1"/>
  <c r="T23" i="1"/>
  <c r="S23" i="1"/>
  <c r="Q23" i="1"/>
  <c r="R23" i="1" s="1"/>
  <c r="P23" i="1"/>
  <c r="O23" i="1"/>
  <c r="N23" i="1"/>
  <c r="K23" i="1"/>
  <c r="J23" i="1"/>
  <c r="D23" i="1"/>
  <c r="C23" i="1"/>
  <c r="T22" i="1"/>
  <c r="S22" i="1"/>
  <c r="Q22" i="1"/>
  <c r="R22" i="1" s="1"/>
  <c r="P22" i="1"/>
  <c r="O22" i="1"/>
  <c r="N22" i="1"/>
  <c r="K22" i="1"/>
  <c r="J22" i="1"/>
  <c r="L22" i="1" s="1"/>
  <c r="D22" i="1"/>
  <c r="C22" i="1"/>
  <c r="T21" i="1"/>
  <c r="S21" i="1"/>
  <c r="Q21" i="1"/>
  <c r="R21" i="1" s="1"/>
  <c r="P21" i="1"/>
  <c r="O21" i="1"/>
  <c r="N21" i="1"/>
  <c r="K21" i="1"/>
  <c r="J21" i="1"/>
  <c r="D21" i="1"/>
  <c r="C21" i="1"/>
  <c r="T20" i="1"/>
  <c r="S20" i="1"/>
  <c r="Q20" i="1"/>
  <c r="R20" i="1" s="1"/>
  <c r="P20" i="1"/>
  <c r="O20" i="1"/>
  <c r="N20" i="1"/>
  <c r="K20" i="1"/>
  <c r="J20" i="1"/>
  <c r="L20" i="1" s="1"/>
  <c r="D20" i="1"/>
  <c r="C20" i="1"/>
  <c r="T19" i="1"/>
  <c r="S19" i="1"/>
  <c r="Q19" i="1"/>
  <c r="R19" i="1" s="1"/>
  <c r="P19" i="1"/>
  <c r="O19" i="1"/>
  <c r="N19" i="1"/>
  <c r="K19" i="1"/>
  <c r="J19" i="1"/>
  <c r="D19" i="1"/>
  <c r="C19" i="1"/>
  <c r="T18" i="1"/>
  <c r="S18" i="1"/>
  <c r="Q18" i="1"/>
  <c r="R18" i="1" s="1"/>
  <c r="P18" i="1"/>
  <c r="O18" i="1"/>
  <c r="N18" i="1"/>
  <c r="K18" i="1"/>
  <c r="J18" i="1"/>
  <c r="D18" i="1"/>
  <c r="C18" i="1"/>
  <c r="T17" i="1"/>
  <c r="S17" i="1"/>
  <c r="Q17" i="1"/>
  <c r="R17" i="1" s="1"/>
  <c r="P17" i="1"/>
  <c r="O17" i="1"/>
  <c r="N17" i="1"/>
  <c r="K17" i="1"/>
  <c r="J17" i="1"/>
  <c r="D17" i="1"/>
  <c r="C17" i="1"/>
  <c r="T16" i="1"/>
  <c r="S16" i="1"/>
  <c r="Q16" i="1"/>
  <c r="R16" i="1" s="1"/>
  <c r="P16" i="1"/>
  <c r="O16" i="1"/>
  <c r="N16" i="1"/>
  <c r="K16" i="1"/>
  <c r="J16" i="1"/>
  <c r="D16" i="1"/>
  <c r="C16" i="1"/>
  <c r="T15" i="1"/>
  <c r="S15" i="1"/>
  <c r="Q15" i="1"/>
  <c r="R15" i="1" s="1"/>
  <c r="P15" i="1"/>
  <c r="O15" i="1"/>
  <c r="N15" i="1"/>
  <c r="K15" i="1"/>
  <c r="J15" i="1"/>
  <c r="D15" i="1"/>
  <c r="C15" i="1"/>
  <c r="T14" i="1"/>
  <c r="S14" i="1"/>
  <c r="Q14" i="1"/>
  <c r="R14" i="1" s="1"/>
  <c r="P14" i="1"/>
  <c r="O14" i="1"/>
  <c r="N14" i="1"/>
  <c r="K14" i="1"/>
  <c r="J14" i="1"/>
  <c r="D14" i="1"/>
  <c r="C14" i="1"/>
  <c r="T13" i="1"/>
  <c r="S13" i="1"/>
  <c r="Q13" i="1"/>
  <c r="R13" i="1" s="1"/>
  <c r="P13" i="1"/>
  <c r="O13" i="1"/>
  <c r="N13" i="1"/>
  <c r="K13" i="1"/>
  <c r="J13" i="1"/>
  <c r="D13" i="1"/>
  <c r="C13" i="1"/>
  <c r="T12" i="1"/>
  <c r="S12" i="1"/>
  <c r="Q12" i="1"/>
  <c r="R12" i="1" s="1"/>
  <c r="P12" i="1"/>
  <c r="O12" i="1"/>
  <c r="N12" i="1"/>
  <c r="K12" i="1"/>
  <c r="J12" i="1"/>
  <c r="D12" i="1"/>
  <c r="C12" i="1"/>
  <c r="T11" i="1"/>
  <c r="S11" i="1"/>
  <c r="Q11" i="1"/>
  <c r="R11" i="1" s="1"/>
  <c r="P11" i="1"/>
  <c r="O11" i="1"/>
  <c r="N11" i="1"/>
  <c r="K11" i="1"/>
  <c r="J11" i="1"/>
  <c r="D11" i="1"/>
  <c r="C11" i="1"/>
  <c r="T10" i="1"/>
  <c r="S10" i="1"/>
  <c r="Q10" i="1"/>
  <c r="R10" i="1" s="1"/>
  <c r="P10" i="1"/>
  <c r="O10" i="1"/>
  <c r="N10" i="1"/>
  <c r="K10" i="1"/>
  <c r="J10" i="1"/>
  <c r="D10" i="1"/>
  <c r="C10" i="1"/>
  <c r="T9" i="1"/>
  <c r="S9" i="1"/>
  <c r="Q9" i="1"/>
  <c r="R9" i="1" s="1"/>
  <c r="P9" i="1"/>
  <c r="O9" i="1"/>
  <c r="N9" i="1"/>
  <c r="K9" i="1"/>
  <c r="J9" i="1"/>
  <c r="D9" i="1"/>
  <c r="C9" i="1"/>
  <c r="T8" i="1"/>
  <c r="S8" i="1"/>
  <c r="R8" i="1"/>
  <c r="Q8" i="1"/>
  <c r="P8" i="1"/>
  <c r="O8" i="1"/>
  <c r="N8" i="1"/>
  <c r="K8" i="1"/>
  <c r="J8" i="1"/>
  <c r="D8" i="1"/>
  <c r="C8" i="1"/>
  <c r="T7" i="1"/>
  <c r="S7" i="1"/>
  <c r="Q7" i="1"/>
  <c r="R7" i="1" s="1"/>
  <c r="P7" i="1"/>
  <c r="O7" i="1"/>
  <c r="N7" i="1"/>
  <c r="K7" i="1"/>
  <c r="J7" i="1"/>
  <c r="D7" i="1"/>
  <c r="C7" i="1"/>
  <c r="T6" i="1"/>
  <c r="S6" i="1"/>
  <c r="Q6" i="1"/>
  <c r="R6" i="1" s="1"/>
  <c r="P6" i="1"/>
  <c r="O6" i="1"/>
  <c r="N6" i="1"/>
  <c r="K6" i="1"/>
  <c r="J6" i="1"/>
  <c r="D6" i="1"/>
  <c r="C6" i="1"/>
  <c r="T5" i="1"/>
  <c r="S5" i="1"/>
  <c r="Q5" i="1"/>
  <c r="R5" i="1" s="1"/>
  <c r="P5" i="1"/>
  <c r="O5" i="1"/>
  <c r="N5" i="1"/>
  <c r="K5" i="1"/>
  <c r="J5" i="1"/>
  <c r="D5" i="1"/>
  <c r="C5" i="1"/>
  <c r="T4" i="1"/>
  <c r="S4" i="1"/>
  <c r="Q4" i="1"/>
  <c r="R4" i="1" s="1"/>
  <c r="P4" i="1"/>
  <c r="O4" i="1"/>
  <c r="N4" i="1"/>
  <c r="K4" i="1"/>
  <c r="J4" i="1"/>
  <c r="D4" i="1"/>
  <c r="C4" i="1"/>
  <c r="T3" i="1"/>
  <c r="S3" i="1"/>
  <c r="Q3" i="1"/>
  <c r="R3" i="1" s="1"/>
  <c r="P3" i="1"/>
  <c r="O3" i="1"/>
  <c r="N3" i="1"/>
  <c r="K3" i="1"/>
  <c r="J3" i="1"/>
  <c r="D3" i="1"/>
  <c r="C3" i="1"/>
  <c r="T2" i="1"/>
  <c r="S2" i="1"/>
  <c r="Q2" i="1"/>
  <c r="R2" i="1" s="1"/>
  <c r="P2" i="1"/>
  <c r="O2" i="1"/>
  <c r="N2" i="1"/>
  <c r="K2" i="1"/>
  <c r="J2" i="1"/>
  <c r="D2" i="1"/>
  <c r="C2" i="1"/>
  <c r="L4" i="1" l="1"/>
  <c r="L6" i="1"/>
  <c r="L8" i="1"/>
  <c r="L36" i="1"/>
  <c r="L38" i="1"/>
  <c r="L40" i="1"/>
  <c r="L68" i="1"/>
  <c r="L70" i="1"/>
  <c r="L72" i="1"/>
  <c r="L100" i="1"/>
  <c r="L102" i="1"/>
  <c r="L104" i="1"/>
  <c r="L132" i="1"/>
  <c r="L134" i="1"/>
  <c r="L136" i="1"/>
  <c r="L164" i="1"/>
  <c r="L166" i="1"/>
  <c r="L174" i="1"/>
  <c r="L189" i="1"/>
  <c r="L198" i="1"/>
  <c r="L213" i="1"/>
  <c r="L233" i="1"/>
  <c r="L235" i="1"/>
  <c r="L240" i="1"/>
  <c r="L249" i="1"/>
  <c r="L251" i="1"/>
  <c r="L256" i="1"/>
  <c r="L265" i="1"/>
  <c r="L267" i="1"/>
  <c r="L272" i="1"/>
  <c r="L281" i="1"/>
  <c r="L283" i="1"/>
  <c r="L288" i="1"/>
  <c r="L297" i="1"/>
  <c r="L299" i="1"/>
  <c r="L304" i="1"/>
  <c r="L12" i="1"/>
  <c r="L14" i="1"/>
  <c r="L16" i="1"/>
  <c r="L44" i="1"/>
  <c r="L46" i="1"/>
  <c r="L48" i="1"/>
  <c r="L76" i="1"/>
  <c r="L78" i="1"/>
  <c r="L80" i="1"/>
  <c r="L108" i="1"/>
  <c r="L110" i="1"/>
  <c r="L112" i="1"/>
  <c r="L140" i="1"/>
  <c r="L142" i="1"/>
  <c r="L144" i="1"/>
  <c r="L193" i="1"/>
  <c r="L197" i="1"/>
  <c r="L206" i="1"/>
  <c r="L221" i="1"/>
  <c r="L237" i="1"/>
  <c r="L239" i="1"/>
  <c r="L244" i="1"/>
  <c r="L253" i="1"/>
  <c r="L255" i="1"/>
  <c r="L260" i="1"/>
  <c r="L269" i="1"/>
  <c r="L271" i="1"/>
  <c r="L276" i="1"/>
  <c r="L285" i="1"/>
  <c r="L287" i="1"/>
  <c r="L292" i="1"/>
  <c r="L301" i="1"/>
  <c r="L303" i="1"/>
  <c r="L331" i="1"/>
  <c r="L335" i="1"/>
  <c r="L346" i="1"/>
  <c r="L355" i="1"/>
  <c r="L371" i="1"/>
  <c r="L387" i="1"/>
  <c r="L398" i="1"/>
  <c r="L486" i="1"/>
  <c r="L488" i="1"/>
  <c r="L492" i="1"/>
  <c r="L497" i="1"/>
  <c r="L520" i="1"/>
  <c r="L522" i="1"/>
  <c r="L524" i="1"/>
  <c r="L550" i="1"/>
  <c r="L552" i="1"/>
  <c r="L554" i="1"/>
  <c r="L556" i="1"/>
  <c r="L561" i="1"/>
  <c r="L582" i="1"/>
  <c r="L584" i="1"/>
  <c r="L588" i="1"/>
  <c r="L614" i="1"/>
  <c r="L616" i="1"/>
  <c r="L618" i="1"/>
  <c r="L620" i="1"/>
  <c r="L646" i="1"/>
  <c r="L650" i="1"/>
  <c r="L652" i="1"/>
  <c r="L657" i="1"/>
  <c r="L681" i="1"/>
  <c r="L710" i="1"/>
  <c r="L714" i="1"/>
  <c r="L718" i="1"/>
  <c r="L747" i="1"/>
  <c r="L762" i="1"/>
  <c r="L778" i="1"/>
  <c r="L862" i="1"/>
  <c r="L882" i="1"/>
  <c r="L980" i="1"/>
  <c r="L982" i="1"/>
  <c r="L984" i="1"/>
  <c r="L1012" i="1"/>
  <c r="L1014" i="1"/>
  <c r="L1016" i="1"/>
  <c r="L1044" i="1"/>
  <c r="L1046" i="1"/>
  <c r="L1048" i="1"/>
  <c r="L1065" i="1"/>
  <c r="L1067" i="1"/>
  <c r="L1097" i="1"/>
  <c r="L1101" i="1"/>
  <c r="L1131" i="1"/>
  <c r="L1133" i="1"/>
  <c r="L1161" i="1"/>
  <c r="L1163" i="1"/>
  <c r="L1165" i="1"/>
  <c r="L910" i="1"/>
  <c r="L930" i="1"/>
  <c r="L938" i="1"/>
  <c r="L956" i="1"/>
  <c r="L958" i="1"/>
  <c r="L988" i="1"/>
  <c r="L990" i="1"/>
  <c r="L992" i="1"/>
  <c r="L1020" i="1"/>
  <c r="L1022" i="1"/>
  <c r="L1024" i="1"/>
  <c r="L1075" i="1"/>
  <c r="L1105" i="1"/>
  <c r="L1107" i="1"/>
  <c r="L1109" i="1"/>
  <c r="L1137" i="1"/>
  <c r="L1139" i="1"/>
  <c r="L1141" i="1"/>
  <c r="L1169" i="1"/>
  <c r="L1171" i="1"/>
  <c r="L347" i="1"/>
  <c r="L363" i="1"/>
  <c r="L379" i="1"/>
  <c r="L504" i="1"/>
  <c r="L508" i="1"/>
  <c r="L534" i="1"/>
  <c r="L538" i="1"/>
  <c r="L545" i="1"/>
  <c r="L566" i="1"/>
  <c r="L568" i="1"/>
  <c r="L570" i="1"/>
  <c r="L572" i="1"/>
  <c r="L577" i="1"/>
  <c r="L598" i="1"/>
  <c r="L600" i="1"/>
  <c r="L604" i="1"/>
  <c r="L630" i="1"/>
  <c r="L632" i="1"/>
  <c r="L636" i="1"/>
  <c r="L641" i="1"/>
  <c r="L665" i="1"/>
  <c r="L698" i="1"/>
  <c r="L702" i="1"/>
  <c r="L770" i="1"/>
  <c r="L798" i="1"/>
  <c r="L866" i="1"/>
  <c r="L898" i="1"/>
  <c r="L1199" i="1"/>
  <c r="L1201" i="1"/>
  <c r="L1203" i="1"/>
  <c r="L1205" i="1"/>
  <c r="L1207" i="1"/>
  <c r="L1209" i="1"/>
  <c r="L1237" i="1"/>
  <c r="L1239" i="1"/>
  <c r="L1283" i="1"/>
  <c r="L1318" i="1"/>
  <c r="L1378" i="1"/>
  <c r="L1410" i="1"/>
  <c r="L1426" i="1"/>
  <c r="L1442" i="1"/>
  <c r="L1458" i="1"/>
  <c r="L1486" i="1"/>
  <c r="L1515" i="1"/>
  <c r="L1549" i="1"/>
  <c r="L1565" i="1"/>
  <c r="L1581" i="1"/>
  <c r="L1597" i="1"/>
  <c r="L1613" i="1"/>
  <c r="L1624" i="1"/>
  <c r="L1642" i="1"/>
  <c r="L1658" i="1"/>
  <c r="L1674" i="1"/>
  <c r="L1690" i="1"/>
  <c r="L1706" i="1"/>
  <c r="L1722" i="1"/>
  <c r="L1738" i="1"/>
  <c r="L1754" i="1"/>
  <c r="L1770" i="1"/>
  <c r="L1786" i="1"/>
  <c r="L1813" i="1"/>
  <c r="L1837" i="1"/>
  <c r="L1839" i="1"/>
  <c r="L1852" i="1"/>
  <c r="L1860" i="1"/>
  <c r="L1969" i="1"/>
  <c r="L1990" i="1"/>
  <c r="L1992" i="1"/>
  <c r="L1994" i="1"/>
  <c r="L1996" i="1"/>
  <c r="L1213" i="1"/>
  <c r="L1215" i="1"/>
  <c r="L1217" i="1"/>
  <c r="L1247" i="1"/>
  <c r="L1271" i="1"/>
  <c r="L1294" i="1"/>
  <c r="L1322" i="1"/>
  <c r="L1662" i="1"/>
  <c r="L1694" i="1"/>
  <c r="L1710" i="1"/>
  <c r="L1726" i="1"/>
  <c r="L1742" i="1"/>
  <c r="L1758" i="1"/>
  <c r="L1774" i="1"/>
  <c r="L1790" i="1"/>
  <c r="L1808" i="1"/>
  <c r="L1821" i="1"/>
  <c r="L1832" i="1"/>
  <c r="L1845" i="1"/>
  <c r="L1847" i="1"/>
  <c r="L1868" i="1"/>
  <c r="L1876" i="1"/>
  <c r="L1909" i="1"/>
  <c r="L1926" i="1"/>
  <c r="L1928" i="1"/>
  <c r="L1941" i="1"/>
  <c r="L1954" i="1"/>
  <c r="L1956" i="1"/>
  <c r="L1962" i="1"/>
  <c r="L1964" i="1"/>
  <c r="L1985" i="1"/>
  <c r="L1987" i="1"/>
  <c r="L1326" i="1"/>
  <c r="L1347" i="1"/>
  <c r="L1386" i="1"/>
  <c r="L1418" i="1"/>
  <c r="L1434" i="1"/>
  <c r="L1450" i="1"/>
  <c r="L1466" i="1"/>
  <c r="L1485" i="1"/>
  <c r="L1487" i="1"/>
  <c r="L1507" i="1"/>
  <c r="L1523" i="1"/>
  <c r="L1541" i="1"/>
  <c r="L1557" i="1"/>
  <c r="L1573" i="1"/>
  <c r="L1589" i="1"/>
  <c r="L1605" i="1"/>
  <c r="L1625" i="1"/>
  <c r="L1634" i="1"/>
  <c r="L1650" i="1"/>
  <c r="L1666" i="1"/>
  <c r="L1682" i="1"/>
  <c r="L1698" i="1"/>
  <c r="L1714" i="1"/>
  <c r="L1730" i="1"/>
  <c r="L1746" i="1"/>
  <c r="L1762" i="1"/>
  <c r="L1778" i="1"/>
  <c r="L1796" i="1"/>
  <c r="L1803" i="1"/>
  <c r="L1853" i="1"/>
  <c r="L1855" i="1"/>
  <c r="L1861" i="1"/>
  <c r="L1863" i="1"/>
  <c r="L1884" i="1"/>
  <c r="L1888" i="1"/>
  <c r="L1890" i="1"/>
  <c r="L1898" i="1"/>
  <c r="L1900" i="1"/>
  <c r="L1902" i="1"/>
  <c r="L1917" i="1"/>
  <c r="L1934" i="1"/>
  <c r="L1936" i="1"/>
  <c r="L1949" i="1"/>
  <c r="L1970" i="1"/>
  <c r="L351" i="1"/>
  <c r="L359" i="1"/>
  <c r="L367" i="1"/>
  <c r="L375" i="1"/>
  <c r="L383" i="1"/>
  <c r="L391" i="1"/>
  <c r="L2" i="1"/>
  <c r="L10" i="1"/>
  <c r="L18" i="1"/>
  <c r="L26" i="1"/>
  <c r="L34" i="1"/>
  <c r="L42" i="1"/>
  <c r="L50" i="1"/>
  <c r="L58" i="1"/>
  <c r="L66" i="1"/>
  <c r="L74" i="1"/>
  <c r="L82" i="1"/>
  <c r="L90" i="1"/>
  <c r="L98" i="1"/>
  <c r="L106" i="1"/>
  <c r="L114" i="1"/>
  <c r="L122" i="1"/>
  <c r="L130" i="1"/>
  <c r="L138" i="1"/>
  <c r="L146" i="1"/>
  <c r="L154" i="1"/>
  <c r="L162" i="1"/>
  <c r="L173" i="1"/>
  <c r="L182" i="1"/>
  <c r="L185" i="1"/>
  <c r="L205" i="1"/>
  <c r="L214" i="1"/>
  <c r="L217" i="1"/>
  <c r="L238" i="1"/>
  <c r="L242" i="1"/>
  <c r="L246" i="1"/>
  <c r="L250" i="1"/>
  <c r="L254" i="1"/>
  <c r="L258" i="1"/>
  <c r="L262" i="1"/>
  <c r="L266" i="1"/>
  <c r="L270" i="1"/>
  <c r="L274" i="1"/>
  <c r="L278" i="1"/>
  <c r="L282" i="1"/>
  <c r="L286" i="1"/>
  <c r="L290" i="1"/>
  <c r="L294" i="1"/>
  <c r="L298" i="1"/>
  <c r="L302" i="1"/>
  <c r="L306" i="1"/>
  <c r="L342" i="1"/>
  <c r="L350" i="1"/>
  <c r="L358" i="1"/>
  <c r="L374" i="1"/>
  <c r="L382" i="1"/>
  <c r="L390" i="1"/>
  <c r="L482" i="1"/>
  <c r="L484" i="1"/>
  <c r="L489" i="1"/>
  <c r="L500" i="1"/>
  <c r="L505" i="1"/>
  <c r="L516" i="1"/>
  <c r="L521" i="1"/>
  <c r="L530" i="1"/>
  <c r="L546" i="1"/>
  <c r="L548" i="1"/>
  <c r="L553" i="1"/>
  <c r="L562" i="1"/>
  <c r="L564" i="1"/>
  <c r="L569" i="1"/>
  <c r="L578" i="1"/>
  <c r="L580" i="1"/>
  <c r="L585" i="1"/>
  <c r="L594" i="1"/>
  <c r="L596" i="1"/>
  <c r="L601" i="1"/>
  <c r="L610" i="1"/>
  <c r="L612" i="1"/>
  <c r="L617" i="1"/>
  <c r="L626" i="1"/>
  <c r="L628" i="1"/>
  <c r="L633" i="1"/>
  <c r="L642" i="1"/>
  <c r="L644" i="1"/>
  <c r="L649" i="1"/>
  <c r="L661" i="1"/>
  <c r="L670" i="1"/>
  <c r="L677" i="1"/>
  <c r="L686" i="1"/>
  <c r="L688" i="1"/>
  <c r="L693" i="1"/>
  <c r="L705" i="1"/>
  <c r="L1129" i="1"/>
  <c r="L1233" i="1"/>
  <c r="L1241" i="1"/>
  <c r="L1249" i="1"/>
  <c r="L1257" i="1"/>
  <c r="L1265" i="1"/>
  <c r="L1211" i="1"/>
  <c r="L1219" i="1"/>
  <c r="L1227" i="1"/>
  <c r="L1235" i="1"/>
  <c r="L1243" i="1"/>
  <c r="L1251" i="1"/>
  <c r="L1259" i="1"/>
  <c r="L1267" i="1"/>
  <c r="L481" i="1"/>
  <c r="L490" i="1"/>
  <c r="L513" i="1"/>
  <c r="L586" i="1"/>
  <c r="L593" i="1"/>
  <c r="L602" i="1"/>
  <c r="L609" i="1"/>
  <c r="L625" i="1"/>
  <c r="L634" i="1"/>
  <c r="L664" i="1"/>
  <c r="L669" i="1"/>
  <c r="L678" i="1"/>
  <c r="L680" i="1"/>
  <c r="L685" i="1"/>
  <c r="L694" i="1"/>
  <c r="L706" i="1"/>
  <c r="L713" i="1"/>
  <c r="L717" i="1"/>
  <c r="L722" i="1"/>
  <c r="L735" i="1"/>
  <c r="L743" i="1"/>
  <c r="L751" i="1"/>
  <c r="L759" i="1"/>
  <c r="L767" i="1"/>
  <c r="L786" i="1"/>
  <c r="L858" i="1"/>
  <c r="L874" i="1"/>
  <c r="L890" i="1"/>
  <c r="L960" i="1"/>
  <c r="L1173" i="1"/>
  <c r="L1245" i="1"/>
  <c r="L395" i="1"/>
  <c r="L403" i="1"/>
  <c r="L452" i="1"/>
  <c r="L454" i="1"/>
  <c r="L456" i="1"/>
  <c r="L458" i="1"/>
  <c r="L460" i="1"/>
  <c r="L462" i="1"/>
  <c r="L464" i="1"/>
  <c r="L466" i="1"/>
  <c r="L468" i="1"/>
  <c r="L470" i="1"/>
  <c r="L472" i="1"/>
  <c r="L474" i="1"/>
  <c r="L476" i="1"/>
  <c r="L478" i="1"/>
  <c r="L480" i="1"/>
  <c r="L485" i="1"/>
  <c r="L494" i="1"/>
  <c r="L496" i="1"/>
  <c r="L501" i="1"/>
  <c r="L512" i="1"/>
  <c r="L517" i="1"/>
  <c r="L526" i="1"/>
  <c r="L528" i="1"/>
  <c r="L542" i="1"/>
  <c r="L549" i="1"/>
  <c r="L558" i="1"/>
  <c r="L560" i="1"/>
  <c r="L565" i="1"/>
  <c r="L574" i="1"/>
  <c r="L581" i="1"/>
  <c r="L590" i="1"/>
  <c r="L592" i="1"/>
  <c r="L597" i="1"/>
  <c r="L606" i="1"/>
  <c r="L608" i="1"/>
  <c r="L613" i="1"/>
  <c r="L622" i="1"/>
  <c r="L624" i="1"/>
  <c r="L629" i="1"/>
  <c r="L638" i="1"/>
  <c r="L640" i="1"/>
  <c r="L645" i="1"/>
  <c r="L654" i="1"/>
  <c r="L666" i="1"/>
  <c r="L668" i="1"/>
  <c r="L673" i="1"/>
  <c r="L682" i="1"/>
  <c r="L684" i="1"/>
  <c r="L689" i="1"/>
  <c r="L701" i="1"/>
  <c r="L726" i="1"/>
  <c r="L734" i="1"/>
  <c r="L742" i="1"/>
  <c r="L750" i="1"/>
  <c r="L758" i="1"/>
  <c r="L766" i="1"/>
  <c r="L774" i="1"/>
  <c r="L782" i="1"/>
  <c r="L794" i="1"/>
  <c r="L802" i="1"/>
  <c r="L854" i="1"/>
  <c r="L870" i="1"/>
  <c r="L886" i="1"/>
  <c r="L902" i="1"/>
  <c r="L918" i="1"/>
  <c r="L934" i="1"/>
  <c r="L946" i="1"/>
  <c r="L954" i="1"/>
  <c r="L962" i="1"/>
  <c r="L970" i="1"/>
  <c r="L978" i="1"/>
  <c r="L986" i="1"/>
  <c r="L994" i="1"/>
  <c r="L1002" i="1"/>
  <c r="L1010" i="1"/>
  <c r="L1018" i="1"/>
  <c r="L1026" i="1"/>
  <c r="L1034" i="1"/>
  <c r="L1042" i="1"/>
  <c r="L1063" i="1"/>
  <c r="L1071" i="1"/>
  <c r="L1079" i="1"/>
  <c r="L1087" i="1"/>
  <c r="L1119" i="1"/>
  <c r="L1127" i="1"/>
  <c r="L1135" i="1"/>
  <c r="L1143" i="1"/>
  <c r="L1151" i="1"/>
  <c r="L1159" i="1"/>
  <c r="L1167" i="1"/>
  <c r="L1175" i="1"/>
  <c r="L1183" i="1"/>
  <c r="L1191" i="1"/>
  <c r="L1273" i="1"/>
  <c r="L1281" i="1"/>
  <c r="L1286" i="1"/>
  <c r="L1306" i="1"/>
  <c r="L1334" i="1"/>
  <c r="L1359" i="1"/>
  <c r="L1367" i="1"/>
  <c r="L1375" i="1"/>
  <c r="L1383" i="1"/>
  <c r="L1391" i="1"/>
  <c r="L1399" i="1"/>
  <c r="L1407" i="1"/>
  <c r="L1415" i="1"/>
  <c r="L1423" i="1"/>
  <c r="L1431" i="1"/>
  <c r="L1439" i="1"/>
  <c r="L1447" i="1"/>
  <c r="L1460" i="1"/>
  <c r="L1468" i="1"/>
  <c r="L1475" i="1"/>
  <c r="L1481" i="1"/>
  <c r="L1484" i="1"/>
  <c r="L1493" i="1"/>
  <c r="L1501" i="1"/>
  <c r="L1509" i="1"/>
  <c r="L1517" i="1"/>
  <c r="L1525" i="1"/>
  <c r="L1535" i="1"/>
  <c r="L1543" i="1"/>
  <c r="L1551" i="1"/>
  <c r="L1559" i="1"/>
  <c r="L1567" i="1"/>
  <c r="L1575" i="1"/>
  <c r="L1583" i="1"/>
  <c r="L1591" i="1"/>
  <c r="L1599" i="1"/>
  <c r="L1607" i="1"/>
  <c r="L1615" i="1"/>
  <c r="L1620" i="1"/>
  <c r="L1269" i="1"/>
  <c r="L1277" i="1"/>
  <c r="L1290" i="1"/>
  <c r="L1302" i="1"/>
  <c r="L1310" i="1"/>
  <c r="L1338" i="1"/>
  <c r="L1355" i="1"/>
  <c r="L1363" i="1"/>
  <c r="L1371" i="1"/>
  <c r="L1379" i="1"/>
  <c r="L1387" i="1"/>
  <c r="L1395" i="1"/>
  <c r="L1403" i="1"/>
  <c r="L1411" i="1"/>
  <c r="L1419" i="1"/>
  <c r="L1427" i="1"/>
  <c r="L1435" i="1"/>
  <c r="L1443" i="1"/>
  <c r="L1451" i="1"/>
  <c r="L1456" i="1"/>
  <c r="L1464" i="1"/>
  <c r="L1474" i="1"/>
  <c r="L1476" i="1"/>
  <c r="L1489" i="1"/>
  <c r="L1497" i="1"/>
  <c r="L1505" i="1"/>
  <c r="L1513" i="1"/>
  <c r="L1521" i="1"/>
  <c r="L1529" i="1"/>
  <c r="L1531" i="1"/>
  <c r="L1539" i="1"/>
  <c r="L1547" i="1"/>
  <c r="L1555" i="1"/>
  <c r="L1563" i="1"/>
  <c r="L1571" i="1"/>
  <c r="L1579" i="1"/>
  <c r="L1587" i="1"/>
  <c r="L1595" i="1"/>
  <c r="L1603" i="1"/>
  <c r="L1611" i="1"/>
  <c r="L1621" i="1"/>
  <c r="L1623" i="1"/>
  <c r="L1632" i="1"/>
  <c r="L1640" i="1"/>
  <c r="L1648" i="1"/>
  <c r="L1656" i="1"/>
  <c r="L1664" i="1"/>
  <c r="L1672" i="1"/>
  <c r="L1680" i="1"/>
  <c r="L1688" i="1"/>
  <c r="L1696" i="1"/>
  <c r="L1704" i="1"/>
  <c r="L1712" i="1"/>
  <c r="L1720" i="1"/>
  <c r="L1728" i="1"/>
  <c r="L1736" i="1"/>
  <c r="L1744" i="1"/>
  <c r="L1752" i="1"/>
  <c r="L1760" i="1"/>
  <c r="L1768" i="1"/>
  <c r="L1776" i="1"/>
  <c r="L1784" i="1"/>
  <c r="L1792" i="1"/>
  <c r="L1794" i="1"/>
  <c r="L1805" i="1"/>
  <c r="L1807" i="1"/>
  <c r="L1812" i="1"/>
  <c r="L1817" i="1"/>
  <c r="L1829" i="1"/>
  <c r="L1836" i="1"/>
  <c r="L1841" i="1"/>
  <c r="L1843" i="1"/>
  <c r="L1848" i="1"/>
  <c r="L1857" i="1"/>
  <c r="L1859" i="1"/>
  <c r="L1864" i="1"/>
  <c r="L1873" i="1"/>
  <c r="L1875" i="1"/>
  <c r="L1880" i="1"/>
  <c r="L1905" i="1"/>
  <c r="L1916" i="1"/>
  <c r="L1921" i="1"/>
  <c r="L1930" i="1"/>
  <c r="L1932" i="1"/>
  <c r="L1937" i="1"/>
  <c r="L1946" i="1"/>
  <c r="L1953" i="1"/>
  <c r="L1958" i="1"/>
  <c r="L1960" i="1"/>
  <c r="L1965" i="1"/>
  <c r="L1974" i="1"/>
  <c r="L2000" i="1"/>
  <c r="L1989" i="1"/>
  <c r="L1991" i="1"/>
  <c r="L1993" i="1"/>
  <c r="L1628" i="1"/>
  <c r="L1636" i="1"/>
  <c r="L1644" i="1"/>
  <c r="L1652" i="1"/>
  <c r="L1660" i="1"/>
  <c r="L1668" i="1"/>
  <c r="L1676" i="1"/>
  <c r="L1684" i="1"/>
  <c r="L1692" i="1"/>
  <c r="L1700" i="1"/>
  <c r="L1708" i="1"/>
  <c r="L1716" i="1"/>
  <c r="L1724" i="1"/>
  <c r="L1732" i="1"/>
  <c r="L1740" i="1"/>
  <c r="L1748" i="1"/>
  <c r="L1756" i="1"/>
  <c r="L1764" i="1"/>
  <c r="L1772" i="1"/>
  <c r="L1780" i="1"/>
  <c r="L1788" i="1"/>
  <c r="L1798" i="1"/>
  <c r="L1804" i="1"/>
  <c r="L1816" i="1"/>
  <c r="L1825" i="1"/>
  <c r="L1840" i="1"/>
  <c r="L1849" i="1"/>
  <c r="L1856" i="1"/>
  <c r="L1865" i="1"/>
  <c r="L1867" i="1"/>
  <c r="L1872" i="1"/>
  <c r="L1881" i="1"/>
  <c r="L1883" i="1"/>
  <c r="L1913" i="1"/>
  <c r="L1922" i="1"/>
  <c r="L1924" i="1"/>
  <c r="L1929" i="1"/>
  <c r="L1938" i="1"/>
  <c r="L1940" i="1"/>
  <c r="L1945" i="1"/>
  <c r="L1957" i="1"/>
  <c r="L1966" i="1"/>
  <c r="L1968" i="1"/>
  <c r="L1973" i="1"/>
  <c r="L1978" i="1"/>
  <c r="L1986" i="1"/>
  <c r="L1988" i="1"/>
  <c r="L3" i="1"/>
  <c r="L7" i="1"/>
  <c r="L11" i="1"/>
  <c r="L15" i="1"/>
  <c r="L19" i="1"/>
  <c r="L23" i="1"/>
  <c r="L27" i="1"/>
  <c r="L31" i="1"/>
  <c r="L35" i="1"/>
  <c r="L39" i="1"/>
  <c r="L43" i="1"/>
  <c r="L47" i="1"/>
  <c r="L51" i="1"/>
  <c r="L55" i="1"/>
  <c r="L59" i="1"/>
  <c r="L63" i="1"/>
  <c r="L67" i="1"/>
  <c r="L71" i="1"/>
  <c r="L75" i="1"/>
  <c r="L79" i="1"/>
  <c r="L83" i="1"/>
  <c r="L87" i="1"/>
  <c r="L91" i="1"/>
  <c r="L95" i="1"/>
  <c r="L99" i="1"/>
  <c r="L103" i="1"/>
  <c r="L107" i="1"/>
  <c r="L111" i="1"/>
  <c r="L115" i="1"/>
  <c r="L119" i="1"/>
  <c r="L123" i="1"/>
  <c r="L127" i="1"/>
  <c r="L131" i="1"/>
  <c r="L135" i="1"/>
  <c r="L139" i="1"/>
  <c r="L143" i="1"/>
  <c r="L147" i="1"/>
  <c r="L151" i="1"/>
  <c r="L155" i="1"/>
  <c r="L159" i="1"/>
  <c r="L163" i="1"/>
  <c r="L170" i="1"/>
  <c r="L186" i="1"/>
  <c r="L202" i="1"/>
  <c r="L218" i="1"/>
  <c r="L228" i="1"/>
  <c r="L232" i="1"/>
  <c r="L5" i="1"/>
  <c r="L9" i="1"/>
  <c r="L13" i="1"/>
  <c r="L17" i="1"/>
  <c r="L21" i="1"/>
  <c r="L25" i="1"/>
  <c r="L29" i="1"/>
  <c r="L33" i="1"/>
  <c r="L37" i="1"/>
  <c r="L41" i="1"/>
  <c r="L45" i="1"/>
  <c r="L49" i="1"/>
  <c r="L53" i="1"/>
  <c r="L57" i="1"/>
  <c r="L61" i="1"/>
  <c r="L65" i="1"/>
  <c r="L69" i="1"/>
  <c r="L73" i="1"/>
  <c r="L77" i="1"/>
  <c r="L81" i="1"/>
  <c r="L85" i="1"/>
  <c r="L89" i="1"/>
  <c r="L93" i="1"/>
  <c r="L97" i="1"/>
  <c r="L101" i="1"/>
  <c r="L105" i="1"/>
  <c r="L109" i="1"/>
  <c r="L113" i="1"/>
  <c r="L117" i="1"/>
  <c r="L121" i="1"/>
  <c r="L125" i="1"/>
  <c r="L129" i="1"/>
  <c r="L133" i="1"/>
  <c r="L137" i="1"/>
  <c r="L141" i="1"/>
  <c r="L145" i="1"/>
  <c r="L149" i="1"/>
  <c r="L153" i="1"/>
  <c r="L157" i="1"/>
  <c r="L161" i="1"/>
  <c r="L165" i="1"/>
  <c r="L171" i="1"/>
  <c r="L178" i="1"/>
  <c r="L194" i="1"/>
  <c r="L210" i="1"/>
  <c r="L226" i="1"/>
  <c r="L230" i="1"/>
  <c r="L234" i="1"/>
  <c r="L308" i="1"/>
  <c r="L312" i="1"/>
  <c r="L316" i="1"/>
  <c r="L320" i="1"/>
  <c r="L324" i="1"/>
  <c r="L328" i="1"/>
  <c r="L332" i="1"/>
  <c r="L336" i="1"/>
  <c r="L340" i="1"/>
  <c r="L344" i="1"/>
  <c r="L348" i="1"/>
  <c r="L352" i="1"/>
  <c r="L356" i="1"/>
  <c r="L360" i="1"/>
  <c r="L364" i="1"/>
  <c r="L368" i="1"/>
  <c r="L372" i="1"/>
  <c r="L376" i="1"/>
  <c r="L380" i="1"/>
  <c r="L384" i="1"/>
  <c r="L388" i="1"/>
  <c r="L392" i="1"/>
  <c r="L396" i="1"/>
  <c r="L400" i="1"/>
  <c r="L404" i="1"/>
  <c r="L407" i="1"/>
  <c r="L409" i="1"/>
  <c r="L411" i="1"/>
  <c r="L414" i="1"/>
  <c r="L416" i="1"/>
  <c r="L418" i="1"/>
  <c r="L420" i="1"/>
  <c r="L422" i="1"/>
  <c r="L424" i="1"/>
  <c r="L426" i="1"/>
  <c r="L428" i="1"/>
  <c r="L430" i="1"/>
  <c r="L432" i="1"/>
  <c r="L434" i="1"/>
  <c r="L436" i="1"/>
  <c r="L438" i="1"/>
  <c r="L440" i="1"/>
  <c r="L442" i="1"/>
  <c r="L444" i="1"/>
  <c r="L446" i="1"/>
  <c r="L448" i="1"/>
  <c r="L450" i="1"/>
  <c r="L721" i="1"/>
  <c r="L725" i="1"/>
  <c r="L729" i="1"/>
  <c r="L733" i="1"/>
  <c r="L737" i="1"/>
  <c r="L741" i="1"/>
  <c r="L745" i="1"/>
  <c r="L749" i="1"/>
  <c r="L753" i="1"/>
  <c r="L757" i="1"/>
  <c r="L761" i="1"/>
  <c r="L765" i="1"/>
  <c r="L168" i="1"/>
  <c r="L172" i="1"/>
  <c r="L176" i="1"/>
  <c r="L180" i="1"/>
  <c r="L184" i="1"/>
  <c r="L188" i="1"/>
  <c r="L192" i="1"/>
  <c r="L196" i="1"/>
  <c r="L200" i="1"/>
  <c r="L204" i="1"/>
  <c r="L208" i="1"/>
  <c r="L212" i="1"/>
  <c r="L216" i="1"/>
  <c r="L220" i="1"/>
  <c r="L224" i="1"/>
  <c r="L366" i="1"/>
  <c r="L402" i="1"/>
  <c r="L406" i="1"/>
  <c r="L408" i="1"/>
  <c r="L410" i="1"/>
  <c r="L413" i="1"/>
  <c r="L415" i="1"/>
  <c r="L417" i="1"/>
  <c r="L419" i="1"/>
  <c r="L421" i="1"/>
  <c r="L423" i="1"/>
  <c r="L425" i="1"/>
  <c r="L427" i="1"/>
  <c r="L429" i="1"/>
  <c r="L431" i="1"/>
  <c r="L433" i="1"/>
  <c r="L435" i="1"/>
  <c r="L437" i="1"/>
  <c r="L439" i="1"/>
  <c r="L441" i="1"/>
  <c r="L443" i="1"/>
  <c r="L445" i="1"/>
  <c r="L449" i="1"/>
  <c r="L451" i="1"/>
  <c r="L453" i="1"/>
  <c r="L455" i="1"/>
  <c r="L457" i="1"/>
  <c r="L459" i="1"/>
  <c r="L461" i="1"/>
  <c r="L532" i="1"/>
  <c r="L536" i="1"/>
  <c r="L540" i="1"/>
  <c r="L544" i="1"/>
  <c r="L576" i="1"/>
  <c r="L648" i="1"/>
  <c r="L656" i="1"/>
  <c r="L660" i="1"/>
  <c r="L672" i="1"/>
  <c r="L692" i="1"/>
  <c r="L696" i="1"/>
  <c r="L700" i="1"/>
  <c r="L704" i="1"/>
  <c r="L708" i="1"/>
  <c r="L712" i="1"/>
  <c r="L716" i="1"/>
  <c r="L720" i="1"/>
  <c r="L724" i="1"/>
  <c r="L728" i="1"/>
  <c r="L732" i="1"/>
  <c r="L736" i="1"/>
  <c r="L740" i="1"/>
  <c r="L744" i="1"/>
  <c r="L748" i="1"/>
  <c r="L752" i="1"/>
  <c r="L756" i="1"/>
  <c r="L760" i="1"/>
  <c r="L764" i="1"/>
  <c r="L768" i="1"/>
  <c r="L771" i="1"/>
  <c r="L175" i="1"/>
  <c r="L179" i="1"/>
  <c r="L183" i="1"/>
  <c r="L187" i="1"/>
  <c r="L191" i="1"/>
  <c r="L195" i="1"/>
  <c r="L199" i="1"/>
  <c r="L203" i="1"/>
  <c r="L207" i="1"/>
  <c r="L211" i="1"/>
  <c r="L215" i="1"/>
  <c r="L219" i="1"/>
  <c r="L223" i="1"/>
  <c r="L309" i="1"/>
  <c r="L313" i="1"/>
  <c r="L317" i="1"/>
  <c r="L321" i="1"/>
  <c r="L325" i="1"/>
  <c r="L329" i="1"/>
  <c r="L333" i="1"/>
  <c r="L337" i="1"/>
  <c r="L341" i="1"/>
  <c r="L345" i="1"/>
  <c r="L349" i="1"/>
  <c r="L353" i="1"/>
  <c r="L357" i="1"/>
  <c r="L361" i="1"/>
  <c r="L365" i="1"/>
  <c r="L369" i="1"/>
  <c r="L373" i="1"/>
  <c r="L377" i="1"/>
  <c r="L381" i="1"/>
  <c r="L385" i="1"/>
  <c r="L389" i="1"/>
  <c r="L393" i="1"/>
  <c r="L397" i="1"/>
  <c r="L401" i="1"/>
  <c r="L405" i="1"/>
  <c r="L412" i="1"/>
  <c r="L535" i="1"/>
  <c r="L539" i="1"/>
  <c r="L543" i="1"/>
  <c r="L547" i="1"/>
  <c r="L551" i="1"/>
  <c r="L555" i="1"/>
  <c r="L559" i="1"/>
  <c r="L563" i="1"/>
  <c r="L567" i="1"/>
  <c r="L571" i="1"/>
  <c r="L575" i="1"/>
  <c r="L579" i="1"/>
  <c r="L583" i="1"/>
  <c r="L587" i="1"/>
  <c r="L591" i="1"/>
  <c r="L595" i="1"/>
  <c r="L599" i="1"/>
  <c r="L603" i="1"/>
  <c r="L607" i="1"/>
  <c r="L611" i="1"/>
  <c r="L615" i="1"/>
  <c r="L619" i="1"/>
  <c r="L623" i="1"/>
  <c r="L627" i="1"/>
  <c r="L631" i="1"/>
  <c r="L635" i="1"/>
  <c r="L639" i="1"/>
  <c r="L643" i="1"/>
  <c r="L647" i="1"/>
  <c r="L651" i="1"/>
  <c r="L655" i="1"/>
  <c r="L659" i="1"/>
  <c r="L663" i="1"/>
  <c r="L667" i="1"/>
  <c r="L671" i="1"/>
  <c r="L675" i="1"/>
  <c r="L679" i="1"/>
  <c r="L683" i="1"/>
  <c r="L687" i="1"/>
  <c r="L691" i="1"/>
  <c r="L695" i="1"/>
  <c r="L699" i="1"/>
  <c r="L703" i="1"/>
  <c r="L707" i="1"/>
  <c r="L711" i="1"/>
  <c r="L715" i="1"/>
  <c r="L719" i="1"/>
  <c r="L723" i="1"/>
  <c r="L727" i="1"/>
  <c r="L731" i="1"/>
  <c r="L739" i="1"/>
  <c r="L769" i="1"/>
  <c r="L773" i="1"/>
  <c r="L777" i="1"/>
  <c r="L781" i="1"/>
  <c r="L785" i="1"/>
  <c r="L789" i="1"/>
  <c r="L793" i="1"/>
  <c r="L797" i="1"/>
  <c r="L801" i="1"/>
  <c r="L805" i="1"/>
  <c r="L809" i="1"/>
  <c r="L817" i="1"/>
  <c r="L821" i="1"/>
  <c r="L825" i="1"/>
  <c r="L829" i="1"/>
  <c r="L833" i="1"/>
  <c r="L837" i="1"/>
  <c r="L841" i="1"/>
  <c r="L845" i="1"/>
  <c r="L849" i="1"/>
  <c r="L853" i="1"/>
  <c r="L857" i="1"/>
  <c r="L861" i="1"/>
  <c r="L865" i="1"/>
  <c r="L869" i="1"/>
  <c r="L873" i="1"/>
  <c r="L877" i="1"/>
  <c r="L881" i="1"/>
  <c r="L885" i="1"/>
  <c r="L889" i="1"/>
  <c r="L893" i="1"/>
  <c r="L897" i="1"/>
  <c r="L901" i="1"/>
  <c r="L905" i="1"/>
  <c r="L909" i="1"/>
  <c r="L913" i="1"/>
  <c r="L917" i="1"/>
  <c r="L921" i="1"/>
  <c r="L925" i="1"/>
  <c r="L929" i="1"/>
  <c r="L933" i="1"/>
  <c r="L937" i="1"/>
  <c r="L772" i="1"/>
  <c r="L776" i="1"/>
  <c r="L780" i="1"/>
  <c r="L784" i="1"/>
  <c r="L788" i="1"/>
  <c r="L792" i="1"/>
  <c r="L796" i="1"/>
  <c r="L800" i="1"/>
  <c r="L804" i="1"/>
  <c r="L808" i="1"/>
  <c r="L812" i="1"/>
  <c r="L816" i="1"/>
  <c r="L844" i="1"/>
  <c r="L848" i="1"/>
  <c r="L852" i="1"/>
  <c r="L856" i="1"/>
  <c r="L860" i="1"/>
  <c r="L864" i="1"/>
  <c r="L868" i="1"/>
  <c r="L872" i="1"/>
  <c r="L876" i="1"/>
  <c r="L880" i="1"/>
  <c r="L884" i="1"/>
  <c r="L888" i="1"/>
  <c r="L892" i="1"/>
  <c r="L896" i="1"/>
  <c r="L900" i="1"/>
  <c r="L904" i="1"/>
  <c r="L908" i="1"/>
  <c r="L912" i="1"/>
  <c r="L916" i="1"/>
  <c r="L920" i="1"/>
  <c r="L924" i="1"/>
  <c r="L928" i="1"/>
  <c r="L932" i="1"/>
  <c r="L936" i="1"/>
  <c r="L940" i="1"/>
  <c r="L779" i="1"/>
  <c r="L783" i="1"/>
  <c r="L787" i="1"/>
  <c r="L791" i="1"/>
  <c r="L795" i="1"/>
  <c r="L799" i="1"/>
  <c r="L803" i="1"/>
  <c r="L807" i="1"/>
  <c r="L811" i="1"/>
  <c r="L815" i="1"/>
  <c r="L819" i="1"/>
  <c r="L823" i="1"/>
  <c r="L827" i="1"/>
  <c r="L831" i="1"/>
  <c r="L835" i="1"/>
  <c r="L839" i="1"/>
  <c r="L843" i="1"/>
  <c r="L847" i="1"/>
  <c r="L851" i="1"/>
  <c r="L855" i="1"/>
  <c r="L859" i="1"/>
  <c r="L863" i="1"/>
  <c r="L867" i="1"/>
  <c r="L871" i="1"/>
  <c r="L875" i="1"/>
  <c r="L879" i="1"/>
  <c r="L883" i="1"/>
  <c r="L887" i="1"/>
  <c r="L891" i="1"/>
  <c r="L895" i="1"/>
  <c r="L899" i="1"/>
  <c r="L903" i="1"/>
  <c r="L907" i="1"/>
  <c r="L911" i="1"/>
  <c r="L915" i="1"/>
  <c r="L919" i="1"/>
  <c r="L923" i="1"/>
  <c r="L927" i="1"/>
  <c r="L931" i="1"/>
  <c r="L935" i="1"/>
  <c r="L939" i="1"/>
  <c r="L943" i="1"/>
  <c r="L947" i="1"/>
  <c r="L951" i="1"/>
  <c r="L955" i="1"/>
  <c r="L959" i="1"/>
  <c r="L963" i="1"/>
  <c r="L967" i="1"/>
  <c r="L971" i="1"/>
  <c r="L991" i="1"/>
  <c r="L995" i="1"/>
  <c r="L999" i="1"/>
  <c r="L1003" i="1"/>
  <c r="L1007" i="1"/>
  <c r="L1011" i="1"/>
  <c r="L1015" i="1"/>
  <c r="L1019" i="1"/>
  <c r="L1023" i="1"/>
  <c r="L1027" i="1"/>
  <c r="L1031" i="1"/>
  <c r="L1035" i="1"/>
  <c r="L1039" i="1"/>
  <c r="L1043" i="1"/>
  <c r="L1047" i="1"/>
  <c r="L1050" i="1"/>
  <c r="L1052" i="1"/>
  <c r="L1054" i="1"/>
  <c r="L1056" i="1"/>
  <c r="L1058" i="1"/>
  <c r="L1062" i="1"/>
  <c r="L1086" i="1"/>
  <c r="L1090" i="1"/>
  <c r="L1094" i="1"/>
  <c r="L1098" i="1"/>
  <c r="L1102" i="1"/>
  <c r="L1106" i="1"/>
  <c r="L1110" i="1"/>
  <c r="L1114" i="1"/>
  <c r="L1118" i="1"/>
  <c r="L1122" i="1"/>
  <c r="L1126" i="1"/>
  <c r="L1130" i="1"/>
  <c r="L1134" i="1"/>
  <c r="L1138" i="1"/>
  <c r="L1142" i="1"/>
  <c r="L1146" i="1"/>
  <c r="L1150" i="1"/>
  <c r="L1154" i="1"/>
  <c r="L1158" i="1"/>
  <c r="L1162" i="1"/>
  <c r="L1166" i="1"/>
  <c r="L1170" i="1"/>
  <c r="L1174" i="1"/>
  <c r="L1178" i="1"/>
  <c r="L1182" i="1"/>
  <c r="L1186" i="1"/>
  <c r="L1190" i="1"/>
  <c r="L1194" i="1"/>
  <c r="L1198" i="1"/>
  <c r="L1202" i="1"/>
  <c r="L1206" i="1"/>
  <c r="L1210" i="1"/>
  <c r="L1214" i="1"/>
  <c r="L1218" i="1"/>
  <c r="L1222" i="1"/>
  <c r="L1226" i="1"/>
  <c r="L1230" i="1"/>
  <c r="L1234" i="1"/>
  <c r="L1238" i="1"/>
  <c r="L1242" i="1"/>
  <c r="L1246" i="1"/>
  <c r="L1250" i="1"/>
  <c r="L1254" i="1"/>
  <c r="L1258" i="1"/>
  <c r="L1262" i="1"/>
  <c r="L1266" i="1"/>
  <c r="L1270" i="1"/>
  <c r="L1274" i="1"/>
  <c r="L1278" i="1"/>
  <c r="L1282" i="1"/>
  <c r="L941" i="1"/>
  <c r="L945" i="1"/>
  <c r="L949" i="1"/>
  <c r="L953" i="1"/>
  <c r="L957" i="1"/>
  <c r="L961" i="1"/>
  <c r="L965" i="1"/>
  <c r="L969" i="1"/>
  <c r="L973" i="1"/>
  <c r="L989" i="1"/>
  <c r="L993" i="1"/>
  <c r="L997" i="1"/>
  <c r="L1001" i="1"/>
  <c r="L1005" i="1"/>
  <c r="L1009" i="1"/>
  <c r="L1013" i="1"/>
  <c r="L1017" i="1"/>
  <c r="L1021" i="1"/>
  <c r="L1025" i="1"/>
  <c r="L1029" i="1"/>
  <c r="L1033" i="1"/>
  <c r="L1037" i="1"/>
  <c r="L1041" i="1"/>
  <c r="L1045" i="1"/>
  <c r="L1049" i="1"/>
  <c r="L1051" i="1"/>
  <c r="L1053" i="1"/>
  <c r="L1055" i="1"/>
  <c r="L1057" i="1"/>
  <c r="L1060" i="1"/>
  <c r="L1064" i="1"/>
  <c r="L1068" i="1"/>
  <c r="L1072" i="1"/>
  <c r="L1076" i="1"/>
  <c r="L1080" i="1"/>
  <c r="L1084" i="1"/>
  <c r="L1088" i="1"/>
  <c r="L1092" i="1"/>
  <c r="L1096" i="1"/>
  <c r="L1108" i="1"/>
  <c r="L1112" i="1"/>
  <c r="L1116" i="1"/>
  <c r="L1120" i="1"/>
  <c r="L1124" i="1"/>
  <c r="L1128" i="1"/>
  <c r="L1132" i="1"/>
  <c r="L1136" i="1"/>
  <c r="L1140" i="1"/>
  <c r="L1144" i="1"/>
  <c r="L1148" i="1"/>
  <c r="L1152" i="1"/>
  <c r="L1156" i="1"/>
  <c r="L1160" i="1"/>
  <c r="L1164" i="1"/>
  <c r="L1168" i="1"/>
  <c r="L1172" i="1"/>
  <c r="L1176" i="1"/>
  <c r="L1180" i="1"/>
  <c r="L1184" i="1"/>
  <c r="L1188" i="1"/>
  <c r="L1192" i="1"/>
  <c r="L1196" i="1"/>
  <c r="L1200" i="1"/>
  <c r="L1204" i="1"/>
  <c r="L1208" i="1"/>
  <c r="L1212" i="1"/>
  <c r="L1216" i="1"/>
  <c r="L1220" i="1"/>
  <c r="L1224" i="1"/>
  <c r="L1228" i="1"/>
  <c r="L1232" i="1"/>
  <c r="L1236" i="1"/>
  <c r="L1240" i="1"/>
  <c r="L1244" i="1"/>
  <c r="L1248" i="1"/>
  <c r="L1252" i="1"/>
  <c r="L1256" i="1"/>
  <c r="L1260" i="1"/>
  <c r="L1264" i="1"/>
  <c r="L1268" i="1"/>
  <c r="L1272" i="1"/>
  <c r="L1276" i="1"/>
  <c r="L1280" i="1"/>
  <c r="L1287" i="1"/>
  <c r="L1291" i="1"/>
  <c r="L1295" i="1"/>
  <c r="L1299" i="1"/>
  <c r="L1303" i="1"/>
  <c r="L1307" i="1"/>
  <c r="L1311" i="1"/>
  <c r="L1315" i="1"/>
  <c r="L1319" i="1"/>
  <c r="L1323" i="1"/>
  <c r="L1327" i="1"/>
  <c r="L1331" i="1"/>
  <c r="L1335" i="1"/>
  <c r="L1339" i="1"/>
  <c r="L1342" i="1"/>
  <c r="L1346" i="1"/>
  <c r="L1350" i="1"/>
  <c r="L1354" i="1"/>
  <c r="L1358" i="1"/>
  <c r="L1362" i="1"/>
  <c r="L1366" i="1"/>
  <c r="L1370" i="1"/>
  <c r="L1285" i="1"/>
  <c r="L1289" i="1"/>
  <c r="L1293" i="1"/>
  <c r="L1297" i="1"/>
  <c r="L1301" i="1"/>
  <c r="L1305" i="1"/>
  <c r="L1309" i="1"/>
  <c r="L1313" i="1"/>
  <c r="L1317" i="1"/>
  <c r="L1321" i="1"/>
  <c r="L1325" i="1"/>
  <c r="L1329" i="1"/>
  <c r="L1333" i="1"/>
  <c r="L1337" i="1"/>
  <c r="L1341" i="1"/>
  <c r="L1345" i="1"/>
  <c r="L1349" i="1"/>
  <c r="L1353" i="1"/>
  <c r="L1357" i="1"/>
  <c r="L1361" i="1"/>
  <c r="L1365" i="1"/>
  <c r="L1369" i="1"/>
  <c r="L1373" i="1"/>
  <c r="L1377" i="1"/>
  <c r="L1381" i="1"/>
  <c r="L1385" i="1"/>
  <c r="L1389" i="1"/>
  <c r="L1393" i="1"/>
  <c r="L1397" i="1"/>
  <c r="L1401" i="1"/>
  <c r="L1405" i="1"/>
  <c r="L1409" i="1"/>
  <c r="L1413" i="1"/>
  <c r="L1417" i="1"/>
  <c r="L1421" i="1"/>
  <c r="L1425" i="1"/>
  <c r="L1429" i="1"/>
  <c r="L1433" i="1"/>
  <c r="L1437" i="1"/>
  <c r="L1441" i="1"/>
  <c r="L1445" i="1"/>
  <c r="L1449" i="1"/>
  <c r="L1453" i="1"/>
  <c r="L1288" i="1"/>
  <c r="L1292" i="1"/>
  <c r="L1296" i="1"/>
  <c r="L1300" i="1"/>
  <c r="L1304" i="1"/>
  <c r="L1308" i="1"/>
  <c r="L1312" i="1"/>
  <c r="L1316" i="1"/>
  <c r="L1320" i="1"/>
  <c r="L1324" i="1"/>
  <c r="L1328" i="1"/>
  <c r="L1332" i="1"/>
  <c r="L1336" i="1"/>
  <c r="L1340" i="1"/>
  <c r="L1344" i="1"/>
  <c r="L1348" i="1"/>
  <c r="L1352" i="1"/>
  <c r="L1356" i="1"/>
  <c r="L1360" i="1"/>
  <c r="L1364" i="1"/>
  <c r="L1368" i="1"/>
  <c r="L1372" i="1"/>
  <c r="L1376" i="1"/>
  <c r="L1380" i="1"/>
  <c r="L1384" i="1"/>
  <c r="L1388" i="1"/>
  <c r="L1392" i="1"/>
  <c r="L1412" i="1"/>
  <c r="L1416" i="1"/>
  <c r="L1420" i="1"/>
  <c r="L1424" i="1"/>
  <c r="L1428" i="1"/>
  <c r="L1432" i="1"/>
  <c r="L1436" i="1"/>
  <c r="L1440" i="1"/>
  <c r="L1444" i="1"/>
  <c r="L1448" i="1"/>
  <c r="L1452" i="1"/>
  <c r="L1455" i="1"/>
  <c r="L1459" i="1"/>
  <c r="L1463" i="1"/>
  <c r="L1467" i="1"/>
  <c r="L1471" i="1"/>
  <c r="L1473" i="1"/>
  <c r="L1478" i="1"/>
  <c r="L1480" i="1"/>
  <c r="L1490" i="1"/>
  <c r="L1494" i="1"/>
  <c r="L1498" i="1"/>
  <c r="L1502" i="1"/>
  <c r="L1506" i="1"/>
  <c r="L1510" i="1"/>
  <c r="L1514" i="1"/>
  <c r="L1518" i="1"/>
  <c r="L1522" i="1"/>
  <c r="L1526" i="1"/>
  <c r="L1530" i="1"/>
  <c r="L1534" i="1"/>
  <c r="L1538" i="1"/>
  <c r="L1542" i="1"/>
  <c r="L1546" i="1"/>
  <c r="L1550" i="1"/>
  <c r="L1554" i="1"/>
  <c r="L1558" i="1"/>
  <c r="L1562" i="1"/>
  <c r="L1566" i="1"/>
  <c r="L1570" i="1"/>
  <c r="L1574" i="1"/>
  <c r="L1578" i="1"/>
  <c r="L1582" i="1"/>
  <c r="L1586" i="1"/>
  <c r="L1590" i="1"/>
  <c r="L1594" i="1"/>
  <c r="L1598" i="1"/>
  <c r="L1602" i="1"/>
  <c r="L1606" i="1"/>
  <c r="L1610" i="1"/>
  <c r="L1614" i="1"/>
  <c r="L1618" i="1"/>
  <c r="L1622" i="1"/>
  <c r="L1626" i="1"/>
  <c r="L1630" i="1"/>
  <c r="L1633" i="1"/>
  <c r="L1637" i="1"/>
  <c r="L1641" i="1"/>
  <c r="L1645" i="1"/>
  <c r="L1649" i="1"/>
  <c r="L1681" i="1"/>
  <c r="L1685" i="1"/>
  <c r="L1689" i="1"/>
  <c r="L1693" i="1"/>
  <c r="L1697" i="1"/>
  <c r="L1701" i="1"/>
  <c r="L1705" i="1"/>
  <c r="L1709" i="1"/>
  <c r="L1713" i="1"/>
  <c r="L1717" i="1"/>
  <c r="L1721" i="1"/>
  <c r="L1725" i="1"/>
  <c r="L1729" i="1"/>
  <c r="L1733" i="1"/>
  <c r="L1737" i="1"/>
  <c r="L1741" i="1"/>
  <c r="L1745" i="1"/>
  <c r="L1749" i="1"/>
  <c r="L1753" i="1"/>
  <c r="L1757" i="1"/>
  <c r="L1761" i="1"/>
  <c r="L1765" i="1"/>
  <c r="L1769" i="1"/>
  <c r="L1773" i="1"/>
  <c r="L1777" i="1"/>
  <c r="L1781" i="1"/>
  <c r="L1785" i="1"/>
  <c r="L1789" i="1"/>
  <c r="L1793" i="1"/>
  <c r="L1797" i="1"/>
  <c r="L1801" i="1"/>
  <c r="L1457" i="1"/>
  <c r="L1461" i="1"/>
  <c r="L1465" i="1"/>
  <c r="L1469" i="1"/>
  <c r="L1472" i="1"/>
  <c r="L1477" i="1"/>
  <c r="L1479" i="1"/>
  <c r="L1520" i="1"/>
  <c r="L1524" i="1"/>
  <c r="L1528" i="1"/>
  <c r="L1532" i="1"/>
  <c r="L1536" i="1"/>
  <c r="L1540" i="1"/>
  <c r="L1544" i="1"/>
  <c r="L1548" i="1"/>
  <c r="L1552" i="1"/>
  <c r="L1556" i="1"/>
  <c r="L1560" i="1"/>
  <c r="L1564" i="1"/>
  <c r="L1568" i="1"/>
  <c r="L1572" i="1"/>
  <c r="L1576" i="1"/>
  <c r="L1580" i="1"/>
  <c r="L1584" i="1"/>
  <c r="L1588" i="1"/>
  <c r="L1592" i="1"/>
  <c r="L1596" i="1"/>
  <c r="L1600" i="1"/>
  <c r="L1604" i="1"/>
  <c r="L1608" i="1"/>
  <c r="L1612" i="1"/>
  <c r="L1616" i="1"/>
  <c r="L1627" i="1"/>
  <c r="L1631" i="1"/>
  <c r="L1635" i="1"/>
  <c r="L1639" i="1"/>
  <c r="L1643" i="1"/>
  <c r="L1647" i="1"/>
  <c r="L1683" i="1"/>
  <c r="L1687" i="1"/>
  <c r="L1691" i="1"/>
  <c r="L1695" i="1"/>
  <c r="L1699" i="1"/>
  <c r="L1703" i="1"/>
  <c r="L1707" i="1"/>
  <c r="L1711" i="1"/>
  <c r="L1715" i="1"/>
  <c r="L1719" i="1"/>
  <c r="L1723" i="1"/>
  <c r="L1727" i="1"/>
  <c r="L1731" i="1"/>
  <c r="L1735" i="1"/>
  <c r="L1739" i="1"/>
  <c r="L1743" i="1"/>
  <c r="L1747" i="1"/>
  <c r="L1751" i="1"/>
  <c r="L1755" i="1"/>
  <c r="L1759" i="1"/>
  <c r="L1763" i="1"/>
  <c r="L1767" i="1"/>
  <c r="L1771" i="1"/>
  <c r="L1775" i="1"/>
  <c r="L1779" i="1"/>
  <c r="L1783" i="1"/>
  <c r="L1787" i="1"/>
  <c r="L1791" i="1"/>
  <c r="L1795" i="1"/>
  <c r="L1799" i="1"/>
  <c r="L2001" i="1"/>
  <c r="L1892" i="1"/>
  <c r="L1894" i="1"/>
  <c r="L1896" i="1"/>
  <c r="L1811" i="1"/>
  <c r="L1815" i="1"/>
  <c r="L1831" i="1"/>
  <c r="L1835" i="1"/>
  <c r="L1851" i="1"/>
  <c r="L1944" i="1"/>
  <c r="L1948" i="1"/>
  <c r="L1972" i="1"/>
  <c r="L1976" i="1"/>
  <c r="L1980" i="1"/>
  <c r="L1984" i="1"/>
  <c r="L1802" i="1"/>
  <c r="L1806" i="1"/>
  <c r="L1810" i="1"/>
  <c r="L1814" i="1"/>
  <c r="L1818" i="1"/>
  <c r="L1822" i="1"/>
  <c r="L1826" i="1"/>
  <c r="L1830" i="1"/>
  <c r="L1834" i="1"/>
  <c r="L1838" i="1"/>
  <c r="L1842" i="1"/>
  <c r="L1846" i="1"/>
  <c r="L1850" i="1"/>
  <c r="L1854" i="1"/>
  <c r="L1858" i="1"/>
  <c r="L1862" i="1"/>
  <c r="L1866" i="1"/>
  <c r="L1870" i="1"/>
  <c r="L1874" i="1"/>
  <c r="L1878" i="1"/>
  <c r="L1882" i="1"/>
  <c r="L1886" i="1"/>
  <c r="L1891" i="1"/>
  <c r="L1893" i="1"/>
  <c r="L1895" i="1"/>
  <c r="L1897" i="1"/>
  <c r="L1899" i="1"/>
  <c r="L1901" i="1"/>
  <c r="L1903" i="1"/>
  <c r="L1907" i="1"/>
  <c r="L1911" i="1"/>
  <c r="L1915" i="1"/>
  <c r="L1919" i="1"/>
  <c r="L1923" i="1"/>
  <c r="L1927" i="1"/>
  <c r="L1931" i="1"/>
  <c r="L1935" i="1"/>
  <c r="L1939" i="1"/>
  <c r="L1943" i="1"/>
  <c r="L1947" i="1"/>
  <c r="L1951" i="1"/>
  <c r="L1955" i="1"/>
  <c r="L1959" i="1"/>
  <c r="L1963" i="1"/>
  <c r="L1967" i="1"/>
  <c r="L1971" i="1"/>
  <c r="L1975" i="1"/>
  <c r="L1979" i="1"/>
  <c r="L1983" i="1"/>
  <c r="L311" i="1"/>
  <c r="L315" i="1"/>
  <c r="L319" i="1"/>
  <c r="L323" i="1"/>
  <c r="L327" i="1"/>
  <c r="L310" i="1"/>
  <c r="L314" i="1"/>
  <c r="L318" i="1"/>
  <c r="L322" i="1"/>
  <c r="L326" i="1"/>
  <c r="L330" i="1"/>
  <c r="L334" i="1"/>
  <c r="L479" i="1"/>
  <c r="L483" i="1"/>
  <c r="L487" i="1"/>
  <c r="L491" i="1"/>
  <c r="L495" i="1"/>
  <c r="L499" i="1"/>
  <c r="L503" i="1"/>
  <c r="L507" i="1"/>
  <c r="L511" i="1"/>
  <c r="L515" i="1"/>
  <c r="L519" i="1"/>
  <c r="L523" i="1"/>
  <c r="L527" i="1"/>
  <c r="L531" i="1"/>
  <c r="L498" i="1"/>
  <c r="L502" i="1"/>
  <c r="L506" i="1"/>
  <c r="L510" i="1"/>
  <c r="L514" i="1"/>
  <c r="L518" i="1"/>
  <c r="L529" i="1"/>
  <c r="L533" i="1"/>
  <c r="L537" i="1"/>
  <c r="L810" i="1"/>
  <c r="L814" i="1"/>
  <c r="L818" i="1"/>
  <c r="L822" i="1"/>
  <c r="L826" i="1"/>
  <c r="L830" i="1"/>
  <c r="L834" i="1"/>
  <c r="L838" i="1"/>
  <c r="L842" i="1"/>
  <c r="L846" i="1"/>
  <c r="L850" i="1"/>
  <c r="L813" i="1"/>
  <c r="L820" i="1"/>
  <c r="L824" i="1"/>
  <c r="L828" i="1"/>
  <c r="L832" i="1"/>
  <c r="L836" i="1"/>
  <c r="L840" i="1"/>
  <c r="L975" i="1"/>
  <c r="L979" i="1"/>
  <c r="L983" i="1"/>
  <c r="L987" i="1"/>
  <c r="L977" i="1"/>
  <c r="L981" i="1"/>
  <c r="L985" i="1"/>
  <c r="L1066" i="1"/>
  <c r="L1070" i="1"/>
  <c r="L1074" i="1"/>
  <c r="L1078" i="1"/>
  <c r="L1082" i="1"/>
  <c r="L1069" i="1"/>
  <c r="L1073" i="1"/>
  <c r="L1077" i="1"/>
  <c r="L1085" i="1"/>
  <c r="L1089" i="1"/>
  <c r="L1100" i="1"/>
  <c r="L1104" i="1"/>
  <c r="L1095" i="1"/>
  <c r="L1099" i="1"/>
  <c r="L1103" i="1"/>
  <c r="L1111" i="1"/>
  <c r="L1398" i="1"/>
  <c r="L1402" i="1"/>
  <c r="L1406" i="1"/>
  <c r="L1396" i="1"/>
  <c r="L1400" i="1"/>
  <c r="L1404" i="1"/>
  <c r="L1408" i="1"/>
  <c r="L1488" i="1"/>
  <c r="L1492" i="1"/>
  <c r="L1496" i="1"/>
  <c r="L1500" i="1"/>
  <c r="L1504" i="1"/>
  <c r="L1508" i="1"/>
  <c r="L1512" i="1"/>
  <c r="L1516" i="1"/>
  <c r="L1491" i="1"/>
  <c r="L1653" i="1"/>
  <c r="L1657" i="1"/>
  <c r="L1661" i="1"/>
  <c r="L1665" i="1"/>
  <c r="L1669" i="1"/>
  <c r="L1673" i="1"/>
  <c r="L1677" i="1"/>
  <c r="L1651" i="1"/>
  <c r="L1655" i="1"/>
  <c r="L1659" i="1"/>
  <c r="L1663" i="1"/>
  <c r="L1667" i="1"/>
  <c r="L1671" i="1"/>
  <c r="L1675" i="1"/>
  <c r="L1679" i="1"/>
  <c r="L1820" i="1"/>
  <c r="L1824" i="1"/>
  <c r="L1828" i="1"/>
  <c r="L1819" i="1"/>
  <c r="L1823" i="1"/>
  <c r="L1827" i="1"/>
  <c r="L1906" i="1"/>
  <c r="L1910" i="1"/>
  <c r="L1914" i="1"/>
  <c r="L1918" i="1"/>
  <c r="L1904" i="1"/>
  <c r="L1908" i="1"/>
  <c r="L1912" i="1"/>
</calcChain>
</file>

<file path=xl/sharedStrings.xml><?xml version="1.0" encoding="utf-8"?>
<sst xmlns="http://schemas.openxmlformats.org/spreadsheetml/2006/main" count="8730" uniqueCount="2389">
  <si>
    <t>OrderID</t>
  </si>
  <si>
    <t>OrderDate</t>
  </si>
  <si>
    <t>CustomerID</t>
  </si>
  <si>
    <t>ProductID</t>
  </si>
  <si>
    <t>Quantity</t>
  </si>
  <si>
    <t>Selling Price</t>
  </si>
  <si>
    <t>Cost Price</t>
  </si>
  <si>
    <t>ORD-0000</t>
  </si>
  <si>
    <t>CUST-142</t>
  </si>
  <si>
    <t>PROD-120</t>
  </si>
  <si>
    <t>ORD-0001</t>
  </si>
  <si>
    <t>CUST-056</t>
  </si>
  <si>
    <t>PROD-112</t>
  </si>
  <si>
    <t>ORD-0002</t>
  </si>
  <si>
    <t>CUST-095</t>
  </si>
  <si>
    <t>PROD-131</t>
  </si>
  <si>
    <t>ORD-0003</t>
  </si>
  <si>
    <t>CUST-092</t>
  </si>
  <si>
    <t>ORD-0004</t>
  </si>
  <si>
    <t>CUST-030</t>
  </si>
  <si>
    <t>PROD-105</t>
  </si>
  <si>
    <t>ORD-0005</t>
  </si>
  <si>
    <t>CUST-099</t>
  </si>
  <si>
    <t>PROD-104</t>
  </si>
  <si>
    <t>ORD-0006</t>
  </si>
  <si>
    <t>PROD-124</t>
  </si>
  <si>
    <t>ORD-0007</t>
  </si>
  <si>
    <t>CUST-071</t>
  </si>
  <si>
    <t>PROD-106</t>
  </si>
  <si>
    <t>ORD-0008</t>
  </si>
  <si>
    <t>CUST-043</t>
  </si>
  <si>
    <t>PROD-134</t>
  </si>
  <si>
    <t>ORD-0009</t>
  </si>
  <si>
    <t>CUST-052</t>
  </si>
  <si>
    <t>PROD-121</t>
  </si>
  <si>
    <t>ORD-0010</t>
  </si>
  <si>
    <t>CUST-019</t>
  </si>
  <si>
    <t>PROD-126</t>
  </si>
  <si>
    <t>ORD-0011</t>
  </si>
  <si>
    <t>CUST-111</t>
  </si>
  <si>
    <t>ORD-0012</t>
  </si>
  <si>
    <t>CUST-112</t>
  </si>
  <si>
    <t>ORD-0013</t>
  </si>
  <si>
    <t>CUST-141</t>
  </si>
  <si>
    <t>ORD-0014</t>
  </si>
  <si>
    <t>CUST-096</t>
  </si>
  <si>
    <t>PROD-115</t>
  </si>
  <si>
    <t>ORD-0015</t>
  </si>
  <si>
    <t>CUST-083</t>
  </si>
  <si>
    <t>ORD-0016</t>
  </si>
  <si>
    <t>CUST-051</t>
  </si>
  <si>
    <t>ORD-0017</t>
  </si>
  <si>
    <t>CUST-090</t>
  </si>
  <si>
    <t>PROD-122</t>
  </si>
  <si>
    <t>ORD-0018</t>
  </si>
  <si>
    <t>CUST-116</t>
  </si>
  <si>
    <t>ORD-0019</t>
  </si>
  <si>
    <t>PROD-107</t>
  </si>
  <si>
    <t>ORD-0020</t>
  </si>
  <si>
    <t>CUST-063</t>
  </si>
  <si>
    <t>PROD-125</t>
  </si>
  <si>
    <t>ORD-0021</t>
  </si>
  <si>
    <t>CUST-143</t>
  </si>
  <si>
    <t>PROD-110</t>
  </si>
  <si>
    <t>ORD-0022</t>
  </si>
  <si>
    <t>ORD-0023</t>
  </si>
  <si>
    <t>PROD-128</t>
  </si>
  <si>
    <t>ORD-0024</t>
  </si>
  <si>
    <t>CUST-117</t>
  </si>
  <si>
    <t>ORD-0025</t>
  </si>
  <si>
    <t>PROD-101</t>
  </si>
  <si>
    <t>ORD-0026</t>
  </si>
  <si>
    <t>ORD-0027</t>
  </si>
  <si>
    <t>CUST-041</t>
  </si>
  <si>
    <t>ORD-0028</t>
  </si>
  <si>
    <t>CUST-113</t>
  </si>
  <si>
    <t>PROD-127</t>
  </si>
  <si>
    <t>ORD-0029</t>
  </si>
  <si>
    <t>CUST-098</t>
  </si>
  <si>
    <t>ORD-0030</t>
  </si>
  <si>
    <t>CUST-020</t>
  </si>
  <si>
    <t>PROD-114</t>
  </si>
  <si>
    <t>ORD-0031</t>
  </si>
  <si>
    <t>CUST-032</t>
  </si>
  <si>
    <t>PROD-113</t>
  </si>
  <si>
    <t>ORD-0032</t>
  </si>
  <si>
    <t>ORD-0033</t>
  </si>
  <si>
    <t>CUST-136</t>
  </si>
  <si>
    <t>ORD-0034</t>
  </si>
  <si>
    <t>CUST-093</t>
  </si>
  <si>
    <t>ORD-0035</t>
  </si>
  <si>
    <t>CUST-100</t>
  </si>
  <si>
    <t>PROD-102</t>
  </si>
  <si>
    <t>ORD-0036</t>
  </si>
  <si>
    <t>CUST-016</t>
  </si>
  <si>
    <t>ORD-0037</t>
  </si>
  <si>
    <t>CUST-077</t>
  </si>
  <si>
    <t>ORD-0038</t>
  </si>
  <si>
    <t>CUST-125</t>
  </si>
  <si>
    <t>ORD-0039</t>
  </si>
  <si>
    <t>ORD-0040</t>
  </si>
  <si>
    <t>CUST-047</t>
  </si>
  <si>
    <t>ORD-0041</t>
  </si>
  <si>
    <t>CUST-044</t>
  </si>
  <si>
    <t>ORD-0042</t>
  </si>
  <si>
    <t>CUST-108</t>
  </si>
  <si>
    <t>ORD-0043</t>
  </si>
  <si>
    <t>CUST-007</t>
  </si>
  <si>
    <t>ORD-0044</t>
  </si>
  <si>
    <t>ORD-0045</t>
  </si>
  <si>
    <t>CUST-061</t>
  </si>
  <si>
    <t>PROD-129</t>
  </si>
  <si>
    <t>ORD-0046</t>
  </si>
  <si>
    <t>CUST-124</t>
  </si>
  <si>
    <t>ORD-0047</t>
  </si>
  <si>
    <t>ORD-0048</t>
  </si>
  <si>
    <t>CUST-080</t>
  </si>
  <si>
    <t>ORD-0049</t>
  </si>
  <si>
    <t>CUST-130</t>
  </si>
  <si>
    <t>ORD-0050</t>
  </si>
  <si>
    <t>PROD-133</t>
  </si>
  <si>
    <t>ORD-0051</t>
  </si>
  <si>
    <t>CUST-110</t>
  </si>
  <si>
    <t>ORD-0052</t>
  </si>
  <si>
    <t>CUST-045</t>
  </si>
  <si>
    <t>PROD-117</t>
  </si>
  <si>
    <t>ORD-0053</t>
  </si>
  <si>
    <t>PROD-116</t>
  </si>
  <si>
    <t>ORD-0054</t>
  </si>
  <si>
    <t>CUST-131</t>
  </si>
  <si>
    <t>PROD-118</t>
  </si>
  <si>
    <t>ORD-0055</t>
  </si>
  <si>
    <t>CUST-049</t>
  </si>
  <si>
    <t>ORD-0056</t>
  </si>
  <si>
    <t>CUST-107</t>
  </si>
  <si>
    <t>ORD-0057</t>
  </si>
  <si>
    <t>CUST-138</t>
  </si>
  <si>
    <t>ORD-0058</t>
  </si>
  <si>
    <t>CUST-109</t>
  </si>
  <si>
    <t>ORD-0059</t>
  </si>
  <si>
    <t>CUST-005</t>
  </si>
  <si>
    <t>ORD-0060</t>
  </si>
  <si>
    <t>CUST-046</t>
  </si>
  <si>
    <t>ORD-0061</t>
  </si>
  <si>
    <t>ORD-0062</t>
  </si>
  <si>
    <t>ORD-0063</t>
  </si>
  <si>
    <t>CUST-102</t>
  </si>
  <si>
    <t>ORD-0064</t>
  </si>
  <si>
    <t>CUST-085</t>
  </si>
  <si>
    <t>ORD-0065</t>
  </si>
  <si>
    <t>CUST-065</t>
  </si>
  <si>
    <t>PROD-132</t>
  </si>
  <si>
    <t>ORD-0066</t>
  </si>
  <si>
    <t>ORD-0067</t>
  </si>
  <si>
    <t>CUST-081</t>
  </si>
  <si>
    <t>ORD-0068</t>
  </si>
  <si>
    <t>CUST-036</t>
  </si>
  <si>
    <t>PROD-108</t>
  </si>
  <si>
    <t>ORD-0069</t>
  </si>
  <si>
    <t>CUST-084</t>
  </si>
  <si>
    <t>ORD-0070</t>
  </si>
  <si>
    <t>CUST-022</t>
  </si>
  <si>
    <t>ORD-0071</t>
  </si>
  <si>
    <t>CUST-074</t>
  </si>
  <si>
    <t>ORD-0072</t>
  </si>
  <si>
    <t>ORD-0073</t>
  </si>
  <si>
    <t>ORD-0074</t>
  </si>
  <si>
    <t>ORD-0075</t>
  </si>
  <si>
    <t>PROD-103</t>
  </si>
  <si>
    <t>ORD-0076</t>
  </si>
  <si>
    <t>ORD-0077</t>
  </si>
  <si>
    <t>ORD-0078</t>
  </si>
  <si>
    <t>ORD-0079</t>
  </si>
  <si>
    <t>ORD-0080</t>
  </si>
  <si>
    <t>CUST-127</t>
  </si>
  <si>
    <t>ORD-0081</t>
  </si>
  <si>
    <t>CUST-057</t>
  </si>
  <si>
    <t>ORD-0082</t>
  </si>
  <si>
    <t>CUST-025</t>
  </si>
  <si>
    <t>ORD-0083</t>
  </si>
  <si>
    <t>CUST-070</t>
  </si>
  <si>
    <t>ORD-0084</t>
  </si>
  <si>
    <t>CUST-054</t>
  </si>
  <si>
    <t>ORD-0085</t>
  </si>
  <si>
    <t>CUST-034</t>
  </si>
  <si>
    <t>ORD-0086</t>
  </si>
  <si>
    <t>CUST-069</t>
  </si>
  <si>
    <t>ORD-0087</t>
  </si>
  <si>
    <t>ORD-0088</t>
  </si>
  <si>
    <t>PROD-130</t>
  </si>
  <si>
    <t>ORD-0089</t>
  </si>
  <si>
    <t>ORD-0090</t>
  </si>
  <si>
    <t>ORD-0091</t>
  </si>
  <si>
    <t>ORD-0092</t>
  </si>
  <si>
    <t>CUST-072</t>
  </si>
  <si>
    <t>ORD-0093</t>
  </si>
  <si>
    <t>ORD-0094</t>
  </si>
  <si>
    <t>ORD-0095</t>
  </si>
  <si>
    <t>CUST-027</t>
  </si>
  <si>
    <t>ORD-0096</t>
  </si>
  <si>
    <t>ORD-0097</t>
  </si>
  <si>
    <t>CUST-119</t>
  </si>
  <si>
    <t>ORD-0098</t>
  </si>
  <si>
    <t>CUST-139</t>
  </si>
  <si>
    <t>ORD-0099</t>
  </si>
  <si>
    <t>CUST-006</t>
  </si>
  <si>
    <t>ORD-0100</t>
  </si>
  <si>
    <t>CUST-064</t>
  </si>
  <si>
    <t>PROD-109</t>
  </si>
  <si>
    <t>ORD-0101</t>
  </si>
  <si>
    <t>CUST-017</t>
  </si>
  <si>
    <t>ORD-0102</t>
  </si>
  <si>
    <t>CUST-147</t>
  </si>
  <si>
    <t>ORD-0103</t>
  </si>
  <si>
    <t>CUST-062</t>
  </si>
  <si>
    <t>ORD-0104</t>
  </si>
  <si>
    <t>CUST-149</t>
  </si>
  <si>
    <t>ORD-0105</t>
  </si>
  <si>
    <t>CUST-118</t>
  </si>
  <si>
    <t>ORD-0106</t>
  </si>
  <si>
    <t>ORD-0107</t>
  </si>
  <si>
    <t>CUST-009</t>
  </si>
  <si>
    <t>ORD-0108</t>
  </si>
  <si>
    <t>CUST-066</t>
  </si>
  <si>
    <t>ORD-0109</t>
  </si>
  <si>
    <t>CUST-067</t>
  </si>
  <si>
    <t>ORD-0110</t>
  </si>
  <si>
    <t>CUST-023</t>
  </si>
  <si>
    <t>ORD-0111</t>
  </si>
  <si>
    <t>CUST-122</t>
  </si>
  <si>
    <t>ORD-0112</t>
  </si>
  <si>
    <t>ORD-0113</t>
  </si>
  <si>
    <t>PROD-111</t>
  </si>
  <si>
    <t>ORD-0114</t>
  </si>
  <si>
    <t>CUST-058</t>
  </si>
  <si>
    <t>ORD-0115</t>
  </si>
  <si>
    <t>ORD-0116</t>
  </si>
  <si>
    <t>CUST-078</t>
  </si>
  <si>
    <t>ORD-0117</t>
  </si>
  <si>
    <t>CUST-144</t>
  </si>
  <si>
    <t>ORD-0118</t>
  </si>
  <si>
    <t>ORD-0119</t>
  </si>
  <si>
    <t>ORD-0120</t>
  </si>
  <si>
    <t>ORD-0121</t>
  </si>
  <si>
    <t>CUST-042</t>
  </si>
  <si>
    <t>ORD-0122</t>
  </si>
  <si>
    <t>CUST-021</t>
  </si>
  <si>
    <t>ORD-0123</t>
  </si>
  <si>
    <t>ORD-0124</t>
  </si>
  <si>
    <t>ORD-0125</t>
  </si>
  <si>
    <t>ORD-0126</t>
  </si>
  <si>
    <t>ORD-0127</t>
  </si>
  <si>
    <t>CUST-123</t>
  </si>
  <si>
    <t>PROD-123</t>
  </si>
  <si>
    <t>ORD-0128</t>
  </si>
  <si>
    <t>ORD-0129</t>
  </si>
  <si>
    <t>CUST-097</t>
  </si>
  <si>
    <t>ORD-0130</t>
  </si>
  <si>
    <t>CUST-148</t>
  </si>
  <si>
    <t>ORD-0131</t>
  </si>
  <si>
    <t>CUST-008</t>
  </si>
  <si>
    <t>ORD-0132</t>
  </si>
  <si>
    <t>ORD-0133</t>
  </si>
  <si>
    <t>ORD-0134</t>
  </si>
  <si>
    <t>CUST-086</t>
  </si>
  <si>
    <t>ORD-0135</t>
  </si>
  <si>
    <t>ORD-0136</t>
  </si>
  <si>
    <t>ORD-0137</t>
  </si>
  <si>
    <t>ORD-0138</t>
  </si>
  <si>
    <t>ORD-0139</t>
  </si>
  <si>
    <t>ORD-0140</t>
  </si>
  <si>
    <t>ORD-0141</t>
  </si>
  <si>
    <t>CUST-129</t>
  </si>
  <si>
    <t>ORD-0142</t>
  </si>
  <si>
    <t>ORD-0143</t>
  </si>
  <si>
    <t>CUST-150</t>
  </si>
  <si>
    <t>ORD-0144</t>
  </si>
  <si>
    <t>ORD-0145</t>
  </si>
  <si>
    <t>ORD-0146</t>
  </si>
  <si>
    <t>ORD-0147</t>
  </si>
  <si>
    <t>CUST-035</t>
  </si>
  <si>
    <t>ORD-0148</t>
  </si>
  <si>
    <t>CUST-037</t>
  </si>
  <si>
    <t>ORD-0149</t>
  </si>
  <si>
    <t>ORD-0150</t>
  </si>
  <si>
    <t>CUST-001</t>
  </si>
  <si>
    <t>ORD-0151</t>
  </si>
  <si>
    <t>CUST-128</t>
  </si>
  <si>
    <t>ORD-0152</t>
  </si>
  <si>
    <t>ORD-0153</t>
  </si>
  <si>
    <t>ORD-0154</t>
  </si>
  <si>
    <t>CUST-088</t>
  </si>
  <si>
    <t>ORD-0155</t>
  </si>
  <si>
    <t>CUST-140</t>
  </si>
  <si>
    <t>ORD-0156</t>
  </si>
  <si>
    <t>CUST-024</t>
  </si>
  <si>
    <t>ORD-0157</t>
  </si>
  <si>
    <t>ORD-0158</t>
  </si>
  <si>
    <t>CUST-053</t>
  </si>
  <si>
    <t>ORD-0159</t>
  </si>
  <si>
    <t>ORD-0160</t>
  </si>
  <si>
    <t>ORD-0161</t>
  </si>
  <si>
    <t>CUST-012</t>
  </si>
  <si>
    <t>ORD-0162</t>
  </si>
  <si>
    <t>ORD-0163</t>
  </si>
  <si>
    <t>CUST-094</t>
  </si>
  <si>
    <t>ORD-0164</t>
  </si>
  <si>
    <t>CUST-039</t>
  </si>
  <si>
    <t>ORD-0165</t>
  </si>
  <si>
    <t>CUST-137</t>
  </si>
  <si>
    <t>ORD-0166</t>
  </si>
  <si>
    <t>CUST-075</t>
  </si>
  <si>
    <t>ORD-0167</t>
  </si>
  <si>
    <t>ORD-0168</t>
  </si>
  <si>
    <t>CUST-082</t>
  </si>
  <si>
    <t>ORD-0169</t>
  </si>
  <si>
    <t>ORD-0170</t>
  </si>
  <si>
    <t>CUST-031</t>
  </si>
  <si>
    <t>ORD-0171</t>
  </si>
  <si>
    <t>ORD-0172</t>
  </si>
  <si>
    <t>CUST-145</t>
  </si>
  <si>
    <t>ORD-0173</t>
  </si>
  <si>
    <t>CUST-076</t>
  </si>
  <si>
    <t>ORD-0174</t>
  </si>
  <si>
    <t>CUST-101</t>
  </si>
  <si>
    <t>ORD-0175</t>
  </si>
  <si>
    <t>ORD-0176</t>
  </si>
  <si>
    <t>CUST-055</t>
  </si>
  <si>
    <t>ORD-0177</t>
  </si>
  <si>
    <t>ORD-0178</t>
  </si>
  <si>
    <t>ORD-0179</t>
  </si>
  <si>
    <t>ORD-0180</t>
  </si>
  <si>
    <t>ORD-0181</t>
  </si>
  <si>
    <t>CUST-029</t>
  </si>
  <si>
    <t>ORD-0182</t>
  </si>
  <si>
    <t>ORD-0183</t>
  </si>
  <si>
    <t>ORD-0184</t>
  </si>
  <si>
    <t>ORD-0185</t>
  </si>
  <si>
    <t>ORD-0186</t>
  </si>
  <si>
    <t>ORD-0187</t>
  </si>
  <si>
    <t>CUST-011</t>
  </si>
  <si>
    <t>ORD-0188</t>
  </si>
  <si>
    <t>ORD-0189</t>
  </si>
  <si>
    <t>CUST-115</t>
  </si>
  <si>
    <t>ORD-0190</t>
  </si>
  <si>
    <t>ORD-0191</t>
  </si>
  <si>
    <t>CUST-105</t>
  </si>
  <si>
    <t>ORD-0192</t>
  </si>
  <si>
    <t>ORD-0193</t>
  </si>
  <si>
    <t>ORD-0194</t>
  </si>
  <si>
    <t>ORD-0195</t>
  </si>
  <si>
    <t>ORD-0196</t>
  </si>
  <si>
    <t>CUST-015</t>
  </si>
  <si>
    <t>PROD-119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</si>
  <si>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</si>
  <si>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</si>
  <si>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</si>
  <si>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</si>
  <si>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</si>
  <si>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</si>
  <si>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</si>
  <si>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</si>
  <si>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</si>
  <si>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</si>
  <si>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</si>
  <si>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</si>
  <si>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</si>
  <si>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</si>
  <si>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</si>
  <si>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CUST-126</t>
  </si>
  <si>
    <t>ORD-0212</t>
  </si>
  <si>
    <t>ORD-0213</t>
  </si>
  <si>
    <t>ORD-0214</t>
  </si>
  <si>
    <t>ORD-0215</t>
  </si>
  <si>
    <t>CUST-132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</si>
  <si>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</si>
  <si>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</si>
  <si>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</si>
  <si>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</si>
  <si>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</si>
  <si>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</si>
  <si>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</si>
  <si>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</si>
  <si>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CUST-014</t>
  </si>
  <si>
    <t>ORD-0224</t>
  </si>
  <si>
    <t>ORD-0225</t>
  </si>
  <si>
    <t>CUST-104</t>
  </si>
  <si>
    <t>ORD-0226</t>
  </si>
  <si>
    <t>CUST-040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</si>
  <si>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</si>
  <si>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</si>
  <si>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</si>
  <si>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</si>
  <si>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</si>
  <si>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</si>
  <si>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</si>
  <si>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</si>
  <si>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</si>
  <si>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</si>
  <si>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</si>
  <si>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CUST-089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</si>
  <si>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</si>
  <si>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</si>
  <si>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</si>
  <si>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</si>
  <si>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</si>
  <si>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</si>
  <si>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</si>
  <si>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</si>
  <si>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</si>
  <si>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CUST-010</t>
  </si>
  <si>
    <t>ORD-0247</t>
  </si>
  <si>
    <t>ORD-0248</t>
  </si>
  <si>
    <t>ORD-0249</t>
  </si>
  <si>
    <t>ORD-0250</t>
  </si>
  <si>
    <t>ORD-0251</t>
  </si>
  <si>
    <t>CUST-013</t>
  </si>
  <si>
    <t>ORD-0252</t>
  </si>
  <si>
    <t>CUST-060</t>
  </si>
  <si>
    <t>ORD-0253</t>
  </si>
  <si>
    <t>ORD-0254</t>
  </si>
  <si>
    <t>ORD-0255</t>
  </si>
  <si>
    <t>ORD-0256</t>
  </si>
  <si>
    <t>ORD-0257</t>
  </si>
  <si>
    <t>ORD-0258</t>
  </si>
  <si>
    <t>ORD-0259</t>
  </si>
  <si>
    <t>CUST-120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</si>
  <si>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</si>
  <si>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</si>
  <si>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</si>
  <si>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</si>
  <si>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</si>
  <si>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</si>
  <si>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</si>
  <si>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</si>
  <si>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CUST-106</t>
  </si>
  <si>
    <t>ORD-0268</t>
  </si>
  <si>
    <t>ORD-0269</t>
  </si>
  <si>
    <t>ORD-0270</t>
  </si>
  <si>
    <t>CUST-079</t>
  </si>
  <si>
    <t>ORD-0271</t>
  </si>
  <si>
    <t>ORD-0272</t>
  </si>
  <si>
    <t>ORD-0273</t>
  </si>
  <si>
    <t>ORD-0274</t>
  </si>
  <si>
    <t>CUST-146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</si>
  <si>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</si>
  <si>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</si>
  <si>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</si>
  <si>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</si>
  <si>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</si>
  <si>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</si>
  <si>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</si>
  <si>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</si>
  <si>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</si>
  <si>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</si>
  <si>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</si>
  <si>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</si>
  <si>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CUST-103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</si>
  <si>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</si>
  <si>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</si>
  <si>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</si>
  <si>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</si>
  <si>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</si>
  <si>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</si>
  <si>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</si>
  <si>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</si>
  <si>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</si>
  <si>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</si>
  <si>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CUST-073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</si>
  <si>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</si>
  <si>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</si>
  <si>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</si>
  <si>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</si>
  <si>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</si>
  <si>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</si>
  <si>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</si>
  <si>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</si>
  <si>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</si>
  <si>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</si>
  <si>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</si>
  <si>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</si>
  <si>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CUST-028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</si>
  <si>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</si>
  <si>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</si>
  <si>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</si>
  <si>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</si>
  <si>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</si>
  <si>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</si>
  <si>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</si>
  <si>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</si>
  <si>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</si>
  <si>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</si>
  <si>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</si>
  <si>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</si>
  <si>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</si>
  <si>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</si>
  <si>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</si>
  <si>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</si>
  <si>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</si>
  <si>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</si>
  <si>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</si>
  <si>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</si>
  <si>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CUST-121</t>
  </si>
  <si>
    <t>ORD-0329</t>
  </si>
  <si>
    <t>ORD-0330</t>
  </si>
  <si>
    <t>ORD-0331</t>
  </si>
  <si>
    <t>ORD-0332</t>
  </si>
  <si>
    <t>CUST-050</t>
  </si>
  <si>
    <t>ORD-0333</t>
  </si>
  <si>
    <t>ORD-0334</t>
  </si>
  <si>
    <t>ORD-0335</t>
  </si>
  <si>
    <t>ORD-0336</t>
  </si>
  <si>
    <t>ORD-0337</t>
  </si>
  <si>
    <t>ORD-0338</t>
  </si>
  <si>
    <t>CUST-068</t>
  </si>
  <si>
    <t>ORD-0339</t>
  </si>
  <si>
    <t>ORD-0340</t>
  </si>
  <si>
    <t>CUST-003</t>
  </si>
  <si>
    <t>ORD-0341</t>
  </si>
  <si>
    <t>ORD-0342</t>
  </si>
  <si>
    <t>ORD-0343</t>
  </si>
  <si>
    <t>CUST-114</t>
  </si>
  <si>
    <t>ORD-0344</t>
  </si>
  <si>
    <t>ORD-0345</t>
  </si>
  <si>
    <t>CUST-133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</si>
  <si>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</si>
  <si>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</si>
  <si>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</si>
  <si>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</si>
  <si>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</si>
  <si>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</si>
  <si>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</si>
  <si>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</si>
  <si>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</si>
  <si>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ORD-0355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</si>
  <si>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</si>
  <si>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</si>
  <si>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</si>
  <si>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</si>
  <si>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</si>
  <si>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</si>
  <si>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</si>
  <si>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</si>
  <si>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</si>
  <si>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</si>
  <si>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</si>
  <si>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CUST-038</t>
  </si>
  <si>
    <t>ORD-0367</t>
  </si>
  <si>
    <t>ORD-0368</t>
  </si>
  <si>
    <t>ORD-0369</t>
  </si>
  <si>
    <t>ORD-0370</t>
  </si>
  <si>
    <t>ORD-0371</t>
  </si>
  <si>
    <t>CUST-004</t>
  </si>
  <si>
    <t>ORD-0372</t>
  </si>
  <si>
    <t>ORD-0373</t>
  </si>
  <si>
    <t>ORD-0374</t>
  </si>
  <si>
    <t>ORD-0375</t>
  </si>
  <si>
    <t>ORD-0376</t>
  </si>
  <si>
    <t>ORD-0377</t>
  </si>
  <si>
    <t>ORD-0378</t>
  </si>
  <si>
    <t>ORD-0379</t>
  </si>
  <si>
    <t>ORD-0380</t>
  </si>
  <si>
    <t>ORD-0381</t>
  </si>
  <si>
    <t>ORD-0382</t>
  </si>
  <si>
    <t>CUST-033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</si>
  <si>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</si>
  <si>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</si>
  <si>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</si>
  <si>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</si>
  <si>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</si>
  <si>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</si>
  <si>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</si>
  <si>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</si>
  <si>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</si>
  <si>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CUST-135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</si>
  <si>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</si>
  <si>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</si>
  <si>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</si>
  <si>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</si>
  <si>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</si>
  <si>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</si>
  <si>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</si>
  <si>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</si>
  <si>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</si>
  <si>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</si>
  <si>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</si>
  <si>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</si>
  <si>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</si>
  <si>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</si>
  <si>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</si>
  <si>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</si>
  <si>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</si>
  <si>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</si>
  <si>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</si>
  <si>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</si>
  <si>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ORD-0412</t>
  </si>
  <si>
    <t>CUST-134</t>
  </si>
  <si>
    <t>ORD-0413</t>
  </si>
  <si>
    <t>ORD-0414</t>
  </si>
  <si>
    <t>ORD-0415</t>
  </si>
  <si>
    <t>ORD-0416</t>
  </si>
  <si>
    <t>ORD-0417</t>
  </si>
  <si>
    <t>ORD-0418</t>
  </si>
  <si>
    <t>ORD-0419</t>
  </si>
  <si>
    <t>ORD-0420</t>
  </si>
  <si>
    <t>CUST-091</t>
  </si>
  <si>
    <t>ORD-0421</t>
  </si>
  <si>
    <t>CUST-048</t>
  </si>
  <si>
    <t>ORD-0422</t>
  </si>
  <si>
    <t>ORD-0423</t>
  </si>
  <si>
    <t>ORD-0424</t>
  </si>
  <si>
    <t>ORD-0425</t>
  </si>
  <si>
    <t>ORD-0426</t>
  </si>
  <si>
    <t>ORD-0427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</si>
  <si>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</si>
  <si>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</si>
  <si>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</si>
  <si>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</si>
  <si>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</si>
  <si>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</si>
  <si>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</si>
  <si>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</si>
  <si>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</si>
  <si>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</si>
  <si>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</si>
  <si>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</si>
  <si>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</si>
  <si>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</si>
  <si>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</si>
  <si>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</si>
  <si>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</si>
  <si>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</si>
  <si>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</si>
  <si>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</si>
  <si>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</si>
  <si>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</si>
  <si>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</si>
  <si>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</si>
  <si>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</si>
  <si>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</si>
  <si>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</si>
  <si>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</si>
  <si>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</si>
  <si>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</si>
  <si>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</si>
  <si>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</si>
  <si>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</si>
  <si>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</si>
  <si>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</si>
  <si>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CUST-018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</si>
  <si>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</si>
  <si>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</si>
  <si>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</si>
  <si>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</si>
  <si>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</si>
  <si>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</si>
  <si>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</si>
  <si>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</si>
  <si>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ORD-0471</t>
  </si>
  <si>
    <t>ORD-0472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</si>
  <si>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</si>
  <si>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</si>
  <si>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</si>
  <si>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</si>
  <si>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</si>
  <si>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</si>
  <si>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</si>
  <si>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</si>
  <si>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</si>
  <si>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</si>
  <si>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</si>
  <si>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CUST-026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</si>
  <si>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</si>
  <si>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</si>
  <si>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</si>
  <si>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</si>
  <si>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</si>
  <si>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</si>
  <si>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</si>
  <si>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</si>
  <si>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</si>
  <si>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</si>
  <si>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</si>
  <si>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</si>
  <si>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</si>
  <si>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</si>
  <si>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</si>
  <si>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ORD-0499</t>
  </si>
  <si>
    <t>ORD-0500</t>
  </si>
  <si>
    <t>ORD-0501</t>
  </si>
  <si>
    <t>ORD-0502</t>
  </si>
  <si>
    <t>ORD-0503</t>
  </si>
  <si>
    <t>ORD-0504</t>
  </si>
  <si>
    <t>ORD-0505</t>
  </si>
  <si>
    <t>ORD-0506</t>
  </si>
  <si>
    <t>ORD-0507</t>
  </si>
  <si>
    <t>ORD-0508</t>
  </si>
  <si>
    <t>ORD-0509</t>
  </si>
  <si>
    <t>ORD-0510</t>
  </si>
  <si>
    <t>ORD-0511</t>
  </si>
  <si>
    <t>ORD-0512</t>
  </si>
  <si>
    <t>ORD-0513</t>
  </si>
  <si>
    <t>ORD-0514</t>
  </si>
  <si>
    <t>ORD-0515</t>
  </si>
  <si>
    <t>ORD-0516</t>
  </si>
  <si>
    <t>ORD-0517</t>
  </si>
  <si>
    <t>ORD-0518</t>
  </si>
  <si>
    <t>ORD-0519</t>
  </si>
  <si>
    <t>ORD-0520</t>
  </si>
  <si>
    <t>ORD-0521</t>
  </si>
  <si>
    <t>ORD-0522</t>
  </si>
  <si>
    <t>ORD-0523</t>
  </si>
  <si>
    <t>ORD-0524</t>
  </si>
  <si>
    <t>ORD-0525</t>
  </si>
  <si>
    <t>ORD-0526</t>
  </si>
  <si>
    <t>ORD-0527</t>
  </si>
  <si>
    <t>ORD-0528</t>
  </si>
  <si>
    <t>ORD-0529</t>
  </si>
  <si>
    <t>ORD-0530</t>
  </si>
  <si>
    <t>ORD-0531</t>
  </si>
  <si>
    <t>ORD-0532</t>
  </si>
  <si>
    <t>ORD-0533</t>
  </si>
  <si>
    <t>ORD-0534</t>
  </si>
  <si>
    <t>ORD-0535</t>
  </si>
  <si>
    <t>ORD-0536</t>
  </si>
  <si>
    <t>ORD-0537</t>
  </si>
  <si>
    <t>ORD-0538</t>
  </si>
  <si>
    <t>ORD-0539</t>
  </si>
  <si>
    <t>ORD-0540</t>
  </si>
  <si>
    <t>ORD-0541</t>
  </si>
  <si>
    <t>ORD-0542</t>
  </si>
  <si>
    <t>ORD-0543</t>
  </si>
  <si>
    <t>ORD-0544</t>
  </si>
  <si>
    <t>ORD-0545</t>
  </si>
  <si>
    <t>ORD-0546</t>
  </si>
  <si>
    <t>ORD-0547</t>
  </si>
  <si>
    <t>ORD-0548</t>
  </si>
  <si>
    <t>ORD-0549</t>
  </si>
  <si>
    <t>ORD-0550</t>
  </si>
  <si>
    <t>ORD-0551</t>
  </si>
  <si>
    <t>ORD-0552</t>
  </si>
  <si>
    <t>ORD-0553</t>
  </si>
  <si>
    <t>ORD-0554</t>
  </si>
  <si>
    <t>ORD-0555</t>
  </si>
  <si>
    <t>ORD-0556</t>
  </si>
  <si>
    <t>ORD-0557</t>
  </si>
  <si>
    <t>ORD-0558</t>
  </si>
  <si>
    <t>ORD-0559</t>
  </si>
  <si>
    <t>ORD-0560</t>
  </si>
  <si>
    <t>ORD-0561</t>
  </si>
  <si>
    <t>ORD-0562</t>
  </si>
  <si>
    <t>ORD-0563</t>
  </si>
  <si>
    <t>ORD-0564</t>
  </si>
  <si>
    <t>ORD-0565</t>
  </si>
  <si>
    <t>ORD-0566</t>
  </si>
  <si>
    <t>ORD-0567</t>
  </si>
  <si>
    <t>ORD-0568</t>
  </si>
  <si>
    <t>CUST-002</t>
  </si>
  <si>
    <t>ORD-0569</t>
  </si>
  <si>
    <t>ORD-0570</t>
  </si>
  <si>
    <t>ORD-0571</t>
  </si>
  <si>
    <t>ORD-0572</t>
  </si>
  <si>
    <t>ORD-0573</t>
  </si>
  <si>
    <t>ORD-0574</t>
  </si>
  <si>
    <t>ORD-0575</t>
  </si>
  <si>
    <t>ORD-0576</t>
  </si>
  <si>
    <t>ORD-0577</t>
  </si>
  <si>
    <t>ORD-0578</t>
  </si>
  <si>
    <t>ORD-0579</t>
  </si>
  <si>
    <t>ORD-0580</t>
  </si>
  <si>
    <t>ORD-0581</t>
  </si>
  <si>
    <t>ORD-0582</t>
  </si>
  <si>
    <t>ORD-0583</t>
  </si>
  <si>
    <t>ORD-0584</t>
  </si>
  <si>
    <t>ORD-0585</t>
  </si>
  <si>
    <t>ORD-0586</t>
  </si>
  <si>
    <t>ORD-0587</t>
  </si>
  <si>
    <t>ORD-0588</t>
  </si>
  <si>
    <t>ORD-0589</t>
  </si>
  <si>
    <t>ORD-0590</t>
  </si>
  <si>
    <t>ORD-0591</t>
  </si>
  <si>
    <t>ORD-0592</t>
  </si>
  <si>
    <t>ORD-0593</t>
  </si>
  <si>
    <t>ORD-0594</t>
  </si>
  <si>
    <t>ORD-0595</t>
  </si>
  <si>
    <t>ORD-0596</t>
  </si>
  <si>
    <t>ORD-0597</t>
  </si>
  <si>
    <t>ORD-0598</t>
  </si>
  <si>
    <t>ORD-0599</t>
  </si>
  <si>
    <t>ORD-0600</t>
  </si>
  <si>
    <t>ORD-0601</t>
  </si>
  <si>
    <t>ORD-0602</t>
  </si>
  <si>
    <t>ORD-0603</t>
  </si>
  <si>
    <t>ORD-0604</t>
  </si>
  <si>
    <t>ORD-0605</t>
  </si>
  <si>
    <t>ORD-0606</t>
  </si>
  <si>
    <t>ORD-0607</t>
  </si>
  <si>
    <t>ORD-0608</t>
  </si>
  <si>
    <t>ORD-0609</t>
  </si>
  <si>
    <t>ORD-0610</t>
  </si>
  <si>
    <t>ORD-0611</t>
  </si>
  <si>
    <t>ORD-0612</t>
  </si>
  <si>
    <t>ORD-0613</t>
  </si>
  <si>
    <t>ORD-0614</t>
  </si>
  <si>
    <t>ORD-0615</t>
  </si>
  <si>
    <t>ORD-0616</t>
  </si>
  <si>
    <t>ORD-0617</t>
  </si>
  <si>
    <t>ORD-0618</t>
  </si>
  <si>
    <t>ORD-0619</t>
  </si>
  <si>
    <t>ORD-0620</t>
  </si>
  <si>
    <t>ORD-0621</t>
  </si>
  <si>
    <t>ORD-0622</t>
  </si>
  <si>
    <t>ORD-0623</t>
  </si>
  <si>
    <t>ORD-0624</t>
  </si>
  <si>
    <t>ORD-0625</t>
  </si>
  <si>
    <t>ORD-0626</t>
  </si>
  <si>
    <t>ORD-0627</t>
  </si>
  <si>
    <t>ORD-0628</t>
  </si>
  <si>
    <t>ORD-0629</t>
  </si>
  <si>
    <t>ORD-0630</t>
  </si>
  <si>
    <t>ORD-0631</t>
  </si>
  <si>
    <t>ORD-0632</t>
  </si>
  <si>
    <t>ORD-0633</t>
  </si>
  <si>
    <t>ORD-0634</t>
  </si>
  <si>
    <t>ORD-0635</t>
  </si>
  <si>
    <t>ORD-0636</t>
  </si>
  <si>
    <t>ORD-0637</t>
  </si>
  <si>
    <t>ORD-0638</t>
  </si>
  <si>
    <t>ORD-0639</t>
  </si>
  <si>
    <t>ORD-0640</t>
  </si>
  <si>
    <t>ORD-0641</t>
  </si>
  <si>
    <t>ORD-0642</t>
  </si>
  <si>
    <t>ORD-0643</t>
  </si>
  <si>
    <t>CUST-087</t>
  </si>
  <si>
    <t>ORD-0644</t>
  </si>
  <si>
    <t>ORD-0645</t>
  </si>
  <si>
    <t>ORD-0646</t>
  </si>
  <si>
    <t>ORD-0647</t>
  </si>
  <si>
    <t>ORD-0648</t>
  </si>
  <si>
    <t>ORD-0649</t>
  </si>
  <si>
    <t>ORD-0650</t>
  </si>
  <si>
    <t>ORD-0651</t>
  </si>
  <si>
    <t>ORD-0652</t>
  </si>
  <si>
    <t>ORD-0653</t>
  </si>
  <si>
    <t>ORD-0654</t>
  </si>
  <si>
    <t>ORD-0655</t>
  </si>
  <si>
    <t>ORD-0656</t>
  </si>
  <si>
    <t>ORD-0657</t>
  </si>
  <si>
    <t>ORD-0658</t>
  </si>
  <si>
    <t>ORD-0659</t>
  </si>
  <si>
    <t>ORD-0660</t>
  </si>
  <si>
    <t>ORD-0661</t>
  </si>
  <si>
    <t>ORD-0662</t>
  </si>
  <si>
    <t>ORD-0663</t>
  </si>
  <si>
    <t>ORD-0664</t>
  </si>
  <si>
    <t>ORD-0665</t>
  </si>
  <si>
    <t>ORD-0666</t>
  </si>
  <si>
    <t>ORD-0667</t>
  </si>
  <si>
    <t>ORD-0668</t>
  </si>
  <si>
    <t>ORD-0669</t>
  </si>
  <si>
    <t>ORD-0670</t>
  </si>
  <si>
    <t>ORD-0671</t>
  </si>
  <si>
    <t>ORD-0672</t>
  </si>
  <si>
    <t>ORD-0673</t>
  </si>
  <si>
    <t>ORD-0674</t>
  </si>
  <si>
    <t>ORD-0675</t>
  </si>
  <si>
    <t>ORD-0676</t>
  </si>
  <si>
    <t>ORD-0677</t>
  </si>
  <si>
    <t>ORD-0678</t>
  </si>
  <si>
    <t>ORD-0679</t>
  </si>
  <si>
    <t>ORD-0680</t>
  </si>
  <si>
    <t>ORD-0681</t>
  </si>
  <si>
    <t>ORD-0682</t>
  </si>
  <si>
    <t>ORD-0683</t>
  </si>
  <si>
    <t>ORD-0684</t>
  </si>
  <si>
    <t>ORD-0685</t>
  </si>
  <si>
    <t>ORD-0686</t>
  </si>
  <si>
    <t>ORD-0687</t>
  </si>
  <si>
    <t>ORD-0688</t>
  </si>
  <si>
    <t>ORD-0689</t>
  </si>
  <si>
    <t>ORD-0690</t>
  </si>
  <si>
    <t>ORD-0691</t>
  </si>
  <si>
    <t>ORD-0692</t>
  </si>
  <si>
    <t>ORD-0693</t>
  </si>
  <si>
    <t>ORD-0694</t>
  </si>
  <si>
    <t>ORD-0695</t>
  </si>
  <si>
    <t>ORD-0696</t>
  </si>
  <si>
    <t>ORD-0697</t>
  </si>
  <si>
    <t>ORD-0698</t>
  </si>
  <si>
    <t>ORD-0699</t>
  </si>
  <si>
    <t>ORD-0700</t>
  </si>
  <si>
    <t>ORD-0701</t>
  </si>
  <si>
    <t>ORD-0702</t>
  </si>
  <si>
    <t>ORD-0703</t>
  </si>
  <si>
    <t>ORD-0704</t>
  </si>
  <si>
    <t>ORD-0705</t>
  </si>
  <si>
    <t>ORD-0706</t>
  </si>
  <si>
    <t>ORD-0707</t>
  </si>
  <si>
    <t>ORD-0708</t>
  </si>
  <si>
    <t>ORD-0709</t>
  </si>
  <si>
    <t>ORD-0710</t>
  </si>
  <si>
    <t>ORD-0711</t>
  </si>
  <si>
    <t>ORD-0712</t>
  </si>
  <si>
    <t>ORD-0713</t>
  </si>
  <si>
    <t>ORD-0714</t>
  </si>
  <si>
    <t>ORD-0715</t>
  </si>
  <si>
    <t>ORD-0716</t>
  </si>
  <si>
    <t>ORD-0717</t>
  </si>
  <si>
    <t>ORD-0718</t>
  </si>
  <si>
    <t>ORD-0719</t>
  </si>
  <si>
    <t>ORD-0720</t>
  </si>
  <si>
    <t>ORD-0721</t>
  </si>
  <si>
    <t>ORD-0722</t>
  </si>
  <si>
    <t>ORD-0723</t>
  </si>
  <si>
    <t>ORD-0724</t>
  </si>
  <si>
    <t>ORD-0725</t>
  </si>
  <si>
    <t>ORD-0726</t>
  </si>
  <si>
    <t>ORD-0727</t>
  </si>
  <si>
    <t>ORD-0728</t>
  </si>
  <si>
    <t>ORD-0729</t>
  </si>
  <si>
    <t>ORD-0730</t>
  </si>
  <si>
    <t>ORD-0731</t>
  </si>
  <si>
    <t>ORD-0732</t>
  </si>
  <si>
    <t>ORD-0733</t>
  </si>
  <si>
    <t>ORD-0734</t>
  </si>
  <si>
    <t>ORD-0735</t>
  </si>
  <si>
    <t>ORD-0736</t>
  </si>
  <si>
    <t>ORD-0737</t>
  </si>
  <si>
    <t>ORD-0738</t>
  </si>
  <si>
    <t>ORD-0739</t>
  </si>
  <si>
    <t>ORD-0740</t>
  </si>
  <si>
    <t>ORD-0741</t>
  </si>
  <si>
    <t>ORD-0742</t>
  </si>
  <si>
    <t>ORD-0743</t>
  </si>
  <si>
    <t>ORD-0744</t>
  </si>
  <si>
    <t>ORD-0745</t>
  </si>
  <si>
    <t>ORD-0746</t>
  </si>
  <si>
    <t>ORD-0747</t>
  </si>
  <si>
    <t>ORD-0748</t>
  </si>
  <si>
    <t>ORD-0749</t>
  </si>
  <si>
    <t>CUST-059</t>
  </si>
  <si>
    <t>ORD-0750</t>
  </si>
  <si>
    <t>ORD-0751</t>
  </si>
  <si>
    <t>ORD-0752</t>
  </si>
  <si>
    <t>ORD-0753</t>
  </si>
  <si>
    <t>ORD-0754</t>
  </si>
  <si>
    <t>ORD-0755</t>
  </si>
  <si>
    <t>ORD-0756</t>
  </si>
  <si>
    <t>ORD-0757</t>
  </si>
  <si>
    <t>ORD-0758</t>
  </si>
  <si>
    <t>ORD-0759</t>
  </si>
  <si>
    <t>ORD-0760</t>
  </si>
  <si>
    <t>ORD-0761</t>
  </si>
  <si>
    <t>ORD-0762</t>
  </si>
  <si>
    <t>ORD-0763</t>
  </si>
  <si>
    <t>ORD-0764</t>
  </si>
  <si>
    <t>ORD-0765</t>
  </si>
  <si>
    <t>ORD-0766</t>
  </si>
  <si>
    <t>ORD-0767</t>
  </si>
  <si>
    <t>ORD-0768</t>
  </si>
  <si>
    <t>ORD-0769</t>
  </si>
  <si>
    <t>ORD-0770</t>
  </si>
  <si>
    <t>ORD-0771</t>
  </si>
  <si>
    <t>ORD-0772</t>
  </si>
  <si>
    <t>ORD-0773</t>
  </si>
  <si>
    <t>ORD-0774</t>
  </si>
  <si>
    <t>ORD-0775</t>
  </si>
  <si>
    <t>ORD-0776</t>
  </si>
  <si>
    <t>ORD-0777</t>
  </si>
  <si>
    <t>ORD-0778</t>
  </si>
  <si>
    <t>ORD-0779</t>
  </si>
  <si>
    <t>ORD-0780</t>
  </si>
  <si>
    <t>ORD-0781</t>
  </si>
  <si>
    <t>ORD-0782</t>
  </si>
  <si>
    <t>ORD-0783</t>
  </si>
  <si>
    <t>ORD-0784</t>
  </si>
  <si>
    <t>ORD-0785</t>
  </si>
  <si>
    <t>ORD-0786</t>
  </si>
  <si>
    <t>ORD-0787</t>
  </si>
  <si>
    <t>ORD-0788</t>
  </si>
  <si>
    <t>ORD-0789</t>
  </si>
  <si>
    <t>ORD-0790</t>
  </si>
  <si>
    <t>ORD-0791</t>
  </si>
  <si>
    <t>ORD-0792</t>
  </si>
  <si>
    <t>ORD-0793</t>
  </si>
  <si>
    <t>ORD-0794</t>
  </si>
  <si>
    <t>ORD-0795</t>
  </si>
  <si>
    <t>ORD-0796</t>
  </si>
  <si>
    <t>ORD-0797</t>
  </si>
  <si>
    <t>ORD-0798</t>
  </si>
  <si>
    <t>ORD-0799</t>
  </si>
  <si>
    <t>ORD-0800</t>
  </si>
  <si>
    <t>ORD-0801</t>
  </si>
  <si>
    <t>ORD-0802</t>
  </si>
  <si>
    <t>ORD-0803</t>
  </si>
  <si>
    <t>ORD-0804</t>
  </si>
  <si>
    <t>ORD-0805</t>
  </si>
  <si>
    <t>ORD-0806</t>
  </si>
  <si>
    <t>ORD-0807</t>
  </si>
  <si>
    <t>ORD-0808</t>
  </si>
  <si>
    <t>ORD-0809</t>
  </si>
  <si>
    <t>ORD-0810</t>
  </si>
  <si>
    <t>ORD-0811</t>
  </si>
  <si>
    <t>ORD-0812</t>
  </si>
  <si>
    <t>ORD-0813</t>
  </si>
  <si>
    <t>ORD-0814</t>
  </si>
  <si>
    <t>ORD-0815</t>
  </si>
  <si>
    <t>ORD-0816</t>
  </si>
  <si>
    <t>ORD-0817</t>
  </si>
  <si>
    <t>ORD-0818</t>
  </si>
  <si>
    <t>ORD-0819</t>
  </si>
  <si>
    <t>ORD-0820</t>
  </si>
  <si>
    <t>ORD-0821</t>
  </si>
  <si>
    <t>ORD-0822</t>
  </si>
  <si>
    <t>ORD-0823</t>
  </si>
  <si>
    <t>ORD-0824</t>
  </si>
  <si>
    <t>ORD-0825</t>
  </si>
  <si>
    <t>ORD-0826</t>
  </si>
  <si>
    <t>ORD-0827</t>
  </si>
  <si>
    <t>ORD-0828</t>
  </si>
  <si>
    <t>ORD-0829</t>
  </si>
  <si>
    <t>ORD-0830</t>
  </si>
  <si>
    <t>ORD-0831</t>
  </si>
  <si>
    <t>ORD-0832</t>
  </si>
  <si>
    <t>ORD-0833</t>
  </si>
  <si>
    <t>ORD-0834</t>
  </si>
  <si>
    <t>ORD-0835</t>
  </si>
  <si>
    <t>ORD-0836</t>
  </si>
  <si>
    <t>ORD-0837</t>
  </si>
  <si>
    <t>ORD-0838</t>
  </si>
  <si>
    <t>ORD-0839</t>
  </si>
  <si>
    <t>ORD-0840</t>
  </si>
  <si>
    <t>ORD-0841</t>
  </si>
  <si>
    <t>ORD-0842</t>
  </si>
  <si>
    <t>ORD-0843</t>
  </si>
  <si>
    <t>ORD-0844</t>
  </si>
  <si>
    <t>ORD-0845</t>
  </si>
  <si>
    <t>ORD-0846</t>
  </si>
  <si>
    <t>ORD-0847</t>
  </si>
  <si>
    <t>ORD-0848</t>
  </si>
  <si>
    <t>ORD-0849</t>
  </si>
  <si>
    <t>ORD-0850</t>
  </si>
  <si>
    <t>ORD-0851</t>
  </si>
  <si>
    <t>ORD-0852</t>
  </si>
  <si>
    <t>ORD-0853</t>
  </si>
  <si>
    <t>ORD-0854</t>
  </si>
  <si>
    <t>ORD-0855</t>
  </si>
  <si>
    <t>ORD-0856</t>
  </si>
  <si>
    <t>ORD-0857</t>
  </si>
  <si>
    <t>ORD-0858</t>
  </si>
  <si>
    <t>ORD-0859</t>
  </si>
  <si>
    <t>ORD-0860</t>
  </si>
  <si>
    <t>ORD-0861</t>
  </si>
  <si>
    <t>ORD-0862</t>
  </si>
  <si>
    <t>ORD-0863</t>
  </si>
  <si>
    <t>ORD-0864</t>
  </si>
  <si>
    <t>ORD-0865</t>
  </si>
  <si>
    <t>ORD-0866</t>
  </si>
  <si>
    <t>ORD-0867</t>
  </si>
  <si>
    <t>ORD-0868</t>
  </si>
  <si>
    <t>ORD-0869</t>
  </si>
  <si>
    <t>ORD-0870</t>
  </si>
  <si>
    <t>ORD-0871</t>
  </si>
  <si>
    <t>ORD-0872</t>
  </si>
  <si>
    <t>ORD-0873</t>
  </si>
  <si>
    <t>ORD-0874</t>
  </si>
  <si>
    <t>ORD-0875</t>
  </si>
  <si>
    <t>ORD-0876</t>
  </si>
  <si>
    <t>ORD-0877</t>
  </si>
  <si>
    <t>ORD-0878</t>
  </si>
  <si>
    <t>ORD-0879</t>
  </si>
  <si>
    <t>ORD-0880</t>
  </si>
  <si>
    <t>ORD-0881</t>
  </si>
  <si>
    <t>ORD-0882</t>
  </si>
  <si>
    <t>ORD-0883</t>
  </si>
  <si>
    <t>ORD-0884</t>
  </si>
  <si>
    <t>ORD-0885</t>
  </si>
  <si>
    <t>ORD-0886</t>
  </si>
  <si>
    <t>ORD-0887</t>
  </si>
  <si>
    <t>ORD-0888</t>
  </si>
  <si>
    <t>ORD-0889</t>
  </si>
  <si>
    <t>ORD-0890</t>
  </si>
  <si>
    <t>ORD-0891</t>
  </si>
  <si>
    <t>ORD-0892</t>
  </si>
  <si>
    <t>ORD-0893</t>
  </si>
  <si>
    <t>ORD-0894</t>
  </si>
  <si>
    <t>ORD-0895</t>
  </si>
  <si>
    <t>ORD-0896</t>
  </si>
  <si>
    <t>ORD-0897</t>
  </si>
  <si>
    <t>ORD-0898</t>
  </si>
  <si>
    <t>ORD-0899</t>
  </si>
  <si>
    <t>ORD-0900</t>
  </si>
  <si>
    <t>ORD-0901</t>
  </si>
  <si>
    <t>ORD-0902</t>
  </si>
  <si>
    <t>ORD-0903</t>
  </si>
  <si>
    <t>ORD-0904</t>
  </si>
  <si>
    <t>ORD-0905</t>
  </si>
  <si>
    <t>ORD-0906</t>
  </si>
  <si>
    <t>ORD-0907</t>
  </si>
  <si>
    <t>ORD-0908</t>
  </si>
  <si>
    <t>ORD-0909</t>
  </si>
  <si>
    <t>ORD-0910</t>
  </si>
  <si>
    <t>ORD-0911</t>
  </si>
  <si>
    <t>ORD-0912</t>
  </si>
  <si>
    <t>ORD-0913</t>
  </si>
  <si>
    <t>ORD-0914</t>
  </si>
  <si>
    <t>ORD-0915</t>
  </si>
  <si>
    <t>ORD-0916</t>
  </si>
  <si>
    <t>ORD-0917</t>
  </si>
  <si>
    <t>ORD-0918</t>
  </si>
  <si>
    <t>ORD-0919</t>
  </si>
  <si>
    <t>ORD-0920</t>
  </si>
  <si>
    <t>ORD-0921</t>
  </si>
  <si>
    <t>ORD-0922</t>
  </si>
  <si>
    <t>ORD-0923</t>
  </si>
  <si>
    <t>ORD-0924</t>
  </si>
  <si>
    <t>ORD-0925</t>
  </si>
  <si>
    <t>ORD-0926</t>
  </si>
  <si>
    <t>ORD-0927</t>
  </si>
  <si>
    <t>ORD-0928</t>
  </si>
  <si>
    <t>ORD-0929</t>
  </si>
  <si>
    <t>ORD-0930</t>
  </si>
  <si>
    <t>ORD-0931</t>
  </si>
  <si>
    <t>ORD-0932</t>
  </si>
  <si>
    <t>ORD-0933</t>
  </si>
  <si>
    <t>ORD-0934</t>
  </si>
  <si>
    <t>ORD-0935</t>
  </si>
  <si>
    <t>ORD-0936</t>
  </si>
  <si>
    <t>ORD-0937</t>
  </si>
  <si>
    <t>ORD-0938</t>
  </si>
  <si>
    <t>ORD-0939</t>
  </si>
  <si>
    <t>ORD-0940</t>
  </si>
  <si>
    <t>ORD-0941</t>
  </si>
  <si>
    <t>ORD-0942</t>
  </si>
  <si>
    <t>ORD-0943</t>
  </si>
  <si>
    <t>ORD-0944</t>
  </si>
  <si>
    <t>ORD-0945</t>
  </si>
  <si>
    <t>ORD-0946</t>
  </si>
  <si>
    <t>ORD-0947</t>
  </si>
  <si>
    <t>ORD-0948</t>
  </si>
  <si>
    <t>ORD-0949</t>
  </si>
  <si>
    <t>ORD-0950</t>
  </si>
  <si>
    <t>ORD-0951</t>
  </si>
  <si>
    <t>ORD-0952</t>
  </si>
  <si>
    <t>ORD-0953</t>
  </si>
  <si>
    <t>ORD-0954</t>
  </si>
  <si>
    <t>ORD-0955</t>
  </si>
  <si>
    <t>ORD-0956</t>
  </si>
  <si>
    <t>ORD-0957</t>
  </si>
  <si>
    <t>ORD-0958</t>
  </si>
  <si>
    <t>ORD-0959</t>
  </si>
  <si>
    <t>ORD-0960</t>
  </si>
  <si>
    <t>ORD-0961</t>
  </si>
  <si>
    <t>ORD-0962</t>
  </si>
  <si>
    <t>ORD-0963</t>
  </si>
  <si>
    <t>ORD-0964</t>
  </si>
  <si>
    <t>ORD-0965</t>
  </si>
  <si>
    <t>ORD-0966</t>
  </si>
  <si>
    <t>ORD-0967</t>
  </si>
  <si>
    <t>ORD-0968</t>
  </si>
  <si>
    <t>ORD-0969</t>
  </si>
  <si>
    <t>ORD-0970</t>
  </si>
  <si>
    <t>ORD-0971</t>
  </si>
  <si>
    <t>ORD-0972</t>
  </si>
  <si>
    <t>ORD-0973</t>
  </si>
  <si>
    <t>ORD-0974</t>
  </si>
  <si>
    <t>ORD-0975</t>
  </si>
  <si>
    <t>ORD-0976</t>
  </si>
  <si>
    <t>ORD-0977</t>
  </si>
  <si>
    <t>ORD-0978</t>
  </si>
  <si>
    <t>ORD-0979</t>
  </si>
  <si>
    <t>ORD-0980</t>
  </si>
  <si>
    <t>ORD-0981</t>
  </si>
  <si>
    <t>ORD-0982</t>
  </si>
  <si>
    <t>ORD-0983</t>
  </si>
  <si>
    <t>ORD-0984</t>
  </si>
  <si>
    <t>ORD-0985</t>
  </si>
  <si>
    <t>ORD-0986</t>
  </si>
  <si>
    <t>ORD-0987</t>
  </si>
  <si>
    <t>ORD-0988</t>
  </si>
  <si>
    <t>ORD-0989</t>
  </si>
  <si>
    <t>ORD-0990</t>
  </si>
  <si>
    <t>ORD-0991</t>
  </si>
  <si>
    <t>ORD-0992</t>
  </si>
  <si>
    <t>ORD-0993</t>
  </si>
  <si>
    <t>ORD-0994</t>
  </si>
  <si>
    <t>ORD-0995</t>
  </si>
  <si>
    <t>ORD-0996</t>
  </si>
  <si>
    <t>ORD-0997</t>
  </si>
  <si>
    <t>ORD-0998</t>
  </si>
  <si>
    <t>ORD-0999</t>
  </si>
  <si>
    <t>ORD-1000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</si>
  <si>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</si>
  <si>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</si>
  <si>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</si>
  <si>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</si>
  <si>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</si>
  <si>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</si>
  <si>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</si>
  <si>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</si>
  <si>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</si>
  <si>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</si>
  <si>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</si>
  <si>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</si>
  <si>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</si>
  <si>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</si>
  <si>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</si>
  <si>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</si>
  <si>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</si>
  <si>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</si>
  <si>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</si>
  <si>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</si>
  <si>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</si>
  <si>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</si>
  <si>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</si>
  <si>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</si>
  <si>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</si>
  <si>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</si>
  <si>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</si>
  <si>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</si>
  <si>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</si>
  <si>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</si>
  <si>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</si>
  <si>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</si>
  <si>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</si>
  <si>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</si>
  <si>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</si>
  <si>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</si>
  <si>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</si>
  <si>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</si>
  <si>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</si>
  <si>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</si>
  <si>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</si>
  <si>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</si>
  <si>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</si>
  <si>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</si>
  <si>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</si>
  <si>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</si>
  <si>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</si>
  <si>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</si>
  <si>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</si>
  <si>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</si>
  <si>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</si>
  <si>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</si>
  <si>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</si>
  <si>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</si>
  <si>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</si>
  <si>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</si>
  <si>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</si>
  <si>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</si>
  <si>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</si>
  <si>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</si>
  <si>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</si>
  <si>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</si>
  <si>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</si>
  <si>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</si>
  <si>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</si>
  <si>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</si>
  <si>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</si>
  <si>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</si>
  <si>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</si>
  <si>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</si>
  <si>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</si>
  <si>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</si>
  <si>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</si>
  <si>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</si>
  <si>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</si>
  <si>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</si>
  <si>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</si>
  <si>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</si>
  <si>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</si>
  <si>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</si>
  <si>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</si>
  <si>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</si>
  <si>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</si>
  <si>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</si>
  <si>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</si>
  <si>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</si>
  <si>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</si>
  <si>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</si>
  <si>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</si>
  <si>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</si>
  <si>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</si>
  <si>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</si>
  <si>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</si>
  <si>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</si>
  <si>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</si>
  <si>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</si>
  <si>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</si>
  <si>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</si>
  <si>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</si>
  <si>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</si>
  <si>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</si>
  <si>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</si>
  <si>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</si>
  <si>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</si>
  <si>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</si>
  <si>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</si>
  <si>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</si>
  <si>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</si>
  <si>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</si>
  <si>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</si>
  <si>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</si>
  <si>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</si>
  <si>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</si>
  <si>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</si>
  <si>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</si>
  <si>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</si>
  <si>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</si>
  <si>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</si>
  <si>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</si>
  <si>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</si>
  <si>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</si>
  <si>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</si>
  <si>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</si>
  <si>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</si>
  <si>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</si>
  <si>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</si>
  <si>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</si>
  <si>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</si>
  <si>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</si>
  <si>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</si>
  <si>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</si>
  <si>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</si>
  <si>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</si>
  <si>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</si>
  <si>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</si>
  <si>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</si>
  <si>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</si>
  <si>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</si>
  <si>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</si>
  <si>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</si>
  <si>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</si>
  <si>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</si>
  <si>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</si>
  <si>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</si>
  <si>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</si>
  <si>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</si>
  <si>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</si>
  <si>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</si>
  <si>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</si>
  <si>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</si>
  <si>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</si>
  <si>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</si>
  <si>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</si>
  <si>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</si>
  <si>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</si>
  <si>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</si>
  <si>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</si>
  <si>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</si>
  <si>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</si>
  <si>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</si>
  <si>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</si>
  <si>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</si>
  <si>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</si>
  <si>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</si>
  <si>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</si>
  <si>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</si>
  <si>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</si>
  <si>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</si>
  <si>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</si>
  <si>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</si>
  <si>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</si>
  <si>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</si>
  <si>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</si>
  <si>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</si>
  <si>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</si>
  <si>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</si>
  <si>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</si>
  <si>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</si>
  <si>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</si>
  <si>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</si>
  <si>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</si>
  <si>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</si>
  <si>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</si>
  <si>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</si>
  <si>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</si>
  <si>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</si>
  <si>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</si>
  <si>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</si>
  <si>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</si>
  <si>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</si>
  <si>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</si>
  <si>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</si>
  <si>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</si>
  <si>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</si>
  <si>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</si>
  <si>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</si>
  <si>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</si>
  <si>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</si>
  <si>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</si>
  <si>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</si>
  <si>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</si>
  <si>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</si>
  <si>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</si>
  <si>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</si>
  <si>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</si>
  <si>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</si>
  <si>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</si>
  <si>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</si>
  <si>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</si>
  <si>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</si>
  <si>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</si>
  <si>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</si>
  <si>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</si>
  <si>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</si>
  <si>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</si>
  <si>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</si>
  <si>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</si>
  <si>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</si>
  <si>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</si>
  <si>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</si>
  <si>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</si>
  <si>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</si>
  <si>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</si>
  <si>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</si>
  <si>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</si>
  <si>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</si>
  <si>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</si>
  <si>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</si>
  <si>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</si>
  <si>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</si>
  <si>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</si>
  <si>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</si>
  <si>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</si>
  <si>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</si>
  <si>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</si>
  <si>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</si>
  <si>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</si>
  <si>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</si>
  <si>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</si>
  <si>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</si>
  <si>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</si>
  <si>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</si>
  <si>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</si>
  <si>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</si>
  <si>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</si>
  <si>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</si>
  <si>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</si>
  <si>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</si>
  <si>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</si>
  <si>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</si>
  <si>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</si>
  <si>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</si>
  <si>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</si>
  <si>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</si>
  <si>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</si>
  <si>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</si>
  <si>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</si>
  <si>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</si>
  <si>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</si>
  <si>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</si>
  <si>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</si>
  <si>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</si>
  <si>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</si>
  <si>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</si>
  <si>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</si>
  <si>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</si>
  <si>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</si>
  <si>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</si>
  <si>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</si>
  <si>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</si>
  <si>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</si>
  <si>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</si>
  <si>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</si>
  <si>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</si>
  <si>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</si>
  <si>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</si>
  <si>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</si>
  <si>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</si>
  <si>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</si>
  <si>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</si>
  <si>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</si>
  <si>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</si>
  <si>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</si>
  <si>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</si>
  <si>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</si>
  <si>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</si>
  <si>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</si>
  <si>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</si>
  <si>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</si>
  <si>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</si>
  <si>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</si>
  <si>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</si>
  <si>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</si>
  <si>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</si>
  <si>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</si>
  <si>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</si>
  <si>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</si>
  <si>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</si>
  <si>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</si>
  <si>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</si>
  <si>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</si>
  <si>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</si>
  <si>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</si>
  <si>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</si>
  <si>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</si>
  <si>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</si>
  <si>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</si>
  <si>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</si>
  <si>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</si>
  <si>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</si>
  <si>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</si>
  <si>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</si>
  <si>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</si>
  <si>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</si>
  <si>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</si>
  <si>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</si>
  <si>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</si>
  <si>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</si>
  <si>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</si>
  <si>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</si>
  <si>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</si>
  <si>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</si>
  <si>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</si>
  <si>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</si>
  <si>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</si>
  <si>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</si>
  <si>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</si>
  <si>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</si>
  <si>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</si>
  <si>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</si>
  <si>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</si>
  <si>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</si>
  <si>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</si>
  <si>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</si>
  <si>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</si>
  <si>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</si>
  <si>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</si>
  <si>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</si>
  <si>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</si>
  <si>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</si>
  <si>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</si>
  <si>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</si>
  <si>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</si>
  <si>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</si>
  <si>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</si>
  <si>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</si>
  <si>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</si>
  <si>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</si>
  <si>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</si>
  <si>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</si>
  <si>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</si>
  <si>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</si>
  <si>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</si>
  <si>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</si>
  <si>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</si>
  <si>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</si>
  <si>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</si>
  <si>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</si>
  <si>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</si>
  <si>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</si>
  <si>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</si>
  <si>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</si>
  <si>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</si>
  <si>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</si>
  <si>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</si>
  <si>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</si>
  <si>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</si>
  <si>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</si>
  <si>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</si>
  <si>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</si>
  <si>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</si>
  <si>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</si>
  <si>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</si>
  <si>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</si>
  <si>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</si>
  <si>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</si>
  <si>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</si>
  <si>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</si>
  <si>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</si>
  <si>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</si>
  <si>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</si>
  <si>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</si>
  <si>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</si>
  <si>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</si>
  <si>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</si>
  <si>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</si>
  <si>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</si>
  <si>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</si>
  <si>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</si>
  <si>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</si>
  <si>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</si>
  <si>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</si>
  <si>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</si>
  <si>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</si>
  <si>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</si>
  <si>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</si>
  <si>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</si>
  <si>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</si>
  <si>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</si>
  <si>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</si>
  <si>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</si>
  <si>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</si>
  <si>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</si>
  <si>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</si>
  <si>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</si>
  <si>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</si>
  <si>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</si>
  <si>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</si>
  <si>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</si>
  <si>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</si>
  <si>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</si>
  <si>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</si>
  <si>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</si>
  <si>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</si>
  <si>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</si>
  <si>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</si>
  <si>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</si>
  <si>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</si>
  <si>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</si>
  <si>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</si>
  <si>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</si>
  <si>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</si>
  <si>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</si>
  <si>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</si>
  <si>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</si>
  <si>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</si>
  <si>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</si>
  <si>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</si>
  <si>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</si>
  <si>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</si>
  <si>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</si>
  <si>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</si>
  <si>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</si>
  <si>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</si>
  <si>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</si>
  <si>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</si>
  <si>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</si>
  <si>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</si>
  <si>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</si>
  <si>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</si>
  <si>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</si>
  <si>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</si>
  <si>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</si>
  <si>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</si>
  <si>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</si>
  <si>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</si>
  <si>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</si>
  <si>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</si>
  <si>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</si>
  <si>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</si>
  <si>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</si>
  <si>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</si>
  <si>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</si>
  <si>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</si>
  <si>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</si>
  <si>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</si>
  <si>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</si>
  <si>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</si>
  <si>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</si>
  <si>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</si>
  <si>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</si>
  <si>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</si>
  <si>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</si>
  <si>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</si>
  <si>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</si>
  <si>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</si>
  <si>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</si>
  <si>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</si>
  <si>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</si>
  <si>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</si>
  <si>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</si>
  <si>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</si>
  <si>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</si>
  <si>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</si>
  <si>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</si>
  <si>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</si>
  <si>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</si>
  <si>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</si>
  <si>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</si>
  <si>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</si>
  <si>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</si>
  <si>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</si>
  <si>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</si>
  <si>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</si>
  <si>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</si>
  <si>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</si>
  <si>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</si>
  <si>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</si>
  <si>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</si>
  <si>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</si>
  <si>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</si>
  <si>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</si>
  <si>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</si>
  <si>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</si>
  <si>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</si>
  <si>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</si>
  <si>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</si>
  <si>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</si>
  <si>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</si>
  <si>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</si>
  <si>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</si>
  <si>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</si>
  <si>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</si>
  <si>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</si>
  <si>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</si>
  <si>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</si>
  <si>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</si>
  <si>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</si>
  <si>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</si>
  <si>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</si>
  <si>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</si>
  <si>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</si>
  <si>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</si>
  <si>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</si>
  <si>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</si>
  <si>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</si>
  <si>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</si>
  <si>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</si>
  <si>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</si>
  <si>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</si>
  <si>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</si>
  <si>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</si>
  <si>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</si>
  <si>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</si>
  <si>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</si>
  <si>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</si>
  <si>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</si>
  <si>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</si>
  <si>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</si>
  <si>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</si>
  <si>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</si>
  <si>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</si>
  <si>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</si>
  <si>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</si>
  <si>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</si>
  <si>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</si>
  <si>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</si>
  <si>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</si>
  <si>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</si>
  <si>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</si>
  <si>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</si>
  <si>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</si>
  <si>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</si>
  <si>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</si>
  <si>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</si>
  <si>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</si>
  <si>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</si>
  <si>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</si>
  <si>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</si>
  <si>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</si>
  <si>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</si>
  <si>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</si>
  <si>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</si>
  <si>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</si>
  <si>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</si>
  <si>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</si>
  <si>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</si>
  <si>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</si>
  <si>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</si>
  <si>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</si>
  <si>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</si>
  <si>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</si>
  <si>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</si>
  <si>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</si>
  <si>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</si>
  <si>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</si>
  <si>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</si>
  <si>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</si>
  <si>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</si>
  <si>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</si>
  <si>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</si>
  <si>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</si>
  <si>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</si>
  <si>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</si>
  <si>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</si>
  <si>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</si>
  <si>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</si>
  <si>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</si>
  <si>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</si>
  <si>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</si>
  <si>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</si>
  <si>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</si>
  <si>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</si>
  <si>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</si>
  <si>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</si>
  <si>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</si>
  <si>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</si>
  <si>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</si>
  <si>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</si>
  <si>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</si>
  <si>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</si>
  <si>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</si>
  <si>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</si>
  <si>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</si>
  <si>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</si>
  <si>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</si>
  <si>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</si>
  <si>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</si>
  <si>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</si>
  <si>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</si>
  <si>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</si>
  <si>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</si>
  <si>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</si>
  <si>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</si>
  <si>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</si>
  <si>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</si>
  <si>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</si>
  <si>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</si>
  <si>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</si>
  <si>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</si>
  <si>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</si>
  <si>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</si>
  <si>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</si>
  <si>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</si>
  <si>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</si>
  <si>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</si>
  <si>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</si>
  <si>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</si>
  <si>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</si>
  <si>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</si>
  <si>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</si>
  <si>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</si>
  <si>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</si>
  <si>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</si>
  <si>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</si>
  <si>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</si>
  <si>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</si>
  <si>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</si>
  <si>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</si>
  <si>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</si>
  <si>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</si>
  <si>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</si>
  <si>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</si>
  <si>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</si>
  <si>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</si>
  <si>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</si>
  <si>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</si>
  <si>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</si>
  <si>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</si>
  <si>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</si>
  <si>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</si>
  <si>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</si>
  <si>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</si>
  <si>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</si>
  <si>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</si>
  <si>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</si>
  <si>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</si>
  <si>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</si>
  <si>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</si>
  <si>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</si>
  <si>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</si>
  <si>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</si>
  <si>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</si>
  <si>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</si>
  <si>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</si>
  <si>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</si>
  <si>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</si>
  <si>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</si>
  <si>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</si>
  <si>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</si>
  <si>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</si>
  <si>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</si>
  <si>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</si>
  <si>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</si>
  <si>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</si>
  <si>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</si>
  <si>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</si>
  <si>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</si>
  <si>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</si>
  <si>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</si>
  <si>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</si>
  <si>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</si>
  <si>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</si>
  <si>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</si>
  <si>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</si>
  <si>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</si>
  <si>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</si>
  <si>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</si>
  <si>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</si>
  <si>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</si>
  <si>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</si>
  <si>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</si>
  <si>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</si>
  <si>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</si>
  <si>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</si>
  <si>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</si>
  <si>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</si>
  <si>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</si>
  <si>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</si>
  <si>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</si>
  <si>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</si>
  <si>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</si>
  <si>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</si>
  <si>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</si>
  <si>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</si>
  <si>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</si>
  <si>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</si>
  <si>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</si>
  <si>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</si>
  <si>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</si>
  <si>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</si>
  <si>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</si>
  <si>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</si>
  <si>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</si>
  <si>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</si>
  <si>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</si>
  <si>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</si>
  <si>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</si>
  <si>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</si>
  <si>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</si>
  <si>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</si>
  <si>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</si>
  <si>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</si>
  <si>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</si>
  <si>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</si>
  <si>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</si>
  <si>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</si>
  <si>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</si>
  <si>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</si>
  <si>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</si>
  <si>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</si>
  <si>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</si>
  <si>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</si>
  <si>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</si>
  <si>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</si>
  <si>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</si>
  <si>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</si>
  <si>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</si>
  <si>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</si>
  <si>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</si>
  <si>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</si>
  <si>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</si>
  <si>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</si>
  <si>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</si>
  <si>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</si>
  <si>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</si>
  <si>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</si>
  <si>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</si>
  <si>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</si>
  <si>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</si>
  <si>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</si>
  <si>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</si>
  <si>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</si>
  <si>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</si>
  <si>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</si>
  <si>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</si>
  <si>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</si>
  <si>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</si>
  <si>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</si>
  <si>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</si>
  <si>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</si>
  <si>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</si>
  <si>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</si>
  <si>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</si>
  <si>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</si>
  <si>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</si>
  <si>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</si>
  <si>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</si>
  <si>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</si>
  <si>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</si>
  <si>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</si>
  <si>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</si>
  <si>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</si>
  <si>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</si>
  <si>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</si>
  <si>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</si>
  <si>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</si>
  <si>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</si>
  <si>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</si>
  <si>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</si>
  <si>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</si>
  <si>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</si>
  <si>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</si>
  <si>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</si>
  <si>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</si>
  <si>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</si>
  <si>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</si>
  <si>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</si>
  <si>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</si>
  <si>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</si>
  <si>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</si>
  <si>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</si>
  <si>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</si>
  <si>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</si>
  <si>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</si>
  <si>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</si>
  <si>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</si>
  <si>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</si>
  <si>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</si>
  <si>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</si>
  <si>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</si>
  <si>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</si>
  <si>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</si>
  <si>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</si>
  <si>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</si>
  <si>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</si>
  <si>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</si>
  <si>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</si>
  <si>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</si>
  <si>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</si>
  <si>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</si>
  <si>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</si>
  <si>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</si>
  <si>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</si>
  <si>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</si>
  <si>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</si>
  <si>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</si>
  <si>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</si>
  <si>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</si>
  <si>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</si>
  <si>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</si>
  <si>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</si>
  <si>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</si>
  <si>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</si>
  <si>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</si>
  <si>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</si>
  <si>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</si>
  <si>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</si>
  <si>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</si>
  <si>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</si>
  <si>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</si>
  <si>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</si>
  <si>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</si>
  <si>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</si>
  <si>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</si>
  <si>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</si>
  <si>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</si>
  <si>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</si>
  <si>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</si>
  <si>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</si>
  <si>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</si>
  <si>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</si>
  <si>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</si>
  <si>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</si>
  <si>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</si>
  <si>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</si>
  <si>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</si>
  <si>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</si>
  <si>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</si>
  <si>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</si>
  <si>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</si>
  <si>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</si>
  <si>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</si>
  <si>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</si>
  <si>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</si>
  <si>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</si>
  <si>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</si>
  <si>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</si>
  <si>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</si>
  <si>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</si>
  <si>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</si>
  <si>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</si>
  <si>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</si>
  <si>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</si>
  <si>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</si>
  <si>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</si>
  <si>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</si>
  <si>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</si>
  <si>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</si>
  <si>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</si>
  <si>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</si>
  <si>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</si>
  <si>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</si>
  <si>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</si>
  <si>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</si>
  <si>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</si>
  <si>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</si>
  <si>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</si>
  <si>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</si>
  <si>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</si>
  <si>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</si>
  <si>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</si>
  <si>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</si>
  <si>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</si>
  <si>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</si>
  <si>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</si>
  <si>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</si>
  <si>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</si>
  <si>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</si>
  <si>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</si>
  <si>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</si>
  <si>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</si>
  <si>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</si>
  <si>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</si>
  <si>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</si>
  <si>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</si>
  <si>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</si>
  <si>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</si>
  <si>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</si>
  <si>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</si>
  <si>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</si>
  <si>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</si>
  <si>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</si>
  <si>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</si>
  <si>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</si>
  <si>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</si>
  <si>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</si>
  <si>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</si>
  <si>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</si>
  <si>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</si>
  <si>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</si>
  <si>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</si>
  <si>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</si>
  <si>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</si>
  <si>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</si>
  <si>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</si>
  <si>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</si>
  <si>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</si>
  <si>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</si>
  <si>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</si>
  <si>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</si>
  <si>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</si>
  <si>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</si>
  <si>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</si>
  <si>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</si>
  <si>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</si>
  <si>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</si>
  <si>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</si>
  <si>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</si>
  <si>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</si>
  <si>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</si>
  <si>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</si>
  <si>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</si>
  <si>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</si>
  <si>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</si>
  <si>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</si>
  <si>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</si>
  <si>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</si>
  <si>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</si>
  <si>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</si>
  <si>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</si>
  <si>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</si>
  <si>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</si>
  <si>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</si>
  <si>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</si>
  <si>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</si>
  <si>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</si>
  <si>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</si>
  <si>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</si>
  <si>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</si>
  <si>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</si>
  <si>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</si>
  <si>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</si>
  <si>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</si>
  <si>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</si>
  <si>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</si>
  <si>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</si>
  <si>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</si>
  <si>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</si>
  <si>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</si>
  <si>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</si>
  <si>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</si>
  <si>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</si>
  <si>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</si>
  <si>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</si>
  <si>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</si>
  <si>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</si>
  <si>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</si>
  <si>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</si>
  <si>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</si>
  <si>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</si>
  <si>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</si>
  <si>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</si>
  <si>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</si>
  <si>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</si>
  <si>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</si>
  <si>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</si>
  <si>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</si>
  <si>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</si>
  <si>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</si>
  <si>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</si>
  <si>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</si>
  <si>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</si>
  <si>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</si>
  <si>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</si>
  <si>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</si>
  <si>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</si>
  <si>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</si>
  <si>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</si>
  <si>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</si>
  <si>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</si>
  <si>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</si>
  <si>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</si>
  <si>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</si>
  <si>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</si>
  <si>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</si>
  <si>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</si>
  <si>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</si>
  <si>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</si>
  <si>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</si>
  <si>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</si>
  <si>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</si>
  <si>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</si>
  <si>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</si>
  <si>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</si>
  <si>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</si>
  <si>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</si>
  <si>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</si>
  <si>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</si>
  <si>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Salesperson</t>
  </si>
  <si>
    <t>Kayla</t>
  </si>
  <si>
    <t>Brenda</t>
  </si>
  <si>
    <t>Cheyenne</t>
  </si>
  <si>
    <t>Joshua</t>
  </si>
  <si>
    <t>Douglas</t>
  </si>
  <si>
    <t>Katie</t>
  </si>
  <si>
    <t>David</t>
  </si>
  <si>
    <t>Jonathan</t>
  </si>
  <si>
    <t>Ralph</t>
  </si>
  <si>
    <t>Daniel</t>
  </si>
  <si>
    <t>Aaron</t>
  </si>
  <si>
    <t>Sean</t>
  </si>
  <si>
    <t>Andrea</t>
  </si>
  <si>
    <t>Anna</t>
  </si>
  <si>
    <t>Thomas</t>
  </si>
  <si>
    <t>Jasmine</t>
  </si>
  <si>
    <t>Timothy</t>
  </si>
  <si>
    <t>Linda</t>
  </si>
  <si>
    <t>Tara</t>
  </si>
  <si>
    <t>Lisa</t>
  </si>
  <si>
    <t>Ethan</t>
  </si>
  <si>
    <t>Laura</t>
  </si>
  <si>
    <t>Victoria</t>
  </si>
  <si>
    <t>Lori</t>
  </si>
  <si>
    <t>Jennifer</t>
  </si>
  <si>
    <t>Tracey</t>
  </si>
  <si>
    <t>Patrick</t>
  </si>
  <si>
    <t>Caroline</t>
  </si>
  <si>
    <t>Keith</t>
  </si>
  <si>
    <t>CustomerName</t>
  </si>
  <si>
    <t>City</t>
  </si>
  <si>
    <t>Gender</t>
  </si>
  <si>
    <t>CustomerAge</t>
  </si>
  <si>
    <t>California</t>
  </si>
  <si>
    <t>Male</t>
  </si>
  <si>
    <t>Okon Balogun</t>
  </si>
  <si>
    <t>Texas</t>
  </si>
  <si>
    <t>Efe Adeyemi</t>
  </si>
  <si>
    <t>Female</t>
  </si>
  <si>
    <t>Chioma Eze</t>
  </si>
  <si>
    <t>Washington</t>
  </si>
  <si>
    <t>Jide Adeyemi</t>
  </si>
  <si>
    <t>Blessing Eze</t>
  </si>
  <si>
    <t>Amina Obi</t>
  </si>
  <si>
    <t>Florida</t>
  </si>
  <si>
    <t>Obi Bello</t>
  </si>
  <si>
    <t>Jane Thomas</t>
  </si>
  <si>
    <t>Illinois</t>
  </si>
  <si>
    <t>Sani Bello</t>
  </si>
  <si>
    <t>Chinedu Igwe</t>
  </si>
  <si>
    <t>Ibrahim Balogun</t>
  </si>
  <si>
    <t>Uche Abubakar</t>
  </si>
  <si>
    <t>Zainab Bello</t>
  </si>
  <si>
    <t>Jide Eze</t>
  </si>
  <si>
    <t>Sani Ojo</t>
  </si>
  <si>
    <t>Emeka Abubakar</t>
  </si>
  <si>
    <t>Okon Adeyemi</t>
  </si>
  <si>
    <t>Sani Obi</t>
  </si>
  <si>
    <t>Ibrahim Igwe</t>
  </si>
  <si>
    <t>Tunde Abubakar</t>
  </si>
  <si>
    <t>Blessing Danladi</t>
  </si>
  <si>
    <t>Abiola Bello</t>
  </si>
  <si>
    <t>Emeka Obi</t>
  </si>
  <si>
    <t>Obi Adeyemi</t>
  </si>
  <si>
    <t>Folasade Danladi</t>
  </si>
  <si>
    <t>Funke Danladi</t>
  </si>
  <si>
    <t>Ngozi Obi</t>
  </si>
  <si>
    <t>Folasade Okonkwo</t>
  </si>
  <si>
    <t>Obi Okonkwo</t>
  </si>
  <si>
    <t>Bisi Ojo</t>
  </si>
  <si>
    <t>Bisi Eze</t>
  </si>
  <si>
    <t>Adanma Bello</t>
  </si>
  <si>
    <t>Ronke Okonkwo</t>
  </si>
  <si>
    <t>Zainab Abubakar</t>
  </si>
  <si>
    <t>Amina Danladi</t>
  </si>
  <si>
    <t>Chioma Adeyemi</t>
  </si>
  <si>
    <t>Ngozi Ojo</t>
  </si>
  <si>
    <t>Folasade Ojo</t>
  </si>
  <si>
    <t>Emeka Balogun</t>
  </si>
  <si>
    <t>Temi Okonkwo</t>
  </si>
  <si>
    <t>Abiola Okonkwo</t>
  </si>
  <si>
    <t>Efe Ojo</t>
  </si>
  <si>
    <t>Okon Eze</t>
  </si>
  <si>
    <t>Adanma Ojo</t>
  </si>
  <si>
    <t>Okon Ojo</t>
  </si>
  <si>
    <t>Ngozi Danladi</t>
  </si>
  <si>
    <t>Adanma Okonkwo</t>
  </si>
  <si>
    <t>Adanma Danladi</t>
  </si>
  <si>
    <t>Ronke Eze</t>
  </si>
  <si>
    <t>Ibrahim Okonkwo</t>
  </si>
  <si>
    <t>Jide Okonkwo</t>
  </si>
  <si>
    <t>Adanma Adeyemi</t>
  </si>
  <si>
    <t>Bisi Bello</t>
  </si>
  <si>
    <t>Ngozi Bello</t>
  </si>
  <si>
    <t>Ronke Danladi</t>
  </si>
  <si>
    <t>Efe Abubakar</t>
  </si>
  <si>
    <t>Uche Bello</t>
  </si>
  <si>
    <t>Mustafa Obi</t>
  </si>
  <si>
    <t>Ronke Adeyemi</t>
  </si>
  <si>
    <t>Abiola Adeyemi</t>
  </si>
  <si>
    <t>Okon Igwe</t>
  </si>
  <si>
    <t>Obi Igwe</t>
  </si>
  <si>
    <t>Blessing Abubakar</t>
  </si>
  <si>
    <t>Bisi Adeyemi</t>
  </si>
  <si>
    <t>Blessing Balogun</t>
  </si>
  <si>
    <t>Tunde Danladi</t>
  </si>
  <si>
    <t>Abiola Igwe</t>
  </si>
  <si>
    <t>Abiola Abubakar</t>
  </si>
  <si>
    <t>Chinedu Obi</t>
  </si>
  <si>
    <t>Temi Bello</t>
  </si>
  <si>
    <t>Tunde Okonkwo</t>
  </si>
  <si>
    <t>Mustafa Igwe</t>
  </si>
  <si>
    <t>Chinedu Eze</t>
  </si>
  <si>
    <t>Amina Balogun</t>
  </si>
  <si>
    <t>Folasade Adeyemi</t>
  </si>
  <si>
    <t>Ibrahim Eze</t>
  </si>
  <si>
    <t>Mustafa Balogun</t>
  </si>
  <si>
    <t>Ronke Obi</t>
  </si>
  <si>
    <t>Abiola Balogun</t>
  </si>
  <si>
    <t>Temi Danladi</t>
  </si>
  <si>
    <t>Sani Igwe</t>
  </si>
  <si>
    <t>Chinedu Ojo</t>
  </si>
  <si>
    <t>Obi Eze</t>
  </si>
  <si>
    <t>Uche Igwe</t>
  </si>
  <si>
    <t>Ibrahim Bello</t>
  </si>
  <si>
    <t>Zainab Obi</t>
  </si>
  <si>
    <t>Okon Obi</t>
  </si>
  <si>
    <t>Blessing Bello</t>
  </si>
  <si>
    <t>Chioma Ojo</t>
  </si>
  <si>
    <t>Uche Okonkwo</t>
  </si>
  <si>
    <t>Adanma Obi</t>
  </si>
  <si>
    <t>Efe Igwe</t>
  </si>
  <si>
    <t>Temi Ojo</t>
  </si>
  <si>
    <t>Tunde Eze</t>
  </si>
  <si>
    <t>Mustafa Danladi</t>
  </si>
  <si>
    <t>Bi si Bello</t>
  </si>
  <si>
    <t>Sani Abubakar</t>
  </si>
  <si>
    <t>ProductName</t>
  </si>
  <si>
    <t>Category</t>
  </si>
  <si>
    <t>Gym</t>
  </si>
  <si>
    <t>Sports</t>
  </si>
  <si>
    <t>Clothing</t>
  </si>
  <si>
    <t>Accessories</t>
  </si>
  <si>
    <t>Electronics</t>
  </si>
  <si>
    <t>Games</t>
  </si>
  <si>
    <t>Sani Balogun</t>
  </si>
  <si>
    <t>Tunde Igwe</t>
  </si>
  <si>
    <t>Zainab Eze</t>
  </si>
  <si>
    <t>Bisi Abubakar</t>
  </si>
  <si>
    <t>Emmanuel Victor</t>
  </si>
  <si>
    <t>Uche Danladi</t>
  </si>
  <si>
    <t>Amina Abubakar</t>
  </si>
  <si>
    <t>Okon Bello</t>
  </si>
  <si>
    <t>Emeka Danladi</t>
  </si>
  <si>
    <t>Georgia</t>
  </si>
  <si>
    <t>Yoga Mat</t>
  </si>
  <si>
    <t>Chest Expander</t>
  </si>
  <si>
    <t>Dumb Bells</t>
  </si>
  <si>
    <t>Gym Gloves</t>
  </si>
  <si>
    <t>Gym Bag</t>
  </si>
  <si>
    <t>Sneakers</t>
  </si>
  <si>
    <t>Badminton Racket</t>
  </si>
  <si>
    <t>Football</t>
  </si>
  <si>
    <t>Skipping Rope</t>
  </si>
  <si>
    <t>Tennis Bat</t>
  </si>
  <si>
    <t>Ankara</t>
  </si>
  <si>
    <t>Boubou</t>
  </si>
  <si>
    <t>Gym Wears</t>
  </si>
  <si>
    <t>Trousers</t>
  </si>
  <si>
    <t>Turtle Neck</t>
  </si>
  <si>
    <t>Tops</t>
  </si>
  <si>
    <t>Earrings</t>
  </si>
  <si>
    <t>Gold Earrings And Necklaces</t>
  </si>
  <si>
    <t>Silver Earrings And Necklaces</t>
  </si>
  <si>
    <t>Beaded Earrings And Necklaces</t>
  </si>
  <si>
    <t>Gold Bracelets</t>
  </si>
  <si>
    <t>Silver Bangles</t>
  </si>
  <si>
    <t>Nose Rings</t>
  </si>
  <si>
    <t>Gold Rings</t>
  </si>
  <si>
    <t>Silver Rings</t>
  </si>
  <si>
    <t>Iron</t>
  </si>
  <si>
    <t>Blender</t>
  </si>
  <si>
    <t>Microwave</t>
  </si>
  <si>
    <t>Refrigerator</t>
  </si>
  <si>
    <t>Scrabble</t>
  </si>
  <si>
    <t>Monopoly</t>
  </si>
  <si>
    <t>Checkers</t>
  </si>
  <si>
    <t>Chess</t>
  </si>
  <si>
    <t>Kids Games</t>
  </si>
  <si>
    <t>CustomerCity</t>
  </si>
  <si>
    <t>ProductCategory</t>
  </si>
  <si>
    <t>Revenue</t>
  </si>
  <si>
    <t>Expenses</t>
  </si>
  <si>
    <t>Profit</t>
  </si>
  <si>
    <t>Week</t>
  </si>
  <si>
    <t>AgeGroup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</si>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</sst>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F800]dddd\,\ mmmm\ dd\,\ yyyy"/>
    <numFmt numFmtId="165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0" xfId="0" applyFont="1"/>
    <xf numFmtId="14" fontId="1" fillId="0" borderId="0" xfId="0" applyNumberFormat="1" applyFont="1"/>
    <xf numFmtId="164" fontId="0" fillId="0" borderId="0" xfId="0" applyNumberFormat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0" fontId="2" fillId="0" borderId="3" xfId="0" applyFont="1" applyBorder="1" applyAlignment="1">
      <alignment horizontal="center" vertical="top"/>
    </xf>
    <xf numFmtId="165" fontId="2" fillId="0" borderId="1" xfId="0" applyNumberFormat="1" applyFont="1" applyBorder="1" applyAlignment="1">
      <alignment horizontal="center" vertical="top"/>
    </xf>
    <xf numFmtId="165" fontId="1" fillId="0" borderId="0" xfId="0" applyNumberFormat="1" applyFont="1"/>
    <xf numFmtId="165" fontId="0" fillId="0" borderId="0" xfId="0" applyNumberFormat="1"/>
    <xf numFmtId="165" fontId="2" fillId="0" borderId="2" xfId="0" applyNumberFormat="1" applyFont="1" applyBorder="1" applyAlignment="1">
      <alignment horizontal="center" vertical="top"/>
    </xf>
    <xf numFmtId="1" fontId="1" fillId="0" borderId="0" xfId="0" applyNumberFormat="1" applyFont="1"/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numFmt numFmtId="0" formatCode="General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z val="11"/>
        <name val="Georgia"/>
        <family val="1"/>
        <scheme val="none"/>
      </font>
    </dxf>
    <dxf>
      <font>
        <b val="0"/>
        <i val="0"/>
        <strike val="0"/>
        <sz val="11"/>
        <name val="Georgia"/>
        <family val="1"/>
        <scheme val="none"/>
      </font>
      <fill>
        <patternFill>
          <bgColor rgb="FF705585"/>
        </patternFill>
      </fill>
    </dxf>
    <dxf>
      <fill>
        <patternFill>
          <bgColor theme="4"/>
        </patternFill>
      </fill>
    </dxf>
  </dxfs>
  <tableStyles count="2" defaultTableStyle="TableStyleMedium2" defaultPivotStyle="PivotStyleLight16">
    <tableStyle name="Slicer Style 1" pivot="0" table="0" count="1" xr9:uid="{968BD846-A67B-4540-861F-0B0084444C38}">
      <tableStyleElement type="wholeTable" dxfId="39"/>
    </tableStyle>
    <tableStyle name="Slicer Style 2" pivot="0" table="0" count="5" xr9:uid="{E2246730-2475-4E1A-94D6-6C553606ACF4}">
      <tableStyleElement type="wholeTable" dxfId="38"/>
      <tableStyleElement type="headerRow" dxfId="37"/>
    </tableStyle>
  </tableStyles>
  <colors>
    <mruColors>
      <color rgb="FF543F63"/>
      <color rgb="FF705585"/>
      <color rgb="FF816199"/>
      <color rgb="FFD8CEE0"/>
      <color rgb="FF987CAC"/>
      <color rgb="FFBCABC9"/>
      <color rgb="FFA3C1DA"/>
      <color rgb="FF6B9BC3"/>
      <color rgb="FFFFD85D"/>
      <color rgb="FFC9CE04"/>
    </mruColors>
  </colors>
  <extLst>
    <ext xmlns:x14="http://schemas.microsoft.com/office/spreadsheetml/2009/9/main" uri="{46F421CA-312F-682f-3DD2-61675219B42D}">
      <x14:dxfs count="3">
        <dxf>
          <font>
            <b/>
            <i val="0"/>
            <sz val="10"/>
            <color rgb="FF705585"/>
            <name val="Georgia"/>
            <family val="1"/>
            <scheme val="none"/>
          </font>
          <fill>
            <patternFill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 val="0"/>
            <sz val="11"/>
            <name val="Georgia"/>
            <family val="1"/>
            <scheme val="none"/>
          </font>
        </dxf>
        <dxf>
          <font>
            <sz val="9"/>
            <name val="Georgia"/>
            <family val="1"/>
            <scheme val="none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2">
          <x14:slicerStyleElements>
            <x14:slicerStyleElement type="unselectedItemWithData" dxfId="2"/>
            <x14:slicerStyleElement type="unselectedItemWithNoData" dxfId="1"/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923D09-3D04-49E2-BFDE-5202DD3E2970}" name="Orders" displayName="Orders" ref="A1:T2001" totalsRowShown="0" headerRowDxfId="29" dataDxfId="28">
  <autoFilter ref="A1:T2001" xr:uid="{D2923D09-3D04-49E2-BFDE-5202DD3E2970}"/>
  <tableColumns count="20">
    <tableColumn id="1" xr3:uid="{11F2D8E3-39AE-469F-9A16-8C2055C81D0D}" name="OrderID" dataDxfId="27"/>
    <tableColumn id="2" xr3:uid="{35430408-5B4E-4A3A-99A6-206CC645286F}" name="OrderDate" dataDxfId="26"/>
    <tableColumn id="18" xr3:uid="{2A55B85C-4315-4506-A684-E1924E17C4FE}" name="Week" dataDxfId="25">
      <calculatedColumnFormula>WEEKNUM(Orders[[#This Row],[OrderDate]])</calculatedColumnFormula>
    </tableColumn>
    <tableColumn id="20" xr3:uid="{375288B2-A9E1-4D76-95B3-DF964F51FC63}" name="Month" dataDxfId="24">
      <calculatedColumnFormula>TEXT(Orders[[#This Row],[OrderDate]],"mmmm")</calculatedColumnFormula>
    </tableColumn>
    <tableColumn id="3" xr3:uid="{1E0E829C-0BA5-46D2-82FA-681D810E63F3}" name="CustomerID" dataDxfId="23"/>
    <tableColumn id="4" xr3:uid="{DA9E6A6A-A986-4018-91B1-7A92C5CF9D61}" name="ProductID" dataDxfId="22"/>
    <tableColumn id="5" xr3:uid="{F90387F0-FAEE-437A-8631-42C4C76CE25F}" name="Quantity" dataDxfId="21"/>
    <tableColumn id="6" xr3:uid="{08900447-89B1-4C3E-8DB3-2D5BC14DC287}" name="Selling Price" dataDxfId="20"/>
    <tableColumn id="7" xr3:uid="{2B21D45E-1A90-45EB-B47F-2CBE0D94AFE0}" name="Cost Price" dataDxfId="19"/>
    <tableColumn id="15" xr3:uid="{6E33812E-695F-456F-9713-C160F4EDA52C}" name="Revenue" dataDxfId="18">
      <calculatedColumnFormula>Orders[[#This Row],[Quantity]]*Orders[[#This Row],[Selling Price]]</calculatedColumnFormula>
    </tableColumn>
    <tableColumn id="16" xr3:uid="{7B6482F9-60CC-4250-9DA1-C2950B9839F0}" name="Expenses" dataDxfId="17">
      <calculatedColumnFormula>Orders[[#This Row],[Quantity]]*Orders[[#This Row],[Cost Price]]</calculatedColumnFormula>
    </tableColumn>
    <tableColumn id="17" xr3:uid="{14D4A582-B76D-4BB2-B978-FA40807EC838}" name="Profit" dataDxfId="16">
      <calculatedColumnFormula>Orders[[#This Row],[Revenue]]-Orders[[#This Row],[Expenses]]</calculatedColumnFormula>
    </tableColumn>
    <tableColumn id="8" xr3:uid="{AF2523EC-0D57-4258-A778-8831F2A9BF75}" name="Salesperson"/>
    <tableColumn id="14" xr3:uid="{318EF53C-A704-4386-AE7F-742D5848A2D1}" name="CustomerName" dataDxfId="15">
      <calculatedColumnFormula>_xlfn.XLOOKUP(Orders[[#This Row],[CustomerID]],Customers[CustomerID],Customers[CustomerName])</calculatedColumnFormula>
    </tableColumn>
    <tableColumn id="9" xr3:uid="{6DB01F90-EDCD-4C28-8E13-D78AEB01D9BF}" name="CustomerCity" dataDxfId="14">
      <calculatedColumnFormula>_xlfn.XLOOKUP(Orders[[#This Row],[CustomerID]],Customers[CustomerID],Customers[City])</calculatedColumnFormula>
    </tableColumn>
    <tableColumn id="10" xr3:uid="{52497C61-DDB1-4F4E-875C-A452DBAA57BE}" name="Gender" dataDxfId="13">
      <calculatedColumnFormula>_xlfn.XLOOKUP(Orders[[#This Row],[CustomerID]],Customers[CustomerID],Customers[Gender])</calculatedColumnFormula>
    </tableColumn>
    <tableColumn id="11" xr3:uid="{E18DA57E-BC7E-4F31-BFA4-9502FF444265}" name="CustomerAge" dataDxfId="12">
      <calculatedColumnFormula>_xlfn.XLOOKUP(Orders[[#This Row],[CustomerID]],Customers[CustomerID],Customers[CustomerAge])</calculatedColumnFormula>
    </tableColumn>
    <tableColumn id="19" xr3:uid="{7F984CA5-0868-4CAF-86E8-A0DA3732EFA0}" name="AgeGroup" dataDxfId="11">
      <calculatedColumnFormula>IF(Orders[[#This Row],[CustomerAge]]&gt;=35, "Older", "Young")</calculatedColumnFormula>
    </tableColumn>
    <tableColumn id="12" xr3:uid="{194AE662-0157-45B6-B3B5-2DCBB4F89620}" name="ProductName" dataDxfId="10">
      <calculatedColumnFormula>_xlfn.XLOOKUP(Orders[[#This Row],[ProductID]],Products[ProductID],Products[ProductName])</calculatedColumnFormula>
    </tableColumn>
    <tableColumn id="13" xr3:uid="{E3F6521A-B0EC-4F53-A316-F2251F40C6A0}" name="ProductCategory" dataDxfId="9">
      <calculatedColumnFormula>_xlfn.XLOOKUP(Orders[[#This Row],[ProductID]],Products[ProductID],Products[Category])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803978-A72C-4A7E-814F-291BFD03FF3E}" name="Customers" displayName="Customers" ref="A1:E151" totalsRowShown="0" headerRowDxfId="8" dataDxfId="6" headerRowBorderDxfId="7" tableBorderDxfId="5">
  <autoFilter ref="A1:E151" xr:uid="{00000000-0009-0000-0000-000000000000}"/>
  <tableColumns count="5">
    <tableColumn id="1" xr3:uid="{8BA24D47-B8EC-400C-8C25-37929858A7BA}" name="CustomerID" dataDxfId="4"/>
    <tableColumn id="2" xr3:uid="{F6BDBE71-DA22-4B41-A47D-1341953B1534}" name="CustomerName" dataDxfId="3"/>
    <tableColumn id="3" xr3:uid="{0944602C-832A-4F03-95B3-438599DB7D74}" name="City" dataDxfId="2"/>
    <tableColumn id="4" xr3:uid="{58111969-B350-4ABC-A296-8D2549E59576}" name="Gender" dataDxfId="1"/>
    <tableColumn id="5" xr3:uid="{88AEE877-AEDE-48E3-819C-606DD00D1CE2}" name="CustomerAge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977AA-3737-4C2B-8E20-DC8FE11094B6}" name="Products" displayName="Products" ref="A1:C35" totalsRowShown="0" headerRowDxfId="36" dataDxfId="34" headerRowBorderDxfId="35" tableBorderDxfId="33">
  <autoFilter ref="A1:C35" xr:uid="{5D7977AA-3737-4C2B-8E20-DC8FE11094B6}"/>
  <tableColumns count="3">
    <tableColumn id="1" xr3:uid="{7A170D4A-E8E6-4AE4-95C2-CDD805112456}" name="ProductID" dataDxfId="32"/>
    <tableColumn id="2" xr3:uid="{9997CB12-97BB-41AE-9255-695330D235B2}" name="ProductName" dataDxfId="31"/>
    <tableColumn id="3" xr3:uid="{E15B8DC0-4E29-4A53-AD78-13DD2183E3A8}" name="Category" dataDxfId="3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6B7A2-346F-4698-8D03-B96B778E56BB}">
  <dimension ref="A1:T2001"/>
  <sheetViews>
    <sheetView tabSelected="1" topLeftCell="N1" workbookViewId="0">
      <selection activeCell="W21" sqref="W21"/>
    </sheetView>
  </sheetViews>
  <sheetFormatPr defaultRowHeight="15" x14ac:dyDescent="0.25"/>
  <cols>
    <col min="1" max="1" width="12.140625" bestFit="1" customWidth="1"/>
    <col min="2" max="2" width="14.28515625" style="6" bestFit="1" customWidth="1"/>
    <col min="3" max="3" width="13.85546875" bestFit="1" customWidth="1"/>
    <col min="4" max="4" width="13.85546875" customWidth="1"/>
    <col min="5" max="5" width="12.7109375" bestFit="1" customWidth="1"/>
    <col min="6" max="6" width="15.140625" bestFit="1" customWidth="1"/>
    <col min="7" max="7" width="13.5703125" style="13" bestFit="1" customWidth="1"/>
    <col min="8" max="11" width="13.5703125" style="13" customWidth="1"/>
    <col min="12" max="12" width="12.140625" customWidth="1"/>
    <col min="13" max="13" width="17.140625" bestFit="1" customWidth="1"/>
    <col min="14" max="16" width="15.42578125" bestFit="1" customWidth="1"/>
    <col min="17" max="18" width="17.5703125" customWidth="1"/>
    <col min="19" max="20" width="17.85546875" bestFit="1" customWidth="1"/>
  </cols>
  <sheetData>
    <row r="1" spans="1:20" x14ac:dyDescent="0.25">
      <c r="A1" s="1" t="s">
        <v>0</v>
      </c>
      <c r="B1" s="2" t="s">
        <v>1</v>
      </c>
      <c r="C1" s="2" t="s">
        <v>2386</v>
      </c>
      <c r="D1" s="2" t="s">
        <v>2388</v>
      </c>
      <c r="E1" s="1" t="s">
        <v>2</v>
      </c>
      <c r="F1" s="1" t="s">
        <v>3</v>
      </c>
      <c r="G1" s="1" t="s">
        <v>4</v>
      </c>
      <c r="H1" s="11" t="s">
        <v>5</v>
      </c>
      <c r="I1" s="14" t="s">
        <v>6</v>
      </c>
      <c r="J1" s="14" t="s">
        <v>2383</v>
      </c>
      <c r="K1" s="14" t="s">
        <v>2384</v>
      </c>
      <c r="L1" s="14" t="s">
        <v>2385</v>
      </c>
      <c r="M1" s="3" t="s">
        <v>2191</v>
      </c>
      <c r="N1" s="3" t="s">
        <v>2221</v>
      </c>
      <c r="O1" s="3" t="s">
        <v>2381</v>
      </c>
      <c r="P1" s="3" t="s">
        <v>2223</v>
      </c>
      <c r="Q1" s="3" t="s">
        <v>2224</v>
      </c>
      <c r="R1" s="3" t="s">
        <v>2387</v>
      </c>
      <c r="S1" s="3" t="s">
        <v>2329</v>
      </c>
      <c r="T1" s="3" t="s">
        <v>2382</v>
      </c>
    </row>
    <row r="2" spans="1:20" x14ac:dyDescent="0.25">
      <c r="A2" s="4" t="s">
        <v>7</v>
      </c>
      <c r="B2" s="5">
        <v>45989</v>
      </c>
      <c r="C2" s="15">
        <f>WEEKNUM(Orders[[#This Row],[OrderDate]])</f>
        <v>48</v>
      </c>
      <c r="D2" s="15" t="str">
        <f>TEXT(Orders[[#This Row],[OrderDate]],"mmmm")</f>
        <v>November</v>
      </c>
      <c r="E2" s="4" t="s">
        <v>8</v>
      </c>
      <c r="F2" s="4" t="s">
        <v>9</v>
      </c>
      <c r="G2" s="4">
        <v>10</v>
      </c>
      <c r="H2" s="12">
        <v>5816.9000000000005</v>
      </c>
      <c r="I2" s="13">
        <v>4944.3650000000007</v>
      </c>
      <c r="J2" s="13">
        <f>Orders[[#This Row],[Quantity]]*Orders[[#This Row],[Selling Price]]</f>
        <v>58169.000000000007</v>
      </c>
      <c r="K2" s="13">
        <f>Orders[[#This Row],[Quantity]]*Orders[[#This Row],[Cost Price]]</f>
        <v>49443.650000000009</v>
      </c>
      <c r="L2" s="13">
        <f>Orders[[#This Row],[Revenue]]-Orders[[#This Row],[Expenses]]</f>
        <v>8725.3499999999985</v>
      </c>
      <c r="M2" t="s">
        <v>2192</v>
      </c>
      <c r="N2" t="str">
        <f>_xlfn.XLOOKUP(Orders[[#This Row],[CustomerID]],Customers[CustomerID],Customers[CustomerName])</f>
        <v>Bi si Bello</v>
      </c>
      <c r="O2" t="str">
        <f>_xlfn.XLOOKUP(Orders[[#This Row],[CustomerID]],Customers[CustomerID],Customers[City])</f>
        <v>Washington</v>
      </c>
      <c r="P2" t="str">
        <f>_xlfn.XLOOKUP(Orders[[#This Row],[CustomerID]],Customers[CustomerID],Customers[Gender])</f>
        <v>Female</v>
      </c>
      <c r="Q2">
        <f>_xlfn.XLOOKUP(Orders[[#This Row],[CustomerID]],Customers[CustomerID],Customers[CustomerAge])</f>
        <v>38</v>
      </c>
      <c r="R2" t="str">
        <f>IF(Orders[[#This Row],[CustomerAge]]&gt;=35, "Older", "Young")</f>
        <v>Older</v>
      </c>
      <c r="S2" t="str">
        <f>_xlfn.XLOOKUP(Orders[[#This Row],[ProductID]],Products[ProductID],Products[ProductName])</f>
        <v>Beaded Earrings And Necklaces</v>
      </c>
      <c r="T2" t="str">
        <f>_xlfn.XLOOKUP(Orders[[#This Row],[ProductID]],Products[ProductID],Products[Category])</f>
        <v>Accessories</v>
      </c>
    </row>
    <row r="3" spans="1:20" x14ac:dyDescent="0.25">
      <c r="A3" s="4" t="s">
        <v>10</v>
      </c>
      <c r="B3" s="5">
        <v>45935</v>
      </c>
      <c r="C3" s="15">
        <f>WEEKNUM(Orders[[#This Row],[OrderDate]])</f>
        <v>41</v>
      </c>
      <c r="D3" s="15" t="str">
        <f>TEXT(Orders[[#This Row],[OrderDate]],"mmmm")</f>
        <v>October</v>
      </c>
      <c r="E3" s="4" t="s">
        <v>11</v>
      </c>
      <c r="F3" s="4" t="s">
        <v>12</v>
      </c>
      <c r="G3" s="4">
        <v>6</v>
      </c>
      <c r="H3" s="12">
        <v>8180.8</v>
      </c>
      <c r="I3" s="13">
        <v>6953.68</v>
      </c>
      <c r="J3" s="13">
        <f>Orders[[#This Row],[Quantity]]*Orders[[#This Row],[Selling Price]]</f>
        <v>49084.800000000003</v>
      </c>
      <c r="K3" s="13">
        <f>Orders[[#This Row],[Quantity]]*Orders[[#This Row],[Cost Price]]</f>
        <v>41722.080000000002</v>
      </c>
      <c r="L3" s="13">
        <f>Orders[[#This Row],[Revenue]]-Orders[[#This Row],[Expenses]]</f>
        <v>7362.7200000000012</v>
      </c>
      <c r="M3" t="s">
        <v>2193</v>
      </c>
      <c r="N3" t="str">
        <f>_xlfn.XLOOKUP(Orders[[#This Row],[CustomerID]],Customers[CustomerID],Customers[CustomerName])</f>
        <v>Efe Ojo</v>
      </c>
      <c r="O3" t="str">
        <f>_xlfn.XLOOKUP(Orders[[#This Row],[CustomerID]],Customers[CustomerID],Customers[City])</f>
        <v>Texas</v>
      </c>
      <c r="P3" t="str">
        <f>_xlfn.XLOOKUP(Orders[[#This Row],[CustomerID]],Customers[CustomerID],Customers[Gender])</f>
        <v>Female</v>
      </c>
      <c r="Q3">
        <f>_xlfn.XLOOKUP(Orders[[#This Row],[CustomerID]],Customers[CustomerID],Customers[CustomerAge])</f>
        <v>55</v>
      </c>
      <c r="R3" t="str">
        <f>IF(Orders[[#This Row],[CustomerAge]]&gt;=35, "Older", "Young")</f>
        <v>Older</v>
      </c>
      <c r="S3" t="str">
        <f>_xlfn.XLOOKUP(Orders[[#This Row],[ProductID]],Products[ProductID],Products[ProductName])</f>
        <v>Boubou</v>
      </c>
      <c r="T3" t="str">
        <f>_xlfn.XLOOKUP(Orders[[#This Row],[ProductID]],Products[ProductID],Products[Category])</f>
        <v>Clothing</v>
      </c>
    </row>
    <row r="4" spans="1:20" x14ac:dyDescent="0.25">
      <c r="A4" s="4" t="s">
        <v>13</v>
      </c>
      <c r="B4" s="5">
        <v>46021</v>
      </c>
      <c r="C4" s="15">
        <f>WEEKNUM(Orders[[#This Row],[OrderDate]])</f>
        <v>53</v>
      </c>
      <c r="D4" s="15" t="str">
        <f>TEXT(Orders[[#This Row],[OrderDate]],"mmmm")</f>
        <v>December</v>
      </c>
      <c r="E4" s="4" t="s">
        <v>14</v>
      </c>
      <c r="F4" s="4" t="s">
        <v>15</v>
      </c>
      <c r="G4" s="4">
        <v>7</v>
      </c>
      <c r="H4" s="12">
        <v>5648.6</v>
      </c>
      <c r="I4" s="13">
        <v>4801.3100000000004</v>
      </c>
      <c r="J4" s="13">
        <f>Orders[[#This Row],[Quantity]]*Orders[[#This Row],[Selling Price]]</f>
        <v>39540.200000000004</v>
      </c>
      <c r="K4" s="13">
        <f>Orders[[#This Row],[Quantity]]*Orders[[#This Row],[Cost Price]]</f>
        <v>33609.170000000006</v>
      </c>
      <c r="L4" s="13">
        <f>Orders[[#This Row],[Revenue]]-Orders[[#This Row],[Expenses]]</f>
        <v>5931.0299999999988</v>
      </c>
      <c r="M4" t="s">
        <v>2194</v>
      </c>
      <c r="N4" t="str">
        <f>_xlfn.XLOOKUP(Orders[[#This Row],[CustomerID]],Customers[CustomerID],Customers[CustomerName])</f>
        <v>Abiola Igwe</v>
      </c>
      <c r="O4" t="str">
        <f>_xlfn.XLOOKUP(Orders[[#This Row],[CustomerID]],Customers[CustomerID],Customers[City])</f>
        <v>Texas</v>
      </c>
      <c r="P4" t="str">
        <f>_xlfn.XLOOKUP(Orders[[#This Row],[CustomerID]],Customers[CustomerID],Customers[Gender])</f>
        <v>Male</v>
      </c>
      <c r="Q4">
        <f>_xlfn.XLOOKUP(Orders[[#This Row],[CustomerID]],Customers[CustomerID],Customers[CustomerAge])</f>
        <v>39</v>
      </c>
      <c r="R4" t="str">
        <f>IF(Orders[[#This Row],[CustomerAge]]&gt;=35, "Older", "Young")</f>
        <v>Older</v>
      </c>
      <c r="S4" t="str">
        <f>_xlfn.XLOOKUP(Orders[[#This Row],[ProductID]],Products[ProductID],Products[ProductName])</f>
        <v>Monopoly</v>
      </c>
      <c r="T4" t="str">
        <f>_xlfn.XLOOKUP(Orders[[#This Row],[ProductID]],Products[ProductID],Products[Category])</f>
        <v>Games</v>
      </c>
    </row>
    <row r="5" spans="1:20" x14ac:dyDescent="0.25">
      <c r="A5" s="4" t="s">
        <v>16</v>
      </c>
      <c r="B5" s="5">
        <v>45957</v>
      </c>
      <c r="C5" s="15">
        <f>WEEKNUM(Orders[[#This Row],[OrderDate]])</f>
        <v>44</v>
      </c>
      <c r="D5" s="15" t="str">
        <f>TEXT(Orders[[#This Row],[OrderDate]],"mmmm")</f>
        <v>October</v>
      </c>
      <c r="E5" s="4" t="s">
        <v>17</v>
      </c>
      <c r="F5" s="4" t="s">
        <v>9</v>
      </c>
      <c r="G5" s="4">
        <v>4</v>
      </c>
      <c r="H5" s="12">
        <v>15926.800000000001</v>
      </c>
      <c r="I5" s="13">
        <v>13537.78</v>
      </c>
      <c r="J5" s="13">
        <f>Orders[[#This Row],[Quantity]]*Orders[[#This Row],[Selling Price]]</f>
        <v>63707.200000000004</v>
      </c>
      <c r="K5" s="13">
        <f>Orders[[#This Row],[Quantity]]*Orders[[#This Row],[Cost Price]]</f>
        <v>54151.12</v>
      </c>
      <c r="L5" s="13">
        <f>Orders[[#This Row],[Revenue]]-Orders[[#This Row],[Expenses]]</f>
        <v>9556.0800000000017</v>
      </c>
      <c r="M5" t="s">
        <v>2195</v>
      </c>
      <c r="N5" t="str">
        <f>_xlfn.XLOOKUP(Orders[[#This Row],[CustomerID]],Customers[CustomerID],Customers[CustomerName])</f>
        <v>Bisi Adeyemi</v>
      </c>
      <c r="O5" t="str">
        <f>_xlfn.XLOOKUP(Orders[[#This Row],[CustomerID]],Customers[CustomerID],Customers[City])</f>
        <v>Illinois</v>
      </c>
      <c r="P5" t="str">
        <f>_xlfn.XLOOKUP(Orders[[#This Row],[CustomerID]],Customers[CustomerID],Customers[Gender])</f>
        <v>Female</v>
      </c>
      <c r="Q5">
        <f>_xlfn.XLOOKUP(Orders[[#This Row],[CustomerID]],Customers[CustomerID],Customers[CustomerAge])</f>
        <v>48</v>
      </c>
      <c r="R5" t="str">
        <f>IF(Orders[[#This Row],[CustomerAge]]&gt;=35, "Older", "Young")</f>
        <v>Older</v>
      </c>
      <c r="S5" t="str">
        <f>_xlfn.XLOOKUP(Orders[[#This Row],[ProductID]],Products[ProductID],Products[ProductName])</f>
        <v>Beaded Earrings And Necklaces</v>
      </c>
      <c r="T5" t="str">
        <f>_xlfn.XLOOKUP(Orders[[#This Row],[ProductID]],Products[ProductID],Products[Category])</f>
        <v>Accessories</v>
      </c>
    </row>
    <row r="6" spans="1:20" x14ac:dyDescent="0.25">
      <c r="A6" s="4" t="s">
        <v>18</v>
      </c>
      <c r="B6" s="5">
        <v>46005</v>
      </c>
      <c r="C6" s="15">
        <f>WEEKNUM(Orders[[#This Row],[OrderDate]])</f>
        <v>51</v>
      </c>
      <c r="D6" s="15" t="str">
        <f>TEXT(Orders[[#This Row],[OrderDate]],"mmmm")</f>
        <v>December</v>
      </c>
      <c r="E6" s="4" t="s">
        <v>19</v>
      </c>
      <c r="F6" s="4" t="s">
        <v>20</v>
      </c>
      <c r="G6" s="4">
        <v>5</v>
      </c>
      <c r="H6" s="12">
        <v>19412.5</v>
      </c>
      <c r="I6" s="13">
        <v>16500.625</v>
      </c>
      <c r="J6" s="13">
        <f>Orders[[#This Row],[Quantity]]*Orders[[#This Row],[Selling Price]]</f>
        <v>97062.5</v>
      </c>
      <c r="K6" s="13">
        <f>Orders[[#This Row],[Quantity]]*Orders[[#This Row],[Cost Price]]</f>
        <v>82503.125</v>
      </c>
      <c r="L6" s="13">
        <f>Orders[[#This Row],[Revenue]]-Orders[[#This Row],[Expenses]]</f>
        <v>14559.375</v>
      </c>
      <c r="M6" t="s">
        <v>2196</v>
      </c>
      <c r="N6" t="str">
        <f>_xlfn.XLOOKUP(Orders[[#This Row],[CustomerID]],Customers[CustomerID],Customers[CustomerName])</f>
        <v>Obi Adeyemi</v>
      </c>
      <c r="O6" t="str">
        <f>_xlfn.XLOOKUP(Orders[[#This Row],[CustomerID]],Customers[CustomerID],Customers[City])</f>
        <v>California</v>
      </c>
      <c r="P6" t="str">
        <f>_xlfn.XLOOKUP(Orders[[#This Row],[CustomerID]],Customers[CustomerID],Customers[Gender])</f>
        <v>Male</v>
      </c>
      <c r="Q6">
        <f>_xlfn.XLOOKUP(Orders[[#This Row],[CustomerID]],Customers[CustomerID],Customers[CustomerAge])</f>
        <v>24</v>
      </c>
      <c r="R6" t="str">
        <f>IF(Orders[[#This Row],[CustomerAge]]&gt;=35, "Older", "Young")</f>
        <v>Young</v>
      </c>
      <c r="S6" t="str">
        <f>_xlfn.XLOOKUP(Orders[[#This Row],[ProductID]],Products[ProductID],Products[ProductName])</f>
        <v>Gym Bag</v>
      </c>
      <c r="T6" t="str">
        <f>_xlfn.XLOOKUP(Orders[[#This Row],[ProductID]],Products[ProductID],Products[Category])</f>
        <v>Gym</v>
      </c>
    </row>
    <row r="7" spans="1:20" x14ac:dyDescent="0.25">
      <c r="A7" s="4" t="s">
        <v>21</v>
      </c>
      <c r="B7" s="5">
        <v>45990</v>
      </c>
      <c r="C7" s="15">
        <f>WEEKNUM(Orders[[#This Row],[OrderDate]])</f>
        <v>48</v>
      </c>
      <c r="D7" s="15" t="str">
        <f>TEXT(Orders[[#This Row],[OrderDate]],"mmmm")</f>
        <v>November</v>
      </c>
      <c r="E7" s="4" t="s">
        <v>22</v>
      </c>
      <c r="F7" s="4" t="s">
        <v>23</v>
      </c>
      <c r="G7" s="4">
        <v>5</v>
      </c>
      <c r="H7" s="12">
        <v>14778.099999999999</v>
      </c>
      <c r="I7" s="13">
        <v>12561.384999999998</v>
      </c>
      <c r="J7" s="13">
        <f>Orders[[#This Row],[Quantity]]*Orders[[#This Row],[Selling Price]]</f>
        <v>73890.5</v>
      </c>
      <c r="K7" s="13">
        <f>Orders[[#This Row],[Quantity]]*Orders[[#This Row],[Cost Price]]</f>
        <v>62806.924999999988</v>
      </c>
      <c r="L7" s="13">
        <f>Orders[[#This Row],[Revenue]]-Orders[[#This Row],[Expenses]]</f>
        <v>11083.575000000012</v>
      </c>
      <c r="M7" t="s">
        <v>2197</v>
      </c>
      <c r="N7" t="str">
        <f>_xlfn.XLOOKUP(Orders[[#This Row],[CustomerID]],Customers[CustomerID],Customers[CustomerName])</f>
        <v>Temi Bello</v>
      </c>
      <c r="O7" t="str">
        <f>_xlfn.XLOOKUP(Orders[[#This Row],[CustomerID]],Customers[CustomerID],Customers[City])</f>
        <v>Texas</v>
      </c>
      <c r="P7" t="str">
        <f>_xlfn.XLOOKUP(Orders[[#This Row],[CustomerID]],Customers[CustomerID],Customers[Gender])</f>
        <v>Female</v>
      </c>
      <c r="Q7">
        <f>_xlfn.XLOOKUP(Orders[[#This Row],[CustomerID]],Customers[CustomerID],Customers[CustomerAge])</f>
        <v>52</v>
      </c>
      <c r="R7" t="str">
        <f>IF(Orders[[#This Row],[CustomerAge]]&gt;=35, "Older", "Young")</f>
        <v>Older</v>
      </c>
      <c r="S7" t="str">
        <f>_xlfn.XLOOKUP(Orders[[#This Row],[ProductID]],Products[ProductID],Products[ProductName])</f>
        <v>Gym Gloves</v>
      </c>
      <c r="T7" t="str">
        <f>_xlfn.XLOOKUP(Orders[[#This Row],[ProductID]],Products[ProductID],Products[Category])</f>
        <v>Gym</v>
      </c>
    </row>
    <row r="8" spans="1:20" x14ac:dyDescent="0.25">
      <c r="A8" s="4" t="s">
        <v>24</v>
      </c>
      <c r="B8" s="5">
        <v>45968</v>
      </c>
      <c r="C8" s="15">
        <f>WEEKNUM(Orders[[#This Row],[OrderDate]])</f>
        <v>45</v>
      </c>
      <c r="D8" s="15" t="str">
        <f>TEXT(Orders[[#This Row],[OrderDate]],"mmmm")</f>
        <v>November</v>
      </c>
      <c r="E8" s="4" t="s">
        <v>8</v>
      </c>
      <c r="F8" s="4" t="s">
        <v>25</v>
      </c>
      <c r="G8" s="4">
        <v>9</v>
      </c>
      <c r="H8" s="12">
        <v>14335.3</v>
      </c>
      <c r="I8" s="13">
        <v>12185.004999999999</v>
      </c>
      <c r="J8" s="13">
        <f>Orders[[#This Row],[Quantity]]*Orders[[#This Row],[Selling Price]]</f>
        <v>129017.7</v>
      </c>
      <c r="K8" s="13">
        <f>Orders[[#This Row],[Quantity]]*Orders[[#This Row],[Cost Price]]</f>
        <v>109665.045</v>
      </c>
      <c r="L8" s="13">
        <f>Orders[[#This Row],[Revenue]]-Orders[[#This Row],[Expenses]]</f>
        <v>19352.654999999999</v>
      </c>
      <c r="M8" t="s">
        <v>2198</v>
      </c>
      <c r="N8" t="str">
        <f>_xlfn.XLOOKUP(Orders[[#This Row],[CustomerID]],Customers[CustomerID],Customers[CustomerName])</f>
        <v>Bi si Bello</v>
      </c>
      <c r="O8" t="str">
        <f>_xlfn.XLOOKUP(Orders[[#This Row],[CustomerID]],Customers[CustomerID],Customers[City])</f>
        <v>Washington</v>
      </c>
      <c r="P8" t="str">
        <f>_xlfn.XLOOKUP(Orders[[#This Row],[CustomerID]],Customers[CustomerID],Customers[Gender])</f>
        <v>Female</v>
      </c>
      <c r="Q8">
        <f>_xlfn.XLOOKUP(Orders[[#This Row],[CustomerID]],Customers[CustomerID],Customers[CustomerAge])</f>
        <v>38</v>
      </c>
      <c r="R8" t="str">
        <f>IF(Orders[[#This Row],[CustomerAge]]&gt;=35, "Older", "Young")</f>
        <v>Older</v>
      </c>
      <c r="S8" t="str">
        <f>_xlfn.XLOOKUP(Orders[[#This Row],[ProductID]],Products[ProductID],Products[ProductName])</f>
        <v>Gold Rings</v>
      </c>
      <c r="T8" t="str">
        <f>_xlfn.XLOOKUP(Orders[[#This Row],[ProductID]],Products[ProductID],Products[Category])</f>
        <v>Accessories</v>
      </c>
    </row>
    <row r="9" spans="1:20" x14ac:dyDescent="0.25">
      <c r="A9" s="4" t="s">
        <v>26</v>
      </c>
      <c r="B9" s="5">
        <v>45983</v>
      </c>
      <c r="C9" s="15">
        <f>WEEKNUM(Orders[[#This Row],[OrderDate]])</f>
        <v>47</v>
      </c>
      <c r="D9" s="15" t="str">
        <f>TEXT(Orders[[#This Row],[OrderDate]],"mmmm")</f>
        <v>November</v>
      </c>
      <c r="E9" s="4" t="s">
        <v>27</v>
      </c>
      <c r="F9" s="4" t="s">
        <v>28</v>
      </c>
      <c r="G9" s="4">
        <v>10</v>
      </c>
      <c r="H9" s="12">
        <v>11635.1</v>
      </c>
      <c r="I9" s="13">
        <v>9889.8350000000009</v>
      </c>
      <c r="J9" s="13">
        <f>Orders[[#This Row],[Quantity]]*Orders[[#This Row],[Selling Price]]</f>
        <v>116351</v>
      </c>
      <c r="K9" s="13">
        <f>Orders[[#This Row],[Quantity]]*Orders[[#This Row],[Cost Price]]</f>
        <v>98898.35</v>
      </c>
      <c r="L9" s="13">
        <f>Orders[[#This Row],[Revenue]]-Orders[[#This Row],[Expenses]]</f>
        <v>17452.649999999994</v>
      </c>
      <c r="M9" t="s">
        <v>2199</v>
      </c>
      <c r="N9" t="str">
        <f>_xlfn.XLOOKUP(Orders[[#This Row],[CustomerID]],Customers[CustomerID],Customers[CustomerName])</f>
        <v>Okon Ojo</v>
      </c>
      <c r="O9" t="str">
        <f>_xlfn.XLOOKUP(Orders[[#This Row],[CustomerID]],Customers[CustomerID],Customers[City])</f>
        <v>Illinois</v>
      </c>
      <c r="P9" t="str">
        <f>_xlfn.XLOOKUP(Orders[[#This Row],[CustomerID]],Customers[CustomerID],Customers[Gender])</f>
        <v>Male</v>
      </c>
      <c r="Q9">
        <f>_xlfn.XLOOKUP(Orders[[#This Row],[CustomerID]],Customers[CustomerID],Customers[CustomerAge])</f>
        <v>32</v>
      </c>
      <c r="R9" t="str">
        <f>IF(Orders[[#This Row],[CustomerAge]]&gt;=35, "Older", "Young")</f>
        <v>Young</v>
      </c>
      <c r="S9" t="str">
        <f>_xlfn.XLOOKUP(Orders[[#This Row],[ProductID]],Products[ProductID],Products[ProductName])</f>
        <v>Sneakers</v>
      </c>
      <c r="T9" t="str">
        <f>_xlfn.XLOOKUP(Orders[[#This Row],[ProductID]],Products[ProductID],Products[Category])</f>
        <v>Sports</v>
      </c>
    </row>
    <row r="10" spans="1:20" x14ac:dyDescent="0.25">
      <c r="A10" s="4" t="s">
        <v>29</v>
      </c>
      <c r="B10" s="5">
        <v>46004</v>
      </c>
      <c r="C10" s="15">
        <f>WEEKNUM(Orders[[#This Row],[OrderDate]])</f>
        <v>50</v>
      </c>
      <c r="D10" s="15" t="str">
        <f>TEXT(Orders[[#This Row],[OrderDate]],"mmmm")</f>
        <v>December</v>
      </c>
      <c r="E10" s="4" t="s">
        <v>30</v>
      </c>
      <c r="F10" s="4" t="s">
        <v>31</v>
      </c>
      <c r="G10" s="4">
        <v>5</v>
      </c>
      <c r="H10" s="12">
        <v>11037.4</v>
      </c>
      <c r="I10" s="13">
        <v>9381.7899999999991</v>
      </c>
      <c r="J10" s="13">
        <f>Orders[[#This Row],[Quantity]]*Orders[[#This Row],[Selling Price]]</f>
        <v>55187</v>
      </c>
      <c r="K10" s="13">
        <f>Orders[[#This Row],[Quantity]]*Orders[[#This Row],[Cost Price]]</f>
        <v>46908.95</v>
      </c>
      <c r="L10" s="13">
        <f>Orders[[#This Row],[Revenue]]-Orders[[#This Row],[Expenses]]</f>
        <v>8278.0500000000029</v>
      </c>
      <c r="M10" t="s">
        <v>2200</v>
      </c>
      <c r="N10" t="str">
        <f>_xlfn.XLOOKUP(Orders[[#This Row],[CustomerID]],Customers[CustomerID],Customers[CustomerName])</f>
        <v>Amina Danladi</v>
      </c>
      <c r="O10" t="str">
        <f>_xlfn.XLOOKUP(Orders[[#This Row],[CustomerID]],Customers[CustomerID],Customers[City])</f>
        <v>Florida</v>
      </c>
      <c r="P10" t="str">
        <f>_xlfn.XLOOKUP(Orders[[#This Row],[CustomerID]],Customers[CustomerID],Customers[Gender])</f>
        <v>Female</v>
      </c>
      <c r="Q10">
        <f>_xlfn.XLOOKUP(Orders[[#This Row],[CustomerID]],Customers[CustomerID],Customers[CustomerAge])</f>
        <v>42</v>
      </c>
      <c r="R10" t="str">
        <f>IF(Orders[[#This Row],[CustomerAge]]&gt;=35, "Older", "Young")</f>
        <v>Older</v>
      </c>
      <c r="S10" t="str">
        <f>_xlfn.XLOOKUP(Orders[[#This Row],[ProductID]],Products[ProductID],Products[ProductName])</f>
        <v>Kids Games</v>
      </c>
      <c r="T10" t="str">
        <f>_xlfn.XLOOKUP(Orders[[#This Row],[ProductID]],Products[ProductID],Products[Category])</f>
        <v>Games</v>
      </c>
    </row>
    <row r="11" spans="1:20" x14ac:dyDescent="0.25">
      <c r="A11" s="4" t="s">
        <v>32</v>
      </c>
      <c r="B11" s="5">
        <v>45939</v>
      </c>
      <c r="C11" s="15">
        <f>WEEKNUM(Orders[[#This Row],[OrderDate]])</f>
        <v>41</v>
      </c>
      <c r="D11" s="15" t="str">
        <f>TEXT(Orders[[#This Row],[OrderDate]],"mmmm")</f>
        <v>October</v>
      </c>
      <c r="E11" s="4" t="s">
        <v>33</v>
      </c>
      <c r="F11" s="4" t="s">
        <v>34</v>
      </c>
      <c r="G11" s="4">
        <v>6</v>
      </c>
      <c r="H11" s="12">
        <v>13448.4</v>
      </c>
      <c r="I11" s="13">
        <v>11431.14</v>
      </c>
      <c r="J11" s="13">
        <f>Orders[[#This Row],[Quantity]]*Orders[[#This Row],[Selling Price]]</f>
        <v>80690.399999999994</v>
      </c>
      <c r="K11" s="13">
        <f>Orders[[#This Row],[Quantity]]*Orders[[#This Row],[Cost Price]]</f>
        <v>68586.84</v>
      </c>
      <c r="L11" s="13">
        <f>Orders[[#This Row],[Revenue]]-Orders[[#This Row],[Expenses]]</f>
        <v>12103.559999999998</v>
      </c>
      <c r="M11" t="s">
        <v>2201</v>
      </c>
      <c r="N11" t="str">
        <f>_xlfn.XLOOKUP(Orders[[#This Row],[CustomerID]],Customers[CustomerID],Customers[CustomerName])</f>
        <v>Okon Balogun</v>
      </c>
      <c r="O11" t="str">
        <f>_xlfn.XLOOKUP(Orders[[#This Row],[CustomerID]],Customers[CustomerID],Customers[City])</f>
        <v>Texas</v>
      </c>
      <c r="P11" t="str">
        <f>_xlfn.XLOOKUP(Orders[[#This Row],[CustomerID]],Customers[CustomerID],Customers[Gender])</f>
        <v>Male</v>
      </c>
      <c r="Q11">
        <f>_xlfn.XLOOKUP(Orders[[#This Row],[CustomerID]],Customers[CustomerID],Customers[CustomerAge])</f>
        <v>28</v>
      </c>
      <c r="R11" t="str">
        <f>IF(Orders[[#This Row],[CustomerAge]]&gt;=35, "Older", "Young")</f>
        <v>Young</v>
      </c>
      <c r="S11" t="str">
        <f>_xlfn.XLOOKUP(Orders[[#This Row],[ProductID]],Products[ProductID],Products[ProductName])</f>
        <v>Gold Bracelets</v>
      </c>
      <c r="T11" t="str">
        <f>_xlfn.XLOOKUP(Orders[[#This Row],[ProductID]],Products[ProductID],Products[Category])</f>
        <v>Accessories</v>
      </c>
    </row>
    <row r="12" spans="1:20" x14ac:dyDescent="0.25">
      <c r="A12" s="4" t="s">
        <v>35</v>
      </c>
      <c r="B12" s="5">
        <v>46018</v>
      </c>
      <c r="C12" s="15">
        <f>WEEKNUM(Orders[[#This Row],[OrderDate]])</f>
        <v>52</v>
      </c>
      <c r="D12" s="15" t="str">
        <f>TEXT(Orders[[#This Row],[OrderDate]],"mmmm")</f>
        <v>December</v>
      </c>
      <c r="E12" s="4" t="s">
        <v>36</v>
      </c>
      <c r="F12" s="4" t="s">
        <v>37</v>
      </c>
      <c r="G12" s="4">
        <v>1</v>
      </c>
      <c r="H12" s="12">
        <v>1392.7</v>
      </c>
      <c r="I12" s="13">
        <v>1183.7950000000001</v>
      </c>
      <c r="J12" s="13">
        <f>Orders[[#This Row],[Quantity]]*Orders[[#This Row],[Selling Price]]</f>
        <v>1392.7</v>
      </c>
      <c r="K12" s="13">
        <f>Orders[[#This Row],[Quantity]]*Orders[[#This Row],[Cost Price]]</f>
        <v>1183.7950000000001</v>
      </c>
      <c r="L12" s="13">
        <f>Orders[[#This Row],[Revenue]]-Orders[[#This Row],[Expenses]]</f>
        <v>208.90499999999997</v>
      </c>
      <c r="M12" t="s">
        <v>2202</v>
      </c>
      <c r="N12" t="str">
        <f>_xlfn.XLOOKUP(Orders[[#This Row],[CustomerID]],Customers[CustomerID],Customers[CustomerName])</f>
        <v>Jide Eze</v>
      </c>
      <c r="O12" t="str">
        <f>_xlfn.XLOOKUP(Orders[[#This Row],[CustomerID]],Customers[CustomerID],Customers[City])</f>
        <v>California</v>
      </c>
      <c r="P12" t="str">
        <f>_xlfn.XLOOKUP(Orders[[#This Row],[CustomerID]],Customers[CustomerID],Customers[Gender])</f>
        <v>Male</v>
      </c>
      <c r="Q12">
        <f>_xlfn.XLOOKUP(Orders[[#This Row],[CustomerID]],Customers[CustomerID],Customers[CustomerAge])</f>
        <v>21</v>
      </c>
      <c r="R12" t="str">
        <f>IF(Orders[[#This Row],[CustomerAge]]&gt;=35, "Older", "Young")</f>
        <v>Young</v>
      </c>
      <c r="S12" t="str">
        <f>_xlfn.XLOOKUP(Orders[[#This Row],[ProductID]],Products[ProductID],Products[ProductName])</f>
        <v>Iron</v>
      </c>
      <c r="T12" t="str">
        <f>_xlfn.XLOOKUP(Orders[[#This Row],[ProductID]],Products[ProductID],Products[Category])</f>
        <v>Electronics</v>
      </c>
    </row>
    <row r="13" spans="1:20" x14ac:dyDescent="0.25">
      <c r="A13" s="4" t="s">
        <v>38</v>
      </c>
      <c r="B13" s="5">
        <v>46007</v>
      </c>
      <c r="C13" s="15">
        <f>WEEKNUM(Orders[[#This Row],[OrderDate]])</f>
        <v>51</v>
      </c>
      <c r="D13" s="15" t="str">
        <f>TEXT(Orders[[#This Row],[OrderDate]],"mmmm")</f>
        <v>December</v>
      </c>
      <c r="E13" s="4" t="s">
        <v>39</v>
      </c>
      <c r="F13" s="4" t="s">
        <v>9</v>
      </c>
      <c r="G13" s="4">
        <v>1</v>
      </c>
      <c r="H13" s="12">
        <v>10759.300000000001</v>
      </c>
      <c r="I13" s="13">
        <v>9145.4050000000007</v>
      </c>
      <c r="J13" s="13">
        <f>Orders[[#This Row],[Quantity]]*Orders[[#This Row],[Selling Price]]</f>
        <v>10759.300000000001</v>
      </c>
      <c r="K13" s="13">
        <f>Orders[[#This Row],[Quantity]]*Orders[[#This Row],[Cost Price]]</f>
        <v>9145.4050000000007</v>
      </c>
      <c r="L13" s="13">
        <f>Orders[[#This Row],[Revenue]]-Orders[[#This Row],[Expenses]]</f>
        <v>1613.8950000000004</v>
      </c>
      <c r="M13" t="s">
        <v>2203</v>
      </c>
      <c r="N13" t="str">
        <f>_xlfn.XLOOKUP(Orders[[#This Row],[CustomerID]],Customers[CustomerID],Customers[CustomerName])</f>
        <v>Efe Adeyemi</v>
      </c>
      <c r="O13" t="str">
        <f>_xlfn.XLOOKUP(Orders[[#This Row],[CustomerID]],Customers[CustomerID],Customers[City])</f>
        <v>Florida</v>
      </c>
      <c r="P13" t="str">
        <f>_xlfn.XLOOKUP(Orders[[#This Row],[CustomerID]],Customers[CustomerID],Customers[Gender])</f>
        <v>Female</v>
      </c>
      <c r="Q13">
        <f>_xlfn.XLOOKUP(Orders[[#This Row],[CustomerID]],Customers[CustomerID],Customers[CustomerAge])</f>
        <v>20</v>
      </c>
      <c r="R13" t="str">
        <f>IF(Orders[[#This Row],[CustomerAge]]&gt;=35, "Older", "Young")</f>
        <v>Young</v>
      </c>
      <c r="S13" t="str">
        <f>_xlfn.XLOOKUP(Orders[[#This Row],[ProductID]],Products[ProductID],Products[ProductName])</f>
        <v>Beaded Earrings And Necklaces</v>
      </c>
      <c r="T13" t="str">
        <f>_xlfn.XLOOKUP(Orders[[#This Row],[ProductID]],Products[ProductID],Products[Category])</f>
        <v>Accessories</v>
      </c>
    </row>
    <row r="14" spans="1:20" x14ac:dyDescent="0.25">
      <c r="A14" s="4" t="s">
        <v>40</v>
      </c>
      <c r="B14" s="5">
        <v>45979</v>
      </c>
      <c r="C14" s="15">
        <f>WEEKNUM(Orders[[#This Row],[OrderDate]])</f>
        <v>47</v>
      </c>
      <c r="D14" s="15" t="str">
        <f>TEXT(Orders[[#This Row],[OrderDate]],"mmmm")</f>
        <v>November</v>
      </c>
      <c r="E14" s="4" t="s">
        <v>41</v>
      </c>
      <c r="F14" s="4" t="s">
        <v>25</v>
      </c>
      <c r="G14" s="4">
        <v>8</v>
      </c>
      <c r="H14" s="12">
        <v>5832.3</v>
      </c>
      <c r="I14" s="13">
        <v>4957.4549999999999</v>
      </c>
      <c r="J14" s="13">
        <f>Orders[[#This Row],[Quantity]]*Orders[[#This Row],[Selling Price]]</f>
        <v>46658.400000000001</v>
      </c>
      <c r="K14" s="13">
        <f>Orders[[#This Row],[Quantity]]*Orders[[#This Row],[Cost Price]]</f>
        <v>39659.64</v>
      </c>
      <c r="L14" s="13">
        <f>Orders[[#This Row],[Revenue]]-Orders[[#This Row],[Expenses]]</f>
        <v>6998.760000000002</v>
      </c>
      <c r="M14" t="s">
        <v>2204</v>
      </c>
      <c r="N14" t="str">
        <f>_xlfn.XLOOKUP(Orders[[#This Row],[CustomerID]],Customers[CustomerID],Customers[CustomerName])</f>
        <v>Mustafa Balogun</v>
      </c>
      <c r="O14" t="str">
        <f>_xlfn.XLOOKUP(Orders[[#This Row],[CustomerID]],Customers[CustomerID],Customers[City])</f>
        <v>Texas</v>
      </c>
      <c r="P14" t="str">
        <f>_xlfn.XLOOKUP(Orders[[#This Row],[CustomerID]],Customers[CustomerID],Customers[Gender])</f>
        <v>Male</v>
      </c>
      <c r="Q14">
        <f>_xlfn.XLOOKUP(Orders[[#This Row],[CustomerID]],Customers[CustomerID],Customers[CustomerAge])</f>
        <v>40</v>
      </c>
      <c r="R14" t="str">
        <f>IF(Orders[[#This Row],[CustomerAge]]&gt;=35, "Older", "Young")</f>
        <v>Older</v>
      </c>
      <c r="S14" t="str">
        <f>_xlfn.XLOOKUP(Orders[[#This Row],[ProductID]],Products[ProductID],Products[ProductName])</f>
        <v>Gold Rings</v>
      </c>
      <c r="T14" t="str">
        <f>_xlfn.XLOOKUP(Orders[[#This Row],[ProductID]],Products[ProductID],Products[Category])</f>
        <v>Accessories</v>
      </c>
    </row>
    <row r="15" spans="1:20" x14ac:dyDescent="0.25">
      <c r="A15" s="4" t="s">
        <v>42</v>
      </c>
      <c r="B15" s="5">
        <v>46008</v>
      </c>
      <c r="C15" s="15">
        <f>WEEKNUM(Orders[[#This Row],[OrderDate]])</f>
        <v>51</v>
      </c>
      <c r="D15" s="15" t="str">
        <f>TEXT(Orders[[#This Row],[OrderDate]],"mmmm")</f>
        <v>December</v>
      </c>
      <c r="E15" s="4" t="s">
        <v>43</v>
      </c>
      <c r="F15" s="4" t="s">
        <v>34</v>
      </c>
      <c r="G15" s="4">
        <v>5</v>
      </c>
      <c r="H15" s="12">
        <v>19005.5</v>
      </c>
      <c r="I15" s="13">
        <v>16154.674999999999</v>
      </c>
      <c r="J15" s="13">
        <f>Orders[[#This Row],[Quantity]]*Orders[[#This Row],[Selling Price]]</f>
        <v>95027.5</v>
      </c>
      <c r="K15" s="13">
        <f>Orders[[#This Row],[Quantity]]*Orders[[#This Row],[Cost Price]]</f>
        <v>80773.375</v>
      </c>
      <c r="L15" s="13">
        <f>Orders[[#This Row],[Revenue]]-Orders[[#This Row],[Expenses]]</f>
        <v>14254.125</v>
      </c>
      <c r="M15" t="s">
        <v>2205</v>
      </c>
      <c r="N15" t="str">
        <f>_xlfn.XLOOKUP(Orders[[#This Row],[CustomerID]],Customers[CustomerID],Customers[CustomerName])</f>
        <v>Mustafa Danladi</v>
      </c>
      <c r="O15" t="str">
        <f>_xlfn.XLOOKUP(Orders[[#This Row],[CustomerID]],Customers[CustomerID],Customers[City])</f>
        <v>Georgia</v>
      </c>
      <c r="P15" t="str">
        <f>_xlfn.XLOOKUP(Orders[[#This Row],[CustomerID]],Customers[CustomerID],Customers[Gender])</f>
        <v>Male</v>
      </c>
      <c r="Q15">
        <f>_xlfn.XLOOKUP(Orders[[#This Row],[CustomerID]],Customers[CustomerID],Customers[CustomerAge])</f>
        <v>49</v>
      </c>
      <c r="R15" t="str">
        <f>IF(Orders[[#This Row],[CustomerAge]]&gt;=35, "Older", "Young")</f>
        <v>Older</v>
      </c>
      <c r="S15" t="str">
        <f>_xlfn.XLOOKUP(Orders[[#This Row],[ProductID]],Products[ProductID],Products[ProductName])</f>
        <v>Gold Bracelets</v>
      </c>
      <c r="T15" t="str">
        <f>_xlfn.XLOOKUP(Orders[[#This Row],[ProductID]],Products[ProductID],Products[Category])</f>
        <v>Accessories</v>
      </c>
    </row>
    <row r="16" spans="1:20" x14ac:dyDescent="0.25">
      <c r="A16" s="4" t="s">
        <v>44</v>
      </c>
      <c r="B16" s="5">
        <v>45954</v>
      </c>
      <c r="C16" s="15">
        <f>WEEKNUM(Orders[[#This Row],[OrderDate]])</f>
        <v>43</v>
      </c>
      <c r="D16" s="15" t="str">
        <f>TEXT(Orders[[#This Row],[OrderDate]],"mmmm")</f>
        <v>October</v>
      </c>
      <c r="E16" s="4" t="s">
        <v>45</v>
      </c>
      <c r="F16" s="4" t="s">
        <v>46</v>
      </c>
      <c r="G16" s="4">
        <v>8</v>
      </c>
      <c r="H16" s="12">
        <v>5186.5999999999995</v>
      </c>
      <c r="I16" s="13">
        <v>4408.6099999999997</v>
      </c>
      <c r="J16" s="13">
        <f>Orders[[#This Row],[Quantity]]*Orders[[#This Row],[Selling Price]]</f>
        <v>41492.799999999996</v>
      </c>
      <c r="K16" s="13">
        <f>Orders[[#This Row],[Quantity]]*Orders[[#This Row],[Cost Price]]</f>
        <v>35268.879999999997</v>
      </c>
      <c r="L16" s="13">
        <f>Orders[[#This Row],[Revenue]]-Orders[[#This Row],[Expenses]]</f>
        <v>6223.9199999999983</v>
      </c>
      <c r="M16" t="s">
        <v>2192</v>
      </c>
      <c r="N16" t="str">
        <f>_xlfn.XLOOKUP(Orders[[#This Row],[CustomerID]],Customers[CustomerID],Customers[CustomerName])</f>
        <v>Abiola Abubakar</v>
      </c>
      <c r="O16" t="str">
        <f>_xlfn.XLOOKUP(Orders[[#This Row],[CustomerID]],Customers[CustomerID],Customers[City])</f>
        <v>Florida</v>
      </c>
      <c r="P16" t="str">
        <f>_xlfn.XLOOKUP(Orders[[#This Row],[CustomerID]],Customers[CustomerID],Customers[Gender])</f>
        <v>Male</v>
      </c>
      <c r="Q16">
        <f>_xlfn.XLOOKUP(Orders[[#This Row],[CustomerID]],Customers[CustomerID],Customers[CustomerAge])</f>
        <v>26</v>
      </c>
      <c r="R16" t="str">
        <f>IF(Orders[[#This Row],[CustomerAge]]&gt;=35, "Older", "Young")</f>
        <v>Young</v>
      </c>
      <c r="S16" t="str">
        <f>_xlfn.XLOOKUP(Orders[[#This Row],[ProductID]],Products[ProductID],Products[ProductName])</f>
        <v>Turtle Neck</v>
      </c>
      <c r="T16" t="str">
        <f>_xlfn.XLOOKUP(Orders[[#This Row],[ProductID]],Products[ProductID],Products[Category])</f>
        <v>Clothing</v>
      </c>
    </row>
    <row r="17" spans="1:20" x14ac:dyDescent="0.25">
      <c r="A17" s="4" t="s">
        <v>47</v>
      </c>
      <c r="B17" s="5">
        <v>46006</v>
      </c>
      <c r="C17" s="15">
        <f>WEEKNUM(Orders[[#This Row],[OrderDate]])</f>
        <v>51</v>
      </c>
      <c r="D17" s="15" t="str">
        <f>TEXT(Orders[[#This Row],[OrderDate]],"mmmm")</f>
        <v>December</v>
      </c>
      <c r="E17" s="4" t="s">
        <v>48</v>
      </c>
      <c r="F17" s="4" t="s">
        <v>31</v>
      </c>
      <c r="G17" s="4">
        <v>2</v>
      </c>
      <c r="H17" s="12">
        <v>14725.4</v>
      </c>
      <c r="I17" s="13">
        <v>12516.59</v>
      </c>
      <c r="J17" s="13">
        <f>Orders[[#This Row],[Quantity]]*Orders[[#This Row],[Selling Price]]</f>
        <v>29450.799999999999</v>
      </c>
      <c r="K17" s="13">
        <f>Orders[[#This Row],[Quantity]]*Orders[[#This Row],[Cost Price]]</f>
        <v>25033.18</v>
      </c>
      <c r="L17" s="13">
        <f>Orders[[#This Row],[Revenue]]-Orders[[#This Row],[Expenses]]</f>
        <v>4417.619999999999</v>
      </c>
      <c r="M17" t="s">
        <v>2199</v>
      </c>
      <c r="N17" t="str">
        <f>_xlfn.XLOOKUP(Orders[[#This Row],[CustomerID]],Customers[CustomerID],Customers[CustomerName])</f>
        <v>Mustafa Obi</v>
      </c>
      <c r="O17" t="str">
        <f>_xlfn.XLOOKUP(Orders[[#This Row],[CustomerID]],Customers[CustomerID],Customers[City])</f>
        <v>California</v>
      </c>
      <c r="P17" t="str">
        <f>_xlfn.XLOOKUP(Orders[[#This Row],[CustomerID]],Customers[CustomerID],Customers[Gender])</f>
        <v>Male</v>
      </c>
      <c r="Q17">
        <f>_xlfn.XLOOKUP(Orders[[#This Row],[CustomerID]],Customers[CustomerID],Customers[CustomerAge])</f>
        <v>23</v>
      </c>
      <c r="R17" t="str">
        <f>IF(Orders[[#This Row],[CustomerAge]]&gt;=35, "Older", "Young")</f>
        <v>Young</v>
      </c>
      <c r="S17" t="str">
        <f>_xlfn.XLOOKUP(Orders[[#This Row],[ProductID]],Products[ProductID],Products[ProductName])</f>
        <v>Kids Games</v>
      </c>
      <c r="T17" t="str">
        <f>_xlfn.XLOOKUP(Orders[[#This Row],[ProductID]],Products[ProductID],Products[Category])</f>
        <v>Games</v>
      </c>
    </row>
    <row r="18" spans="1:20" x14ac:dyDescent="0.25">
      <c r="A18" s="4" t="s">
        <v>49</v>
      </c>
      <c r="B18" s="5">
        <v>45965</v>
      </c>
      <c r="C18" s="15">
        <f>WEEKNUM(Orders[[#This Row],[OrderDate]])</f>
        <v>45</v>
      </c>
      <c r="D18" s="15" t="str">
        <f>TEXT(Orders[[#This Row],[OrderDate]],"mmmm")</f>
        <v>November</v>
      </c>
      <c r="E18" s="4" t="s">
        <v>50</v>
      </c>
      <c r="F18" s="4" t="s">
        <v>9</v>
      </c>
      <c r="G18" s="4">
        <v>7</v>
      </c>
      <c r="H18" s="12">
        <v>18915.400000000001</v>
      </c>
      <c r="I18" s="13">
        <v>16078.090000000002</v>
      </c>
      <c r="J18" s="13">
        <f>Orders[[#This Row],[Quantity]]*Orders[[#This Row],[Selling Price]]</f>
        <v>132407.80000000002</v>
      </c>
      <c r="K18" s="13">
        <f>Orders[[#This Row],[Quantity]]*Orders[[#This Row],[Cost Price]]</f>
        <v>112546.63000000002</v>
      </c>
      <c r="L18" s="13">
        <f>Orders[[#This Row],[Revenue]]-Orders[[#This Row],[Expenses]]</f>
        <v>19861.169999999998</v>
      </c>
      <c r="M18" t="s">
        <v>2206</v>
      </c>
      <c r="N18" t="str">
        <f>_xlfn.XLOOKUP(Orders[[#This Row],[CustomerID]],Customers[CustomerID],Customers[CustomerName])</f>
        <v>Funke Danladi</v>
      </c>
      <c r="O18" t="str">
        <f>_xlfn.XLOOKUP(Orders[[#This Row],[CustomerID]],Customers[CustomerID],Customers[City])</f>
        <v>California</v>
      </c>
      <c r="P18" t="str">
        <f>_xlfn.XLOOKUP(Orders[[#This Row],[CustomerID]],Customers[CustomerID],Customers[Gender])</f>
        <v>Female</v>
      </c>
      <c r="Q18">
        <f>_xlfn.XLOOKUP(Orders[[#This Row],[CustomerID]],Customers[CustomerID],Customers[CustomerAge])</f>
        <v>31</v>
      </c>
      <c r="R18" t="str">
        <f>IF(Orders[[#This Row],[CustomerAge]]&gt;=35, "Older", "Young")</f>
        <v>Young</v>
      </c>
      <c r="S18" t="str">
        <f>_xlfn.XLOOKUP(Orders[[#This Row],[ProductID]],Products[ProductID],Products[ProductName])</f>
        <v>Beaded Earrings And Necklaces</v>
      </c>
      <c r="T18" t="str">
        <f>_xlfn.XLOOKUP(Orders[[#This Row],[ProductID]],Products[ProductID],Products[Category])</f>
        <v>Accessories</v>
      </c>
    </row>
    <row r="19" spans="1:20" x14ac:dyDescent="0.25">
      <c r="A19" s="4" t="s">
        <v>51</v>
      </c>
      <c r="B19" s="5">
        <v>45988</v>
      </c>
      <c r="C19" s="15">
        <f>WEEKNUM(Orders[[#This Row],[OrderDate]])</f>
        <v>48</v>
      </c>
      <c r="D19" s="15" t="str">
        <f>TEXT(Orders[[#This Row],[OrderDate]],"mmmm")</f>
        <v>November</v>
      </c>
      <c r="E19" s="4" t="s">
        <v>52</v>
      </c>
      <c r="F19" s="4" t="s">
        <v>53</v>
      </c>
      <c r="G19" s="4">
        <v>9</v>
      </c>
      <c r="H19" s="12">
        <v>12059.8</v>
      </c>
      <c r="I19" s="13">
        <v>10250.83</v>
      </c>
      <c r="J19" s="13">
        <f>Orders[[#This Row],[Quantity]]*Orders[[#This Row],[Selling Price]]</f>
        <v>108538.2</v>
      </c>
      <c r="K19" s="13">
        <f>Orders[[#This Row],[Quantity]]*Orders[[#This Row],[Cost Price]]</f>
        <v>92257.47</v>
      </c>
      <c r="L19" s="13">
        <f>Orders[[#This Row],[Revenue]]-Orders[[#This Row],[Expenses]]</f>
        <v>16280.729999999996</v>
      </c>
      <c r="M19" t="s">
        <v>2203</v>
      </c>
      <c r="N19" t="str">
        <f>_xlfn.XLOOKUP(Orders[[#This Row],[CustomerID]],Customers[CustomerID],Customers[CustomerName])</f>
        <v>Folasade Ojo</v>
      </c>
      <c r="O19" t="str">
        <f>_xlfn.XLOOKUP(Orders[[#This Row],[CustomerID]],Customers[CustomerID],Customers[City])</f>
        <v>Texas</v>
      </c>
      <c r="P19" t="str">
        <f>_xlfn.XLOOKUP(Orders[[#This Row],[CustomerID]],Customers[CustomerID],Customers[Gender])</f>
        <v>Female</v>
      </c>
      <c r="Q19">
        <f>_xlfn.XLOOKUP(Orders[[#This Row],[CustomerID]],Customers[CustomerID],Customers[CustomerAge])</f>
        <v>29</v>
      </c>
      <c r="R19" t="str">
        <f>IF(Orders[[#This Row],[CustomerAge]]&gt;=35, "Older", "Young")</f>
        <v>Young</v>
      </c>
      <c r="S19" t="str">
        <f>_xlfn.XLOOKUP(Orders[[#This Row],[ProductID]],Products[ProductID],Products[ProductName])</f>
        <v>Silver Bangles</v>
      </c>
      <c r="T19" t="str">
        <f>_xlfn.XLOOKUP(Orders[[#This Row],[ProductID]],Products[ProductID],Products[Category])</f>
        <v>Accessories</v>
      </c>
    </row>
    <row r="20" spans="1:20" x14ac:dyDescent="0.25">
      <c r="A20" s="4" t="s">
        <v>54</v>
      </c>
      <c r="B20" s="5">
        <v>46012</v>
      </c>
      <c r="C20" s="15">
        <f>WEEKNUM(Orders[[#This Row],[OrderDate]])</f>
        <v>52</v>
      </c>
      <c r="D20" s="15" t="str">
        <f>TEXT(Orders[[#This Row],[OrderDate]],"mmmm")</f>
        <v>December</v>
      </c>
      <c r="E20" s="4" t="s">
        <v>55</v>
      </c>
      <c r="F20" s="4" t="s">
        <v>34</v>
      </c>
      <c r="G20" s="4">
        <v>10</v>
      </c>
      <c r="H20" s="12">
        <v>15705.699999999999</v>
      </c>
      <c r="I20" s="13">
        <v>13349.844999999999</v>
      </c>
      <c r="J20" s="13">
        <f>Orders[[#This Row],[Quantity]]*Orders[[#This Row],[Selling Price]]</f>
        <v>157057</v>
      </c>
      <c r="K20" s="13">
        <f>Orders[[#This Row],[Quantity]]*Orders[[#This Row],[Cost Price]]</f>
        <v>133498.44999999998</v>
      </c>
      <c r="L20" s="13">
        <f>Orders[[#This Row],[Revenue]]-Orders[[#This Row],[Expenses]]</f>
        <v>23558.550000000017</v>
      </c>
      <c r="M20" t="s">
        <v>2207</v>
      </c>
      <c r="N20" t="str">
        <f>_xlfn.XLOOKUP(Orders[[#This Row],[CustomerID]],Customers[CustomerID],Customers[CustomerName])</f>
        <v>Adanma Ojo</v>
      </c>
      <c r="O20" t="str">
        <f>_xlfn.XLOOKUP(Orders[[#This Row],[CustomerID]],Customers[CustomerID],Customers[City])</f>
        <v>California</v>
      </c>
      <c r="P20" t="str">
        <f>_xlfn.XLOOKUP(Orders[[#This Row],[CustomerID]],Customers[CustomerID],Customers[Gender])</f>
        <v>Female</v>
      </c>
      <c r="Q20">
        <f>_xlfn.XLOOKUP(Orders[[#This Row],[CustomerID]],Customers[CustomerID],Customers[CustomerAge])</f>
        <v>48</v>
      </c>
      <c r="R20" t="str">
        <f>IF(Orders[[#This Row],[CustomerAge]]&gt;=35, "Older", "Young")</f>
        <v>Older</v>
      </c>
      <c r="S20" t="str">
        <f>_xlfn.XLOOKUP(Orders[[#This Row],[ProductID]],Products[ProductID],Products[ProductName])</f>
        <v>Gold Bracelets</v>
      </c>
      <c r="T20" t="str">
        <f>_xlfn.XLOOKUP(Orders[[#This Row],[ProductID]],Products[ProductID],Products[Category])</f>
        <v>Accessories</v>
      </c>
    </row>
    <row r="21" spans="1:20" x14ac:dyDescent="0.25">
      <c r="A21" s="4" t="s">
        <v>56</v>
      </c>
      <c r="B21" s="5">
        <v>46011</v>
      </c>
      <c r="C21" s="15">
        <f>WEEKNUM(Orders[[#This Row],[OrderDate]])</f>
        <v>51</v>
      </c>
      <c r="D21" s="15" t="str">
        <f>TEXT(Orders[[#This Row],[OrderDate]],"mmmm")</f>
        <v>December</v>
      </c>
      <c r="E21" s="4" t="s">
        <v>33</v>
      </c>
      <c r="F21" s="4" t="s">
        <v>57</v>
      </c>
      <c r="G21" s="4">
        <v>1</v>
      </c>
      <c r="H21" s="12">
        <v>12046.300000000001</v>
      </c>
      <c r="I21" s="13">
        <v>10239.355000000001</v>
      </c>
      <c r="J21" s="13">
        <f>Orders[[#This Row],[Quantity]]*Orders[[#This Row],[Selling Price]]</f>
        <v>12046.300000000001</v>
      </c>
      <c r="K21" s="13">
        <f>Orders[[#This Row],[Quantity]]*Orders[[#This Row],[Cost Price]]</f>
        <v>10239.355000000001</v>
      </c>
      <c r="L21" s="13">
        <f>Orders[[#This Row],[Revenue]]-Orders[[#This Row],[Expenses]]</f>
        <v>1806.9449999999997</v>
      </c>
      <c r="M21" t="s">
        <v>2208</v>
      </c>
      <c r="N21" t="str">
        <f>_xlfn.XLOOKUP(Orders[[#This Row],[CustomerID]],Customers[CustomerID],Customers[CustomerName])</f>
        <v>Okon Balogun</v>
      </c>
      <c r="O21" t="str">
        <f>_xlfn.XLOOKUP(Orders[[#This Row],[CustomerID]],Customers[CustomerID],Customers[City])</f>
        <v>Texas</v>
      </c>
      <c r="P21" t="str">
        <f>_xlfn.XLOOKUP(Orders[[#This Row],[CustomerID]],Customers[CustomerID],Customers[Gender])</f>
        <v>Male</v>
      </c>
      <c r="Q21">
        <f>_xlfn.XLOOKUP(Orders[[#This Row],[CustomerID]],Customers[CustomerID],Customers[CustomerAge])</f>
        <v>28</v>
      </c>
      <c r="R21" t="str">
        <f>IF(Orders[[#This Row],[CustomerAge]]&gt;=35, "Older", "Young")</f>
        <v>Young</v>
      </c>
      <c r="S21" t="str">
        <f>_xlfn.XLOOKUP(Orders[[#This Row],[ProductID]],Products[ProductID],Products[ProductName])</f>
        <v>Badminton Racket</v>
      </c>
      <c r="T21" t="str">
        <f>_xlfn.XLOOKUP(Orders[[#This Row],[ProductID]],Products[ProductID],Products[Category])</f>
        <v>Sports</v>
      </c>
    </row>
    <row r="22" spans="1:20" x14ac:dyDescent="0.25">
      <c r="A22" s="4" t="s">
        <v>58</v>
      </c>
      <c r="B22" s="5">
        <v>45967</v>
      </c>
      <c r="C22" s="15">
        <f>WEEKNUM(Orders[[#This Row],[OrderDate]])</f>
        <v>45</v>
      </c>
      <c r="D22" s="15" t="str">
        <f>TEXT(Orders[[#This Row],[OrderDate]],"mmmm")</f>
        <v>November</v>
      </c>
      <c r="E22" s="4" t="s">
        <v>59</v>
      </c>
      <c r="F22" s="4" t="s">
        <v>60</v>
      </c>
      <c r="G22" s="4">
        <v>10</v>
      </c>
      <c r="H22" s="12">
        <v>13390</v>
      </c>
      <c r="I22" s="13">
        <v>11381.5</v>
      </c>
      <c r="J22" s="13">
        <f>Orders[[#This Row],[Quantity]]*Orders[[#This Row],[Selling Price]]</f>
        <v>133900</v>
      </c>
      <c r="K22" s="13">
        <f>Orders[[#This Row],[Quantity]]*Orders[[#This Row],[Cost Price]]</f>
        <v>113815</v>
      </c>
      <c r="L22" s="13">
        <f>Orders[[#This Row],[Revenue]]-Orders[[#This Row],[Expenses]]</f>
        <v>20085</v>
      </c>
      <c r="M22" t="s">
        <v>2209</v>
      </c>
      <c r="N22" t="str">
        <f>_xlfn.XLOOKUP(Orders[[#This Row],[CustomerID]],Customers[CustomerID],Customers[CustomerName])</f>
        <v>Adanma Danladi</v>
      </c>
      <c r="O22" t="str">
        <f>_xlfn.XLOOKUP(Orders[[#This Row],[CustomerID]],Customers[CustomerID],Customers[City])</f>
        <v>Texas</v>
      </c>
      <c r="P22" t="str">
        <f>_xlfn.XLOOKUP(Orders[[#This Row],[CustomerID]],Customers[CustomerID],Customers[Gender])</f>
        <v>Female</v>
      </c>
      <c r="Q22">
        <f>_xlfn.XLOOKUP(Orders[[#This Row],[CustomerID]],Customers[CustomerID],Customers[CustomerAge])</f>
        <v>24</v>
      </c>
      <c r="R22" t="str">
        <f>IF(Orders[[#This Row],[CustomerAge]]&gt;=35, "Older", "Young")</f>
        <v>Young</v>
      </c>
      <c r="S22" t="str">
        <f>_xlfn.XLOOKUP(Orders[[#This Row],[ProductID]],Products[ProductID],Products[ProductName])</f>
        <v>Silver Rings</v>
      </c>
      <c r="T22" t="str">
        <f>_xlfn.XLOOKUP(Orders[[#This Row],[ProductID]],Products[ProductID],Products[Category])</f>
        <v>Accessories</v>
      </c>
    </row>
    <row r="23" spans="1:20" x14ac:dyDescent="0.25">
      <c r="A23" s="4" t="s">
        <v>61</v>
      </c>
      <c r="B23" s="5">
        <v>46012</v>
      </c>
      <c r="C23" s="15">
        <f>WEEKNUM(Orders[[#This Row],[OrderDate]])</f>
        <v>52</v>
      </c>
      <c r="D23" s="15" t="str">
        <f>TEXT(Orders[[#This Row],[OrderDate]],"mmmm")</f>
        <v>December</v>
      </c>
      <c r="E23" s="4" t="s">
        <v>62</v>
      </c>
      <c r="F23" s="4" t="s">
        <v>63</v>
      </c>
      <c r="G23" s="4">
        <v>8</v>
      </c>
      <c r="H23" s="12">
        <v>14329.9</v>
      </c>
      <c r="I23" s="13">
        <v>12180.415000000001</v>
      </c>
      <c r="J23" s="13">
        <f>Orders[[#This Row],[Quantity]]*Orders[[#This Row],[Selling Price]]</f>
        <v>114639.2</v>
      </c>
      <c r="K23" s="13">
        <f>Orders[[#This Row],[Quantity]]*Orders[[#This Row],[Cost Price]]</f>
        <v>97443.32</v>
      </c>
      <c r="L23" s="13">
        <f>Orders[[#This Row],[Revenue]]-Orders[[#This Row],[Expenses]]</f>
        <v>17195.87999999999</v>
      </c>
      <c r="M23" t="s">
        <v>2210</v>
      </c>
      <c r="N23" t="str">
        <f>_xlfn.XLOOKUP(Orders[[#This Row],[CustomerID]],Customers[CustomerID],Customers[CustomerName])</f>
        <v>Ronke Okonkwo</v>
      </c>
      <c r="O23" t="str">
        <f>_xlfn.XLOOKUP(Orders[[#This Row],[CustomerID]],Customers[CustomerID],Customers[City])</f>
        <v>Texas</v>
      </c>
      <c r="P23" t="str">
        <f>_xlfn.XLOOKUP(Orders[[#This Row],[CustomerID]],Customers[CustomerID],Customers[Gender])</f>
        <v>Female</v>
      </c>
      <c r="Q23">
        <f>_xlfn.XLOOKUP(Orders[[#This Row],[CustomerID]],Customers[CustomerID],Customers[CustomerAge])</f>
        <v>36</v>
      </c>
      <c r="R23" t="str">
        <f>IF(Orders[[#This Row],[CustomerAge]]&gt;=35, "Older", "Young")</f>
        <v>Older</v>
      </c>
      <c r="S23" t="str">
        <f>_xlfn.XLOOKUP(Orders[[#This Row],[ProductID]],Products[ProductID],Products[ProductName])</f>
        <v>Tennis Bat</v>
      </c>
      <c r="T23" t="str">
        <f>_xlfn.XLOOKUP(Orders[[#This Row],[ProductID]],Products[ProductID],Products[Category])</f>
        <v>Sports</v>
      </c>
    </row>
    <row r="24" spans="1:20" x14ac:dyDescent="0.25">
      <c r="A24" s="4" t="s">
        <v>64</v>
      </c>
      <c r="B24" s="5">
        <v>45961</v>
      </c>
      <c r="C24" s="15">
        <f>WEEKNUM(Orders[[#This Row],[OrderDate]])</f>
        <v>44</v>
      </c>
      <c r="D24" s="15" t="str">
        <f>TEXT(Orders[[#This Row],[OrderDate]],"mmmm")</f>
        <v>October</v>
      </c>
      <c r="E24" s="4" t="s">
        <v>8</v>
      </c>
      <c r="F24" s="4" t="s">
        <v>57</v>
      </c>
      <c r="G24" s="4">
        <v>2</v>
      </c>
      <c r="H24" s="12">
        <v>6702.7999999999993</v>
      </c>
      <c r="I24" s="13">
        <v>5697.3799999999992</v>
      </c>
      <c r="J24" s="13">
        <f>Orders[[#This Row],[Quantity]]*Orders[[#This Row],[Selling Price]]</f>
        <v>13405.599999999999</v>
      </c>
      <c r="K24" s="13">
        <f>Orders[[#This Row],[Quantity]]*Orders[[#This Row],[Cost Price]]</f>
        <v>11394.759999999998</v>
      </c>
      <c r="L24" s="13">
        <f>Orders[[#This Row],[Revenue]]-Orders[[#This Row],[Expenses]]</f>
        <v>2010.8400000000001</v>
      </c>
      <c r="M24" t="s">
        <v>2207</v>
      </c>
      <c r="N24" t="str">
        <f>_xlfn.XLOOKUP(Orders[[#This Row],[CustomerID]],Customers[CustomerID],Customers[CustomerName])</f>
        <v>Bi si Bello</v>
      </c>
      <c r="O24" t="str">
        <f>_xlfn.XLOOKUP(Orders[[#This Row],[CustomerID]],Customers[CustomerID],Customers[City])</f>
        <v>Washington</v>
      </c>
      <c r="P24" t="str">
        <f>_xlfn.XLOOKUP(Orders[[#This Row],[CustomerID]],Customers[CustomerID],Customers[Gender])</f>
        <v>Female</v>
      </c>
      <c r="Q24">
        <f>_xlfn.XLOOKUP(Orders[[#This Row],[CustomerID]],Customers[CustomerID],Customers[CustomerAge])</f>
        <v>38</v>
      </c>
      <c r="R24" t="str">
        <f>IF(Orders[[#This Row],[CustomerAge]]&gt;=35, "Older", "Young")</f>
        <v>Older</v>
      </c>
      <c r="S24" t="str">
        <f>_xlfn.XLOOKUP(Orders[[#This Row],[ProductID]],Products[ProductID],Products[ProductName])</f>
        <v>Badminton Racket</v>
      </c>
      <c r="T24" t="str">
        <f>_xlfn.XLOOKUP(Orders[[#This Row],[ProductID]],Products[ProductID],Products[Category])</f>
        <v>Sports</v>
      </c>
    </row>
    <row r="25" spans="1:20" x14ac:dyDescent="0.25">
      <c r="A25" s="4" t="s">
        <v>65</v>
      </c>
      <c r="B25" s="5">
        <v>46020</v>
      </c>
      <c r="C25" s="15">
        <f>WEEKNUM(Orders[[#This Row],[OrderDate]])</f>
        <v>53</v>
      </c>
      <c r="D25" s="15" t="str">
        <f>TEXT(Orders[[#This Row],[OrderDate]],"mmmm")</f>
        <v>December</v>
      </c>
      <c r="E25" s="4" t="s">
        <v>48</v>
      </c>
      <c r="F25" s="4" t="s">
        <v>66</v>
      </c>
      <c r="G25" s="4">
        <v>10</v>
      </c>
      <c r="H25" s="12">
        <v>2367.1999999999998</v>
      </c>
      <c r="I25" s="13">
        <v>2012.12</v>
      </c>
      <c r="J25" s="13">
        <f>Orders[[#This Row],[Quantity]]*Orders[[#This Row],[Selling Price]]</f>
        <v>23672</v>
      </c>
      <c r="K25" s="13">
        <f>Orders[[#This Row],[Quantity]]*Orders[[#This Row],[Cost Price]]</f>
        <v>20121.199999999997</v>
      </c>
      <c r="L25" s="13">
        <f>Orders[[#This Row],[Revenue]]-Orders[[#This Row],[Expenses]]</f>
        <v>3550.8000000000029</v>
      </c>
      <c r="M25" t="s">
        <v>2199</v>
      </c>
      <c r="N25" t="str">
        <f>_xlfn.XLOOKUP(Orders[[#This Row],[CustomerID]],Customers[CustomerID],Customers[CustomerName])</f>
        <v>Mustafa Obi</v>
      </c>
      <c r="O25" t="str">
        <f>_xlfn.XLOOKUP(Orders[[#This Row],[CustomerID]],Customers[CustomerID],Customers[City])</f>
        <v>California</v>
      </c>
      <c r="P25" t="str">
        <f>_xlfn.XLOOKUP(Orders[[#This Row],[CustomerID]],Customers[CustomerID],Customers[Gender])</f>
        <v>Male</v>
      </c>
      <c r="Q25">
        <f>_xlfn.XLOOKUP(Orders[[#This Row],[CustomerID]],Customers[CustomerID],Customers[CustomerAge])</f>
        <v>23</v>
      </c>
      <c r="R25" t="str">
        <f>IF(Orders[[#This Row],[CustomerAge]]&gt;=35, "Older", "Young")</f>
        <v>Young</v>
      </c>
      <c r="S25" t="str">
        <f>_xlfn.XLOOKUP(Orders[[#This Row],[ProductID]],Products[ProductID],Products[ProductName])</f>
        <v>Microwave</v>
      </c>
      <c r="T25" t="str">
        <f>_xlfn.XLOOKUP(Orders[[#This Row],[ProductID]],Products[ProductID],Products[Category])</f>
        <v>Electronics</v>
      </c>
    </row>
    <row r="26" spans="1:20" x14ac:dyDescent="0.25">
      <c r="A26" s="4" t="s">
        <v>67</v>
      </c>
      <c r="B26" s="5">
        <v>46016</v>
      </c>
      <c r="C26" s="15">
        <f>WEEKNUM(Orders[[#This Row],[OrderDate]])</f>
        <v>52</v>
      </c>
      <c r="D26" s="15" t="str">
        <f>TEXT(Orders[[#This Row],[OrderDate]],"mmmm")</f>
        <v>December</v>
      </c>
      <c r="E26" s="4" t="s">
        <v>68</v>
      </c>
      <c r="F26" s="4" t="s">
        <v>31</v>
      </c>
      <c r="G26" s="4">
        <v>8</v>
      </c>
      <c r="H26" s="12">
        <v>8122.1</v>
      </c>
      <c r="I26" s="13">
        <v>6903.7849999999999</v>
      </c>
      <c r="J26" s="13">
        <f>Orders[[#This Row],[Quantity]]*Orders[[#This Row],[Selling Price]]</f>
        <v>64976.800000000003</v>
      </c>
      <c r="K26" s="13">
        <f>Orders[[#This Row],[Quantity]]*Orders[[#This Row],[Cost Price]]</f>
        <v>55230.28</v>
      </c>
      <c r="L26" s="13">
        <f>Orders[[#This Row],[Revenue]]-Orders[[#This Row],[Expenses]]</f>
        <v>9746.5200000000041</v>
      </c>
      <c r="M26" t="s">
        <v>2195</v>
      </c>
      <c r="N26" t="str">
        <f>_xlfn.XLOOKUP(Orders[[#This Row],[CustomerID]],Customers[CustomerID],Customers[CustomerName])</f>
        <v>Abiola Balogun</v>
      </c>
      <c r="O26" t="str">
        <f>_xlfn.XLOOKUP(Orders[[#This Row],[CustomerID]],Customers[CustomerID],Customers[City])</f>
        <v>Texas</v>
      </c>
      <c r="P26" t="str">
        <f>_xlfn.XLOOKUP(Orders[[#This Row],[CustomerID]],Customers[CustomerID],Customers[Gender])</f>
        <v>Male</v>
      </c>
      <c r="Q26">
        <f>_xlfn.XLOOKUP(Orders[[#This Row],[CustomerID]],Customers[CustomerID],Customers[CustomerAge])</f>
        <v>29</v>
      </c>
      <c r="R26" t="str">
        <f>IF(Orders[[#This Row],[CustomerAge]]&gt;=35, "Older", "Young")</f>
        <v>Young</v>
      </c>
      <c r="S26" t="str">
        <f>_xlfn.XLOOKUP(Orders[[#This Row],[ProductID]],Products[ProductID],Products[ProductName])</f>
        <v>Kids Games</v>
      </c>
      <c r="T26" t="str">
        <f>_xlfn.XLOOKUP(Orders[[#This Row],[ProductID]],Products[ProductID],Products[Category])</f>
        <v>Games</v>
      </c>
    </row>
    <row r="27" spans="1:20" x14ac:dyDescent="0.25">
      <c r="A27" s="4" t="s">
        <v>69</v>
      </c>
      <c r="B27" s="5">
        <v>45983</v>
      </c>
      <c r="C27" s="15">
        <f>WEEKNUM(Orders[[#This Row],[OrderDate]])</f>
        <v>47</v>
      </c>
      <c r="D27" s="15" t="str">
        <f>TEXT(Orders[[#This Row],[OrderDate]],"mmmm")</f>
        <v>November</v>
      </c>
      <c r="E27" s="4" t="s">
        <v>33</v>
      </c>
      <c r="F27" s="4" t="s">
        <v>70</v>
      </c>
      <c r="G27" s="4">
        <v>9</v>
      </c>
      <c r="H27" s="12">
        <v>13792.7</v>
      </c>
      <c r="I27" s="13">
        <v>11723.795</v>
      </c>
      <c r="J27" s="13">
        <f>Orders[[#This Row],[Quantity]]*Orders[[#This Row],[Selling Price]]</f>
        <v>124134.3</v>
      </c>
      <c r="K27" s="13">
        <f>Orders[[#This Row],[Quantity]]*Orders[[#This Row],[Cost Price]]</f>
        <v>105514.155</v>
      </c>
      <c r="L27" s="13">
        <f>Orders[[#This Row],[Revenue]]-Orders[[#This Row],[Expenses]]</f>
        <v>18620.145000000004</v>
      </c>
      <c r="M27" t="s">
        <v>2211</v>
      </c>
      <c r="N27" t="str">
        <f>_xlfn.XLOOKUP(Orders[[#This Row],[CustomerID]],Customers[CustomerID],Customers[CustomerName])</f>
        <v>Okon Balogun</v>
      </c>
      <c r="O27" t="str">
        <f>_xlfn.XLOOKUP(Orders[[#This Row],[CustomerID]],Customers[CustomerID],Customers[City])</f>
        <v>Texas</v>
      </c>
      <c r="P27" t="str">
        <f>_xlfn.XLOOKUP(Orders[[#This Row],[CustomerID]],Customers[CustomerID],Customers[Gender])</f>
        <v>Male</v>
      </c>
      <c r="Q27">
        <f>_xlfn.XLOOKUP(Orders[[#This Row],[CustomerID]],Customers[CustomerID],Customers[CustomerAge])</f>
        <v>28</v>
      </c>
      <c r="R27" t="str">
        <f>IF(Orders[[#This Row],[CustomerAge]]&gt;=35, "Older", "Young")</f>
        <v>Young</v>
      </c>
      <c r="S27" t="str">
        <f>_xlfn.XLOOKUP(Orders[[#This Row],[ProductID]],Products[ProductID],Products[ProductName])</f>
        <v>Yoga Mat</v>
      </c>
      <c r="T27" t="str">
        <f>_xlfn.XLOOKUP(Orders[[#This Row],[ProductID]],Products[ProductID],Products[Category])</f>
        <v>Gym</v>
      </c>
    </row>
    <row r="28" spans="1:20" x14ac:dyDescent="0.25">
      <c r="A28" s="4" t="s">
        <v>71</v>
      </c>
      <c r="B28" s="5">
        <v>45959</v>
      </c>
      <c r="C28" s="15">
        <f>WEEKNUM(Orders[[#This Row],[OrderDate]])</f>
        <v>44</v>
      </c>
      <c r="D28" s="15" t="str">
        <f>TEXT(Orders[[#This Row],[OrderDate]],"mmmm")</f>
        <v>October</v>
      </c>
      <c r="E28" s="4" t="s">
        <v>14</v>
      </c>
      <c r="F28" s="4" t="s">
        <v>37</v>
      </c>
      <c r="G28" s="4">
        <v>1</v>
      </c>
      <c r="H28" s="12">
        <v>2352.5</v>
      </c>
      <c r="I28" s="13">
        <v>1999.625</v>
      </c>
      <c r="J28" s="13">
        <f>Orders[[#This Row],[Quantity]]*Orders[[#This Row],[Selling Price]]</f>
        <v>2352.5</v>
      </c>
      <c r="K28" s="13">
        <f>Orders[[#This Row],[Quantity]]*Orders[[#This Row],[Cost Price]]</f>
        <v>1999.625</v>
      </c>
      <c r="L28" s="13">
        <f>Orders[[#This Row],[Revenue]]-Orders[[#This Row],[Expenses]]</f>
        <v>352.875</v>
      </c>
      <c r="M28" t="s">
        <v>2201</v>
      </c>
      <c r="N28" t="str">
        <f>_xlfn.XLOOKUP(Orders[[#This Row],[CustomerID]],Customers[CustomerID],Customers[CustomerName])</f>
        <v>Abiola Igwe</v>
      </c>
      <c r="O28" t="str">
        <f>_xlfn.XLOOKUP(Orders[[#This Row],[CustomerID]],Customers[CustomerID],Customers[City])</f>
        <v>Texas</v>
      </c>
      <c r="P28" t="str">
        <f>_xlfn.XLOOKUP(Orders[[#This Row],[CustomerID]],Customers[CustomerID],Customers[Gender])</f>
        <v>Male</v>
      </c>
      <c r="Q28">
        <f>_xlfn.XLOOKUP(Orders[[#This Row],[CustomerID]],Customers[CustomerID],Customers[CustomerAge])</f>
        <v>39</v>
      </c>
      <c r="R28" t="str">
        <f>IF(Orders[[#This Row],[CustomerAge]]&gt;=35, "Older", "Young")</f>
        <v>Older</v>
      </c>
      <c r="S28" t="str">
        <f>_xlfn.XLOOKUP(Orders[[#This Row],[ProductID]],Products[ProductID],Products[ProductName])</f>
        <v>Iron</v>
      </c>
      <c r="T28" t="str">
        <f>_xlfn.XLOOKUP(Orders[[#This Row],[ProductID]],Products[ProductID],Products[Category])</f>
        <v>Electronics</v>
      </c>
    </row>
    <row r="29" spans="1:20" x14ac:dyDescent="0.25">
      <c r="A29" s="4" t="s">
        <v>72</v>
      </c>
      <c r="B29" s="5">
        <v>45984</v>
      </c>
      <c r="C29" s="15">
        <f>WEEKNUM(Orders[[#This Row],[OrderDate]])</f>
        <v>48</v>
      </c>
      <c r="D29" s="15" t="str">
        <f>TEXT(Orders[[#This Row],[OrderDate]],"mmmm")</f>
        <v>November</v>
      </c>
      <c r="E29" s="4" t="s">
        <v>73</v>
      </c>
      <c r="F29" s="4" t="s">
        <v>66</v>
      </c>
      <c r="G29" s="4">
        <v>8</v>
      </c>
      <c r="H29" s="12">
        <v>16531.5</v>
      </c>
      <c r="I29" s="13">
        <v>14051.775</v>
      </c>
      <c r="J29" s="13">
        <f>Orders[[#This Row],[Quantity]]*Orders[[#This Row],[Selling Price]]</f>
        <v>132252</v>
      </c>
      <c r="K29" s="13">
        <f>Orders[[#This Row],[Quantity]]*Orders[[#This Row],[Cost Price]]</f>
        <v>112414.2</v>
      </c>
      <c r="L29" s="13">
        <f>Orders[[#This Row],[Revenue]]-Orders[[#This Row],[Expenses]]</f>
        <v>19837.800000000003</v>
      </c>
      <c r="M29" t="s">
        <v>2212</v>
      </c>
      <c r="N29" t="str">
        <f>_xlfn.XLOOKUP(Orders[[#This Row],[CustomerID]],Customers[CustomerID],Customers[CustomerName])</f>
        <v>Ronke Okonkwo</v>
      </c>
      <c r="O29" t="str">
        <f>_xlfn.XLOOKUP(Orders[[#This Row],[CustomerID]],Customers[CustomerID],Customers[City])</f>
        <v>California</v>
      </c>
      <c r="P29" t="str">
        <f>_xlfn.XLOOKUP(Orders[[#This Row],[CustomerID]],Customers[CustomerID],Customers[Gender])</f>
        <v>Female</v>
      </c>
      <c r="Q29">
        <f>_xlfn.XLOOKUP(Orders[[#This Row],[CustomerID]],Customers[CustomerID],Customers[CustomerAge])</f>
        <v>20</v>
      </c>
      <c r="R29" t="str">
        <f>IF(Orders[[#This Row],[CustomerAge]]&gt;=35, "Older", "Young")</f>
        <v>Young</v>
      </c>
      <c r="S29" t="str">
        <f>_xlfn.XLOOKUP(Orders[[#This Row],[ProductID]],Products[ProductID],Products[ProductName])</f>
        <v>Microwave</v>
      </c>
      <c r="T29" t="str">
        <f>_xlfn.XLOOKUP(Orders[[#This Row],[ProductID]],Products[ProductID],Products[Category])</f>
        <v>Electronics</v>
      </c>
    </row>
    <row r="30" spans="1:20" x14ac:dyDescent="0.25">
      <c r="A30" s="4" t="s">
        <v>74</v>
      </c>
      <c r="B30" s="5">
        <v>45956</v>
      </c>
      <c r="C30" s="15">
        <f>WEEKNUM(Orders[[#This Row],[OrderDate]])</f>
        <v>44</v>
      </c>
      <c r="D30" s="15" t="str">
        <f>TEXT(Orders[[#This Row],[OrderDate]],"mmmm")</f>
        <v>October</v>
      </c>
      <c r="E30" s="4" t="s">
        <v>75</v>
      </c>
      <c r="F30" s="4" t="s">
        <v>76</v>
      </c>
      <c r="G30" s="4">
        <v>8</v>
      </c>
      <c r="H30" s="12">
        <v>7103.0999999999995</v>
      </c>
      <c r="I30" s="13">
        <v>6037.6349999999993</v>
      </c>
      <c r="J30" s="13">
        <f>Orders[[#This Row],[Quantity]]*Orders[[#This Row],[Selling Price]]</f>
        <v>56824.799999999996</v>
      </c>
      <c r="K30" s="13">
        <f>Orders[[#This Row],[Quantity]]*Orders[[#This Row],[Cost Price]]</f>
        <v>48301.079999999994</v>
      </c>
      <c r="L30" s="13">
        <f>Orders[[#This Row],[Revenue]]-Orders[[#This Row],[Expenses]]</f>
        <v>8523.7200000000012</v>
      </c>
      <c r="M30" t="s">
        <v>2198</v>
      </c>
      <c r="N30" t="str">
        <f>_xlfn.XLOOKUP(Orders[[#This Row],[CustomerID]],Customers[CustomerID],Customers[CustomerName])</f>
        <v>Tunde Danladi</v>
      </c>
      <c r="O30" t="str">
        <f>_xlfn.XLOOKUP(Orders[[#This Row],[CustomerID]],Customers[CustomerID],Customers[City])</f>
        <v>Texas</v>
      </c>
      <c r="P30" t="str">
        <f>_xlfn.XLOOKUP(Orders[[#This Row],[CustomerID]],Customers[CustomerID],Customers[Gender])</f>
        <v>Male</v>
      </c>
      <c r="Q30">
        <f>_xlfn.XLOOKUP(Orders[[#This Row],[CustomerID]],Customers[CustomerID],Customers[CustomerAge])</f>
        <v>47</v>
      </c>
      <c r="R30" t="str">
        <f>IF(Orders[[#This Row],[CustomerAge]]&gt;=35, "Older", "Young")</f>
        <v>Older</v>
      </c>
      <c r="S30" t="str">
        <f>_xlfn.XLOOKUP(Orders[[#This Row],[ProductID]],Products[ProductID],Products[ProductName])</f>
        <v>Blender</v>
      </c>
      <c r="T30" t="str">
        <f>_xlfn.XLOOKUP(Orders[[#This Row],[ProductID]],Products[ProductID],Products[Category])</f>
        <v>Electronics</v>
      </c>
    </row>
    <row r="31" spans="1:20" x14ac:dyDescent="0.25">
      <c r="A31" s="4" t="s">
        <v>77</v>
      </c>
      <c r="B31" s="5">
        <v>46022</v>
      </c>
      <c r="C31" s="15">
        <f>WEEKNUM(Orders[[#This Row],[OrderDate]])</f>
        <v>53</v>
      </c>
      <c r="D31" s="15" t="str">
        <f>TEXT(Orders[[#This Row],[OrderDate]],"mmmm")</f>
        <v>December</v>
      </c>
      <c r="E31" s="4" t="s">
        <v>78</v>
      </c>
      <c r="F31" s="4" t="s">
        <v>76</v>
      </c>
      <c r="G31" s="4">
        <v>6</v>
      </c>
      <c r="H31" s="12">
        <v>15724.7</v>
      </c>
      <c r="I31" s="13">
        <v>13365.995000000001</v>
      </c>
      <c r="J31" s="13">
        <f>Orders[[#This Row],[Quantity]]*Orders[[#This Row],[Selling Price]]</f>
        <v>94348.200000000012</v>
      </c>
      <c r="K31" s="13">
        <f>Orders[[#This Row],[Quantity]]*Orders[[#This Row],[Cost Price]]</f>
        <v>80195.97</v>
      </c>
      <c r="L31" s="13">
        <f>Orders[[#This Row],[Revenue]]-Orders[[#This Row],[Expenses]]</f>
        <v>14152.23000000001</v>
      </c>
      <c r="M31" t="s">
        <v>2192</v>
      </c>
      <c r="N31" t="str">
        <f>_xlfn.XLOOKUP(Orders[[#This Row],[CustomerID]],Customers[CustomerID],Customers[CustomerName])</f>
        <v>Chinedu Obi</v>
      </c>
      <c r="O31" t="str">
        <f>_xlfn.XLOOKUP(Orders[[#This Row],[CustomerID]],Customers[CustomerID],Customers[City])</f>
        <v>Washington</v>
      </c>
      <c r="P31" t="str">
        <f>_xlfn.XLOOKUP(Orders[[#This Row],[CustomerID]],Customers[CustomerID],Customers[Gender])</f>
        <v>Male</v>
      </c>
      <c r="Q31">
        <f>_xlfn.XLOOKUP(Orders[[#This Row],[CustomerID]],Customers[CustomerID],Customers[CustomerAge])</f>
        <v>38</v>
      </c>
      <c r="R31" t="str">
        <f>IF(Orders[[#This Row],[CustomerAge]]&gt;=35, "Older", "Young")</f>
        <v>Older</v>
      </c>
      <c r="S31" t="str">
        <f>_xlfn.XLOOKUP(Orders[[#This Row],[ProductID]],Products[ProductID],Products[ProductName])</f>
        <v>Blender</v>
      </c>
      <c r="T31" t="str">
        <f>_xlfn.XLOOKUP(Orders[[#This Row],[ProductID]],Products[ProductID],Products[Category])</f>
        <v>Electronics</v>
      </c>
    </row>
    <row r="32" spans="1:20" x14ac:dyDescent="0.25">
      <c r="A32" s="4" t="s">
        <v>79</v>
      </c>
      <c r="B32" s="5">
        <v>45996</v>
      </c>
      <c r="C32" s="15">
        <f>WEEKNUM(Orders[[#This Row],[OrderDate]])</f>
        <v>49</v>
      </c>
      <c r="D32" s="15" t="str">
        <f>TEXT(Orders[[#This Row],[OrderDate]],"mmmm")</f>
        <v>December</v>
      </c>
      <c r="E32" s="4" t="s">
        <v>80</v>
      </c>
      <c r="F32" s="4" t="s">
        <v>81</v>
      </c>
      <c r="G32" s="4">
        <v>3</v>
      </c>
      <c r="H32" s="12">
        <v>5809.8</v>
      </c>
      <c r="I32" s="13">
        <v>4938.33</v>
      </c>
      <c r="J32" s="13">
        <f>Orders[[#This Row],[Quantity]]*Orders[[#This Row],[Selling Price]]</f>
        <v>17429.400000000001</v>
      </c>
      <c r="K32" s="13">
        <f>Orders[[#This Row],[Quantity]]*Orders[[#This Row],[Cost Price]]</f>
        <v>14814.99</v>
      </c>
      <c r="L32" s="13">
        <f>Orders[[#This Row],[Revenue]]-Orders[[#This Row],[Expenses]]</f>
        <v>2614.4100000000017</v>
      </c>
      <c r="M32" t="s">
        <v>2213</v>
      </c>
      <c r="N32" t="str">
        <f>_xlfn.XLOOKUP(Orders[[#This Row],[CustomerID]],Customers[CustomerID],Customers[CustomerName])</f>
        <v>Sani Ojo</v>
      </c>
      <c r="O32" t="str">
        <f>_xlfn.XLOOKUP(Orders[[#This Row],[CustomerID]],Customers[CustomerID],Customers[City])</f>
        <v>Texas</v>
      </c>
      <c r="P32" t="str">
        <f>_xlfn.XLOOKUP(Orders[[#This Row],[CustomerID]],Customers[CustomerID],Customers[Gender])</f>
        <v>Male</v>
      </c>
      <c r="Q32">
        <f>_xlfn.XLOOKUP(Orders[[#This Row],[CustomerID]],Customers[CustomerID],Customers[CustomerAge])</f>
        <v>35</v>
      </c>
      <c r="R32" t="str">
        <f>IF(Orders[[#This Row],[CustomerAge]]&gt;=35, "Older", "Young")</f>
        <v>Older</v>
      </c>
      <c r="S32" t="str">
        <f>_xlfn.XLOOKUP(Orders[[#This Row],[ProductID]],Products[ProductID],Products[ProductName])</f>
        <v>Trousers</v>
      </c>
      <c r="T32" t="str">
        <f>_xlfn.XLOOKUP(Orders[[#This Row],[ProductID]],Products[ProductID],Products[Category])</f>
        <v>Clothing</v>
      </c>
    </row>
    <row r="33" spans="1:20" x14ac:dyDescent="0.25">
      <c r="A33" s="4" t="s">
        <v>82</v>
      </c>
      <c r="B33" s="5">
        <v>45978</v>
      </c>
      <c r="C33" s="15">
        <f>WEEKNUM(Orders[[#This Row],[OrderDate]])</f>
        <v>47</v>
      </c>
      <c r="D33" s="15" t="str">
        <f>TEXT(Orders[[#This Row],[OrderDate]],"mmmm")</f>
        <v>November</v>
      </c>
      <c r="E33" s="4" t="s">
        <v>83</v>
      </c>
      <c r="F33" s="4" t="s">
        <v>84</v>
      </c>
      <c r="G33" s="4">
        <v>5</v>
      </c>
      <c r="H33" s="12">
        <v>4828.3999999999996</v>
      </c>
      <c r="I33" s="13">
        <v>4104.1399999999994</v>
      </c>
      <c r="J33" s="13">
        <f>Orders[[#This Row],[Quantity]]*Orders[[#This Row],[Selling Price]]</f>
        <v>24142</v>
      </c>
      <c r="K33" s="13">
        <f>Orders[[#This Row],[Quantity]]*Orders[[#This Row],[Cost Price]]</f>
        <v>20520.699999999997</v>
      </c>
      <c r="L33" s="13">
        <f>Orders[[#This Row],[Revenue]]-Orders[[#This Row],[Expenses]]</f>
        <v>3621.3000000000029</v>
      </c>
      <c r="M33" t="s">
        <v>2213</v>
      </c>
      <c r="N33" t="str">
        <f>_xlfn.XLOOKUP(Orders[[#This Row],[CustomerID]],Customers[CustomerID],Customers[CustomerName])</f>
        <v>Funke Danladi</v>
      </c>
      <c r="O33" t="str">
        <f>_xlfn.XLOOKUP(Orders[[#This Row],[CustomerID]],Customers[CustomerID],Customers[City])</f>
        <v>Florida</v>
      </c>
      <c r="P33" t="str">
        <f>_xlfn.XLOOKUP(Orders[[#This Row],[CustomerID]],Customers[CustomerID],Customers[Gender])</f>
        <v>Female</v>
      </c>
      <c r="Q33">
        <f>_xlfn.XLOOKUP(Orders[[#This Row],[CustomerID]],Customers[CustomerID],Customers[CustomerAge])</f>
        <v>26</v>
      </c>
      <c r="R33" t="str">
        <f>IF(Orders[[#This Row],[CustomerAge]]&gt;=35, "Older", "Young")</f>
        <v>Young</v>
      </c>
      <c r="S33" t="str">
        <f>_xlfn.XLOOKUP(Orders[[#This Row],[ProductID]],Products[ProductID],Products[ProductName])</f>
        <v>Gym Wears</v>
      </c>
      <c r="T33" t="str">
        <f>_xlfn.XLOOKUP(Orders[[#This Row],[ProductID]],Products[ProductID],Products[Category])</f>
        <v>Clothing</v>
      </c>
    </row>
    <row r="34" spans="1:20" x14ac:dyDescent="0.25">
      <c r="A34" s="4" t="s">
        <v>85</v>
      </c>
      <c r="B34" s="5">
        <v>46020</v>
      </c>
      <c r="C34" s="15">
        <f>WEEKNUM(Orders[[#This Row],[OrderDate]])</f>
        <v>53</v>
      </c>
      <c r="D34" s="15" t="str">
        <f>TEXT(Orders[[#This Row],[OrderDate]],"mmmm")</f>
        <v>December</v>
      </c>
      <c r="E34" s="4" t="s">
        <v>52</v>
      </c>
      <c r="F34" s="4" t="s">
        <v>53</v>
      </c>
      <c r="G34" s="4">
        <v>5</v>
      </c>
      <c r="H34" s="12">
        <v>6809.2999999999993</v>
      </c>
      <c r="I34" s="13">
        <v>5787.9049999999997</v>
      </c>
      <c r="J34" s="13">
        <f>Orders[[#This Row],[Quantity]]*Orders[[#This Row],[Selling Price]]</f>
        <v>34046.5</v>
      </c>
      <c r="K34" s="13">
        <f>Orders[[#This Row],[Quantity]]*Orders[[#This Row],[Cost Price]]</f>
        <v>28939.524999999998</v>
      </c>
      <c r="L34" s="13">
        <f>Orders[[#This Row],[Revenue]]-Orders[[#This Row],[Expenses]]</f>
        <v>5106.9750000000022</v>
      </c>
      <c r="M34" t="s">
        <v>2203</v>
      </c>
      <c r="N34" t="str">
        <f>_xlfn.XLOOKUP(Orders[[#This Row],[CustomerID]],Customers[CustomerID],Customers[CustomerName])</f>
        <v>Folasade Ojo</v>
      </c>
      <c r="O34" t="str">
        <f>_xlfn.XLOOKUP(Orders[[#This Row],[CustomerID]],Customers[CustomerID],Customers[City])</f>
        <v>Texas</v>
      </c>
      <c r="P34" t="str">
        <f>_xlfn.XLOOKUP(Orders[[#This Row],[CustomerID]],Customers[CustomerID],Customers[Gender])</f>
        <v>Female</v>
      </c>
      <c r="Q34">
        <f>_xlfn.XLOOKUP(Orders[[#This Row],[CustomerID]],Customers[CustomerID],Customers[CustomerAge])</f>
        <v>29</v>
      </c>
      <c r="R34" t="str">
        <f>IF(Orders[[#This Row],[CustomerAge]]&gt;=35, "Older", "Young")</f>
        <v>Young</v>
      </c>
      <c r="S34" t="str">
        <f>_xlfn.XLOOKUP(Orders[[#This Row],[ProductID]],Products[ProductID],Products[ProductName])</f>
        <v>Silver Bangles</v>
      </c>
      <c r="T34" t="str">
        <f>_xlfn.XLOOKUP(Orders[[#This Row],[ProductID]],Products[ProductID],Products[Category])</f>
        <v>Accessories</v>
      </c>
    </row>
    <row r="35" spans="1:20" x14ac:dyDescent="0.25">
      <c r="A35" s="4" t="s">
        <v>86</v>
      </c>
      <c r="B35" s="5">
        <v>45949</v>
      </c>
      <c r="C35" s="15">
        <f>WEEKNUM(Orders[[#This Row],[OrderDate]])</f>
        <v>43</v>
      </c>
      <c r="D35" s="15" t="str">
        <f>TEXT(Orders[[#This Row],[OrderDate]],"mmmm")</f>
        <v>October</v>
      </c>
      <c r="E35" s="4" t="s">
        <v>87</v>
      </c>
      <c r="F35" s="4" t="s">
        <v>46</v>
      </c>
      <c r="G35" s="4">
        <v>4</v>
      </c>
      <c r="H35" s="12">
        <v>5403.4000000000005</v>
      </c>
      <c r="I35" s="13">
        <v>4592.8900000000003</v>
      </c>
      <c r="J35" s="13">
        <f>Orders[[#This Row],[Quantity]]*Orders[[#This Row],[Selling Price]]</f>
        <v>21613.600000000002</v>
      </c>
      <c r="K35" s="13">
        <f>Orders[[#This Row],[Quantity]]*Orders[[#This Row],[Cost Price]]</f>
        <v>18371.560000000001</v>
      </c>
      <c r="L35" s="13">
        <f>Orders[[#This Row],[Revenue]]-Orders[[#This Row],[Expenses]]</f>
        <v>3242.0400000000009</v>
      </c>
      <c r="M35" t="s">
        <v>2212</v>
      </c>
      <c r="N35" t="str">
        <f>_xlfn.XLOOKUP(Orders[[#This Row],[CustomerID]],Customers[CustomerID],Customers[CustomerName])</f>
        <v>Efe Igwe</v>
      </c>
      <c r="O35" t="str">
        <f>_xlfn.XLOOKUP(Orders[[#This Row],[CustomerID]],Customers[CustomerID],Customers[City])</f>
        <v>Illinois</v>
      </c>
      <c r="P35" t="str">
        <f>_xlfn.XLOOKUP(Orders[[#This Row],[CustomerID]],Customers[CustomerID],Customers[Gender])</f>
        <v>Female</v>
      </c>
      <c r="Q35">
        <f>_xlfn.XLOOKUP(Orders[[#This Row],[CustomerID]],Customers[CustomerID],Customers[CustomerAge])</f>
        <v>34</v>
      </c>
      <c r="R35" t="str">
        <f>IF(Orders[[#This Row],[CustomerAge]]&gt;=35, "Older", "Young")</f>
        <v>Young</v>
      </c>
      <c r="S35" t="str">
        <f>_xlfn.XLOOKUP(Orders[[#This Row],[ProductID]],Products[ProductID],Products[ProductName])</f>
        <v>Turtle Neck</v>
      </c>
      <c r="T35" t="str">
        <f>_xlfn.XLOOKUP(Orders[[#This Row],[ProductID]],Products[ProductID],Products[Category])</f>
        <v>Clothing</v>
      </c>
    </row>
    <row r="36" spans="1:20" x14ac:dyDescent="0.25">
      <c r="A36" s="4" t="s">
        <v>88</v>
      </c>
      <c r="B36" s="5">
        <v>46015</v>
      </c>
      <c r="C36" s="15">
        <f>WEEKNUM(Orders[[#This Row],[OrderDate]])</f>
        <v>52</v>
      </c>
      <c r="D36" s="15" t="str">
        <f>TEXT(Orders[[#This Row],[OrderDate]],"mmmm")</f>
        <v>December</v>
      </c>
      <c r="E36" s="4" t="s">
        <v>89</v>
      </c>
      <c r="F36" s="4" t="s">
        <v>28</v>
      </c>
      <c r="G36" s="4">
        <v>3</v>
      </c>
      <c r="H36" s="12">
        <v>19582.8</v>
      </c>
      <c r="I36" s="13">
        <v>16645.38</v>
      </c>
      <c r="J36" s="13">
        <f>Orders[[#This Row],[Quantity]]*Orders[[#This Row],[Selling Price]]</f>
        <v>58748.399999999994</v>
      </c>
      <c r="K36" s="13">
        <f>Orders[[#This Row],[Quantity]]*Orders[[#This Row],[Cost Price]]</f>
        <v>49936.14</v>
      </c>
      <c r="L36" s="13">
        <f>Orders[[#This Row],[Revenue]]-Orders[[#This Row],[Expenses]]</f>
        <v>8812.2599999999948</v>
      </c>
      <c r="M36" t="s">
        <v>2214</v>
      </c>
      <c r="N36" t="str">
        <f>_xlfn.XLOOKUP(Orders[[#This Row],[CustomerID]],Customers[CustomerID],Customers[CustomerName])</f>
        <v>Blessing Balogun</v>
      </c>
      <c r="O36" t="str">
        <f>_xlfn.XLOOKUP(Orders[[#This Row],[CustomerID]],Customers[CustomerID],Customers[City])</f>
        <v>Washington</v>
      </c>
      <c r="P36" t="str">
        <f>_xlfn.XLOOKUP(Orders[[#This Row],[CustomerID]],Customers[CustomerID],Customers[Gender])</f>
        <v>Female</v>
      </c>
      <c r="Q36">
        <f>_xlfn.XLOOKUP(Orders[[#This Row],[CustomerID]],Customers[CustomerID],Customers[CustomerAge])</f>
        <v>19</v>
      </c>
      <c r="R36" t="str">
        <f>IF(Orders[[#This Row],[CustomerAge]]&gt;=35, "Older", "Young")</f>
        <v>Young</v>
      </c>
      <c r="S36" t="str">
        <f>_xlfn.XLOOKUP(Orders[[#This Row],[ProductID]],Products[ProductID],Products[ProductName])</f>
        <v>Sneakers</v>
      </c>
      <c r="T36" t="str">
        <f>_xlfn.XLOOKUP(Orders[[#This Row],[ProductID]],Products[ProductID],Products[Category])</f>
        <v>Sports</v>
      </c>
    </row>
    <row r="37" spans="1:20" x14ac:dyDescent="0.25">
      <c r="A37" s="4" t="s">
        <v>90</v>
      </c>
      <c r="B37" s="5">
        <v>46019</v>
      </c>
      <c r="C37" s="15">
        <f>WEEKNUM(Orders[[#This Row],[OrderDate]])</f>
        <v>53</v>
      </c>
      <c r="D37" s="15" t="str">
        <f>TEXT(Orders[[#This Row],[OrderDate]],"mmmm")</f>
        <v>December</v>
      </c>
      <c r="E37" s="4" t="s">
        <v>91</v>
      </c>
      <c r="F37" s="4" t="s">
        <v>92</v>
      </c>
      <c r="G37" s="4">
        <v>6</v>
      </c>
      <c r="H37" s="12">
        <v>4838.5</v>
      </c>
      <c r="I37" s="13">
        <v>4112.7250000000004</v>
      </c>
      <c r="J37" s="13">
        <f>Orders[[#This Row],[Quantity]]*Orders[[#This Row],[Selling Price]]</f>
        <v>29031</v>
      </c>
      <c r="K37" s="13">
        <f>Orders[[#This Row],[Quantity]]*Orders[[#This Row],[Cost Price]]</f>
        <v>24676.350000000002</v>
      </c>
      <c r="L37" s="13">
        <f>Orders[[#This Row],[Revenue]]-Orders[[#This Row],[Expenses]]</f>
        <v>4354.6499999999978</v>
      </c>
      <c r="M37" t="s">
        <v>2201</v>
      </c>
      <c r="N37" t="str">
        <f>_xlfn.XLOOKUP(Orders[[#This Row],[CustomerID]],Customers[CustomerID],Customers[CustomerName])</f>
        <v>Uche Abubakar</v>
      </c>
      <c r="O37" t="str">
        <f>_xlfn.XLOOKUP(Orders[[#This Row],[CustomerID]],Customers[CustomerID],Customers[City])</f>
        <v>Florida</v>
      </c>
      <c r="P37" t="str">
        <f>_xlfn.XLOOKUP(Orders[[#This Row],[CustomerID]],Customers[CustomerID],Customers[Gender])</f>
        <v>Male</v>
      </c>
      <c r="Q37">
        <f>_xlfn.XLOOKUP(Orders[[#This Row],[CustomerID]],Customers[CustomerID],Customers[CustomerAge])</f>
        <v>28</v>
      </c>
      <c r="R37" t="str">
        <f>IF(Orders[[#This Row],[CustomerAge]]&gt;=35, "Older", "Young")</f>
        <v>Young</v>
      </c>
      <c r="S37" t="str">
        <f>_xlfn.XLOOKUP(Orders[[#This Row],[ProductID]],Products[ProductID],Products[ProductName])</f>
        <v>Chest Expander</v>
      </c>
      <c r="T37" t="str">
        <f>_xlfn.XLOOKUP(Orders[[#This Row],[ProductID]],Products[ProductID],Products[Category])</f>
        <v>Gym</v>
      </c>
    </row>
    <row r="38" spans="1:20" x14ac:dyDescent="0.25">
      <c r="A38" s="4" t="s">
        <v>93</v>
      </c>
      <c r="B38" s="5">
        <v>46009</v>
      </c>
      <c r="C38" s="15">
        <f>WEEKNUM(Orders[[#This Row],[OrderDate]])</f>
        <v>51</v>
      </c>
      <c r="D38" s="15" t="str">
        <f>TEXT(Orders[[#This Row],[OrderDate]],"mmmm")</f>
        <v>December</v>
      </c>
      <c r="E38" s="4" t="s">
        <v>94</v>
      </c>
      <c r="F38" s="4" t="s">
        <v>31</v>
      </c>
      <c r="G38" s="4">
        <v>1</v>
      </c>
      <c r="H38" s="12">
        <v>1604.1</v>
      </c>
      <c r="I38" s="13">
        <v>1363.4849999999999</v>
      </c>
      <c r="J38" s="13">
        <f>Orders[[#This Row],[Quantity]]*Orders[[#This Row],[Selling Price]]</f>
        <v>1604.1</v>
      </c>
      <c r="K38" s="13">
        <f>Orders[[#This Row],[Quantity]]*Orders[[#This Row],[Cost Price]]</f>
        <v>1363.4849999999999</v>
      </c>
      <c r="L38" s="13">
        <f>Orders[[#This Row],[Revenue]]-Orders[[#This Row],[Expenses]]</f>
        <v>240.61500000000001</v>
      </c>
      <c r="M38" t="s">
        <v>2206</v>
      </c>
      <c r="N38" t="str">
        <f>_xlfn.XLOOKUP(Orders[[#This Row],[CustomerID]],Customers[CustomerID],Customers[CustomerName])</f>
        <v>Uche Abubakar</v>
      </c>
      <c r="O38" t="str">
        <f>_xlfn.XLOOKUP(Orders[[#This Row],[CustomerID]],Customers[CustomerID],Customers[City])</f>
        <v>Texas</v>
      </c>
      <c r="P38" t="str">
        <f>_xlfn.XLOOKUP(Orders[[#This Row],[CustomerID]],Customers[CustomerID],Customers[Gender])</f>
        <v>Male</v>
      </c>
      <c r="Q38">
        <f>_xlfn.XLOOKUP(Orders[[#This Row],[CustomerID]],Customers[CustomerID],Customers[CustomerAge])</f>
        <v>26</v>
      </c>
      <c r="R38" t="str">
        <f>IF(Orders[[#This Row],[CustomerAge]]&gt;=35, "Older", "Young")</f>
        <v>Young</v>
      </c>
      <c r="S38" t="str">
        <f>_xlfn.XLOOKUP(Orders[[#This Row],[ProductID]],Products[ProductID],Products[ProductName])</f>
        <v>Kids Games</v>
      </c>
      <c r="T38" t="str">
        <f>_xlfn.XLOOKUP(Orders[[#This Row],[ProductID]],Products[ProductID],Products[Category])</f>
        <v>Games</v>
      </c>
    </row>
    <row r="39" spans="1:20" x14ac:dyDescent="0.25">
      <c r="A39" s="4" t="s">
        <v>95</v>
      </c>
      <c r="B39" s="5">
        <v>45967</v>
      </c>
      <c r="C39" s="15">
        <f>WEEKNUM(Orders[[#This Row],[OrderDate]])</f>
        <v>45</v>
      </c>
      <c r="D39" s="15" t="str">
        <f>TEXT(Orders[[#This Row],[OrderDate]],"mmmm")</f>
        <v>November</v>
      </c>
      <c r="E39" s="4" t="s">
        <v>96</v>
      </c>
      <c r="F39" s="4" t="s">
        <v>15</v>
      </c>
      <c r="G39" s="4">
        <v>3</v>
      </c>
      <c r="H39" s="12">
        <v>9593.7999999999993</v>
      </c>
      <c r="I39" s="13">
        <v>8154.73</v>
      </c>
      <c r="J39" s="13">
        <f>Orders[[#This Row],[Quantity]]*Orders[[#This Row],[Selling Price]]</f>
        <v>28781.399999999998</v>
      </c>
      <c r="K39" s="13">
        <f>Orders[[#This Row],[Quantity]]*Orders[[#This Row],[Cost Price]]</f>
        <v>24464.19</v>
      </c>
      <c r="L39" s="13">
        <f>Orders[[#This Row],[Revenue]]-Orders[[#This Row],[Expenses]]</f>
        <v>4317.2099999999991</v>
      </c>
      <c r="M39" t="s">
        <v>2210</v>
      </c>
      <c r="N39" t="str">
        <f>_xlfn.XLOOKUP(Orders[[#This Row],[CustomerID]],Customers[CustomerID],Customers[CustomerName])</f>
        <v>Amina Abubakar</v>
      </c>
      <c r="O39" t="str">
        <f>_xlfn.XLOOKUP(Orders[[#This Row],[CustomerID]],Customers[CustomerID],Customers[City])</f>
        <v>Texas</v>
      </c>
      <c r="P39" t="str">
        <f>_xlfn.XLOOKUP(Orders[[#This Row],[CustomerID]],Customers[CustomerID],Customers[Gender])</f>
        <v>Female</v>
      </c>
      <c r="Q39">
        <f>_xlfn.XLOOKUP(Orders[[#This Row],[CustomerID]],Customers[CustomerID],Customers[CustomerAge])</f>
        <v>35</v>
      </c>
      <c r="R39" t="str">
        <f>IF(Orders[[#This Row],[CustomerAge]]&gt;=35, "Older", "Young")</f>
        <v>Older</v>
      </c>
      <c r="S39" t="str">
        <f>_xlfn.XLOOKUP(Orders[[#This Row],[ProductID]],Products[ProductID],Products[ProductName])</f>
        <v>Monopoly</v>
      </c>
      <c r="T39" t="str">
        <f>_xlfn.XLOOKUP(Orders[[#This Row],[ProductID]],Products[ProductID],Products[Category])</f>
        <v>Games</v>
      </c>
    </row>
    <row r="40" spans="1:20" x14ac:dyDescent="0.25">
      <c r="A40" s="4" t="s">
        <v>97</v>
      </c>
      <c r="B40" s="5">
        <v>46018</v>
      </c>
      <c r="C40" s="15">
        <f>WEEKNUM(Orders[[#This Row],[OrderDate]])</f>
        <v>52</v>
      </c>
      <c r="D40" s="15" t="str">
        <f>TEXT(Orders[[#This Row],[OrderDate]],"mmmm")</f>
        <v>December</v>
      </c>
      <c r="E40" s="4" t="s">
        <v>98</v>
      </c>
      <c r="F40" s="4" t="s">
        <v>12</v>
      </c>
      <c r="G40" s="4">
        <v>7</v>
      </c>
      <c r="H40" s="12">
        <v>2440.5</v>
      </c>
      <c r="I40" s="13">
        <v>2074.4250000000002</v>
      </c>
      <c r="J40" s="13">
        <f>Orders[[#This Row],[Quantity]]*Orders[[#This Row],[Selling Price]]</f>
        <v>17083.5</v>
      </c>
      <c r="K40" s="13">
        <f>Orders[[#This Row],[Quantity]]*Orders[[#This Row],[Cost Price]]</f>
        <v>14520.975000000002</v>
      </c>
      <c r="L40" s="13">
        <f>Orders[[#This Row],[Revenue]]-Orders[[#This Row],[Expenses]]</f>
        <v>2562.5249999999978</v>
      </c>
      <c r="M40" t="s">
        <v>2215</v>
      </c>
      <c r="N40" t="str">
        <f>_xlfn.XLOOKUP(Orders[[#This Row],[CustomerID]],Customers[CustomerID],Customers[CustomerName])</f>
        <v>Chioma Adeyemi</v>
      </c>
      <c r="O40" t="str">
        <f>_xlfn.XLOOKUP(Orders[[#This Row],[CustomerID]],Customers[CustomerID],Customers[City])</f>
        <v>Illinois</v>
      </c>
      <c r="P40" t="str">
        <f>_xlfn.XLOOKUP(Orders[[#This Row],[CustomerID]],Customers[CustomerID],Customers[Gender])</f>
        <v>Female</v>
      </c>
      <c r="Q40">
        <f>_xlfn.XLOOKUP(Orders[[#This Row],[CustomerID]],Customers[CustomerID],Customers[CustomerAge])</f>
        <v>23</v>
      </c>
      <c r="R40" t="str">
        <f>IF(Orders[[#This Row],[CustomerAge]]&gt;=35, "Older", "Young")</f>
        <v>Young</v>
      </c>
      <c r="S40" t="str">
        <f>_xlfn.XLOOKUP(Orders[[#This Row],[ProductID]],Products[ProductID],Products[ProductName])</f>
        <v>Boubou</v>
      </c>
      <c r="T40" t="str">
        <f>_xlfn.XLOOKUP(Orders[[#This Row],[ProductID]],Products[ProductID],Products[Category])</f>
        <v>Clothing</v>
      </c>
    </row>
    <row r="41" spans="1:20" x14ac:dyDescent="0.25">
      <c r="A41" s="4" t="s">
        <v>99</v>
      </c>
      <c r="B41" s="5">
        <v>45983</v>
      </c>
      <c r="C41" s="15">
        <f>WEEKNUM(Orders[[#This Row],[OrderDate]])</f>
        <v>47</v>
      </c>
      <c r="D41" s="15" t="str">
        <f>TEXT(Orders[[#This Row],[OrderDate]],"mmmm")</f>
        <v>November</v>
      </c>
      <c r="E41" s="4" t="s">
        <v>41</v>
      </c>
      <c r="F41" s="4" t="s">
        <v>15</v>
      </c>
      <c r="G41" s="4">
        <v>6</v>
      </c>
      <c r="H41" s="12">
        <v>11185.1</v>
      </c>
      <c r="I41" s="13">
        <v>9507.3350000000009</v>
      </c>
      <c r="J41" s="13">
        <f>Orders[[#This Row],[Quantity]]*Orders[[#This Row],[Selling Price]]</f>
        <v>67110.600000000006</v>
      </c>
      <c r="K41" s="13">
        <f>Orders[[#This Row],[Quantity]]*Orders[[#This Row],[Cost Price]]</f>
        <v>57044.010000000009</v>
      </c>
      <c r="L41" s="13">
        <f>Orders[[#This Row],[Revenue]]-Orders[[#This Row],[Expenses]]</f>
        <v>10066.589999999997</v>
      </c>
      <c r="M41" t="s">
        <v>2192</v>
      </c>
      <c r="N41" t="str">
        <f>_xlfn.XLOOKUP(Orders[[#This Row],[CustomerID]],Customers[CustomerID],Customers[CustomerName])</f>
        <v>Mustafa Balogun</v>
      </c>
      <c r="O41" t="str">
        <f>_xlfn.XLOOKUP(Orders[[#This Row],[CustomerID]],Customers[CustomerID],Customers[City])</f>
        <v>Texas</v>
      </c>
      <c r="P41" t="str">
        <f>_xlfn.XLOOKUP(Orders[[#This Row],[CustomerID]],Customers[CustomerID],Customers[Gender])</f>
        <v>Male</v>
      </c>
      <c r="Q41">
        <f>_xlfn.XLOOKUP(Orders[[#This Row],[CustomerID]],Customers[CustomerID],Customers[CustomerAge])</f>
        <v>40</v>
      </c>
      <c r="R41" t="str">
        <f>IF(Orders[[#This Row],[CustomerAge]]&gt;=35, "Older", "Young")</f>
        <v>Older</v>
      </c>
      <c r="S41" t="str">
        <f>_xlfn.XLOOKUP(Orders[[#This Row],[ProductID]],Products[ProductID],Products[ProductName])</f>
        <v>Monopoly</v>
      </c>
      <c r="T41" t="str">
        <f>_xlfn.XLOOKUP(Orders[[#This Row],[ProductID]],Products[ProductID],Products[Category])</f>
        <v>Games</v>
      </c>
    </row>
    <row r="42" spans="1:20" x14ac:dyDescent="0.25">
      <c r="A42" s="4" t="s">
        <v>100</v>
      </c>
      <c r="B42" s="5">
        <v>45957</v>
      </c>
      <c r="C42" s="15">
        <f>WEEKNUM(Orders[[#This Row],[OrderDate]])</f>
        <v>44</v>
      </c>
      <c r="D42" s="15" t="str">
        <f>TEXT(Orders[[#This Row],[OrderDate]],"mmmm")</f>
        <v>October</v>
      </c>
      <c r="E42" s="4" t="s">
        <v>101</v>
      </c>
      <c r="F42" s="4" t="s">
        <v>20</v>
      </c>
      <c r="G42" s="4">
        <v>3</v>
      </c>
      <c r="H42" s="12">
        <v>11411.800000000001</v>
      </c>
      <c r="I42" s="13">
        <v>9700.0300000000007</v>
      </c>
      <c r="J42" s="13">
        <f>Orders[[#This Row],[Quantity]]*Orders[[#This Row],[Selling Price]]</f>
        <v>34235.4</v>
      </c>
      <c r="K42" s="13">
        <f>Orders[[#This Row],[Quantity]]*Orders[[#This Row],[Cost Price]]</f>
        <v>29100.090000000004</v>
      </c>
      <c r="L42" s="13">
        <f>Orders[[#This Row],[Revenue]]-Orders[[#This Row],[Expenses]]</f>
        <v>5135.3099999999977</v>
      </c>
      <c r="M42" t="s">
        <v>2201</v>
      </c>
      <c r="N42" t="str">
        <f>_xlfn.XLOOKUP(Orders[[#This Row],[CustomerID]],Customers[CustomerID],Customers[CustomerName])</f>
        <v>Blessing Eze</v>
      </c>
      <c r="O42" t="str">
        <f>_xlfn.XLOOKUP(Orders[[#This Row],[CustomerID]],Customers[CustomerID],Customers[City])</f>
        <v>Texas</v>
      </c>
      <c r="P42" t="str">
        <f>_xlfn.XLOOKUP(Orders[[#This Row],[CustomerID]],Customers[CustomerID],Customers[Gender])</f>
        <v>Female</v>
      </c>
      <c r="Q42">
        <f>_xlfn.XLOOKUP(Orders[[#This Row],[CustomerID]],Customers[CustomerID],Customers[CustomerAge])</f>
        <v>55</v>
      </c>
      <c r="R42" t="str">
        <f>IF(Orders[[#This Row],[CustomerAge]]&gt;=35, "Older", "Young")</f>
        <v>Older</v>
      </c>
      <c r="S42" t="str">
        <f>_xlfn.XLOOKUP(Orders[[#This Row],[ProductID]],Products[ProductID],Products[ProductName])</f>
        <v>Gym Bag</v>
      </c>
      <c r="T42" t="str">
        <f>_xlfn.XLOOKUP(Orders[[#This Row],[ProductID]],Products[ProductID],Products[Category])</f>
        <v>Gym</v>
      </c>
    </row>
    <row r="43" spans="1:20" x14ac:dyDescent="0.25">
      <c r="A43" s="4" t="s">
        <v>102</v>
      </c>
      <c r="B43" s="5">
        <v>45977</v>
      </c>
      <c r="C43" s="15">
        <f>WEEKNUM(Orders[[#This Row],[OrderDate]])</f>
        <v>47</v>
      </c>
      <c r="D43" s="15" t="str">
        <f>TEXT(Orders[[#This Row],[OrderDate]],"mmmm")</f>
        <v>November</v>
      </c>
      <c r="E43" s="4" t="s">
        <v>103</v>
      </c>
      <c r="F43" s="4" t="s">
        <v>63</v>
      </c>
      <c r="G43" s="4">
        <v>3</v>
      </c>
      <c r="H43" s="12">
        <v>17165.5</v>
      </c>
      <c r="I43" s="13">
        <v>14590.674999999999</v>
      </c>
      <c r="J43" s="13">
        <f>Orders[[#This Row],[Quantity]]*Orders[[#This Row],[Selling Price]]</f>
        <v>51496.5</v>
      </c>
      <c r="K43" s="13">
        <f>Orders[[#This Row],[Quantity]]*Orders[[#This Row],[Cost Price]]</f>
        <v>43772.024999999994</v>
      </c>
      <c r="L43" s="13">
        <f>Orders[[#This Row],[Revenue]]-Orders[[#This Row],[Expenses]]</f>
        <v>7724.4750000000058</v>
      </c>
      <c r="M43" t="s">
        <v>2215</v>
      </c>
      <c r="N43" t="str">
        <f>_xlfn.XLOOKUP(Orders[[#This Row],[CustomerID]],Customers[CustomerID],Customers[CustomerName])</f>
        <v>Chioma Adeyemi</v>
      </c>
      <c r="O43" t="str">
        <f>_xlfn.XLOOKUP(Orders[[#This Row],[CustomerID]],Customers[CustomerID],Customers[City])</f>
        <v>Georgia</v>
      </c>
      <c r="P43" t="str">
        <f>_xlfn.XLOOKUP(Orders[[#This Row],[CustomerID]],Customers[CustomerID],Customers[Gender])</f>
        <v>Female</v>
      </c>
      <c r="Q43">
        <f>_xlfn.XLOOKUP(Orders[[#This Row],[CustomerID]],Customers[CustomerID],Customers[CustomerAge])</f>
        <v>31</v>
      </c>
      <c r="R43" t="str">
        <f>IF(Orders[[#This Row],[CustomerAge]]&gt;=35, "Older", "Young")</f>
        <v>Young</v>
      </c>
      <c r="S43" t="str">
        <f>_xlfn.XLOOKUP(Orders[[#This Row],[ProductID]],Products[ProductID],Products[ProductName])</f>
        <v>Tennis Bat</v>
      </c>
      <c r="T43" t="str">
        <f>_xlfn.XLOOKUP(Orders[[#This Row],[ProductID]],Products[ProductID],Products[Category])</f>
        <v>Sports</v>
      </c>
    </row>
    <row r="44" spans="1:20" x14ac:dyDescent="0.25">
      <c r="A44" s="4" t="s">
        <v>104</v>
      </c>
      <c r="B44" s="5">
        <v>46020</v>
      </c>
      <c r="C44" s="15">
        <f>WEEKNUM(Orders[[#This Row],[OrderDate]])</f>
        <v>53</v>
      </c>
      <c r="D44" s="15" t="str">
        <f>TEXT(Orders[[#This Row],[OrderDate]],"mmmm")</f>
        <v>December</v>
      </c>
      <c r="E44" s="4" t="s">
        <v>105</v>
      </c>
      <c r="F44" s="4" t="s">
        <v>15</v>
      </c>
      <c r="G44" s="4">
        <v>6</v>
      </c>
      <c r="H44" s="12">
        <v>9235.2000000000007</v>
      </c>
      <c r="I44" s="13">
        <v>7849.920000000001</v>
      </c>
      <c r="J44" s="13">
        <f>Orders[[#This Row],[Quantity]]*Orders[[#This Row],[Selling Price]]</f>
        <v>55411.200000000004</v>
      </c>
      <c r="K44" s="13">
        <f>Orders[[#This Row],[Quantity]]*Orders[[#This Row],[Cost Price]]</f>
        <v>47099.520000000004</v>
      </c>
      <c r="L44" s="13">
        <f>Orders[[#This Row],[Revenue]]-Orders[[#This Row],[Expenses]]</f>
        <v>8311.68</v>
      </c>
      <c r="M44" t="s">
        <v>2199</v>
      </c>
      <c r="N44" t="str">
        <f>_xlfn.XLOOKUP(Orders[[#This Row],[CustomerID]],Customers[CustomerID],Customers[CustomerName])</f>
        <v>Folasade Adeyemi</v>
      </c>
      <c r="O44" t="str">
        <f>_xlfn.XLOOKUP(Orders[[#This Row],[CustomerID]],Customers[CustomerID],Customers[City])</f>
        <v>Georgia</v>
      </c>
      <c r="P44" t="str">
        <f>_xlfn.XLOOKUP(Orders[[#This Row],[CustomerID]],Customers[CustomerID],Customers[Gender])</f>
        <v>Female</v>
      </c>
      <c r="Q44">
        <f>_xlfn.XLOOKUP(Orders[[#This Row],[CustomerID]],Customers[CustomerID],Customers[CustomerAge])</f>
        <v>42</v>
      </c>
      <c r="R44" t="str">
        <f>IF(Orders[[#This Row],[CustomerAge]]&gt;=35, "Older", "Young")</f>
        <v>Older</v>
      </c>
      <c r="S44" t="str">
        <f>_xlfn.XLOOKUP(Orders[[#This Row],[ProductID]],Products[ProductID],Products[ProductName])</f>
        <v>Monopoly</v>
      </c>
      <c r="T44" t="str">
        <f>_xlfn.XLOOKUP(Orders[[#This Row],[ProductID]],Products[ProductID],Products[Category])</f>
        <v>Games</v>
      </c>
    </row>
    <row r="45" spans="1:20" x14ac:dyDescent="0.25">
      <c r="A45" s="4" t="s">
        <v>106</v>
      </c>
      <c r="B45" s="5">
        <v>45951</v>
      </c>
      <c r="C45" s="15">
        <f>WEEKNUM(Orders[[#This Row],[OrderDate]])</f>
        <v>43</v>
      </c>
      <c r="D45" s="15" t="str">
        <f>TEXT(Orders[[#This Row],[OrderDate]],"mmmm")</f>
        <v>October</v>
      </c>
      <c r="E45" s="4" t="s">
        <v>107</v>
      </c>
      <c r="F45" s="4" t="s">
        <v>53</v>
      </c>
      <c r="G45" s="4">
        <v>10</v>
      </c>
      <c r="H45" s="12">
        <v>19062</v>
      </c>
      <c r="I45" s="13">
        <v>16202.7</v>
      </c>
      <c r="J45" s="13">
        <f>Orders[[#This Row],[Quantity]]*Orders[[#This Row],[Selling Price]]</f>
        <v>190620</v>
      </c>
      <c r="K45" s="13">
        <f>Orders[[#This Row],[Quantity]]*Orders[[#This Row],[Cost Price]]</f>
        <v>162027</v>
      </c>
      <c r="L45" s="13">
        <f>Orders[[#This Row],[Revenue]]-Orders[[#This Row],[Expenses]]</f>
        <v>28593</v>
      </c>
      <c r="M45" t="s">
        <v>2212</v>
      </c>
      <c r="N45" t="str">
        <f>_xlfn.XLOOKUP(Orders[[#This Row],[CustomerID]],Customers[CustomerID],Customers[CustomerName])</f>
        <v>Blessing Eze</v>
      </c>
      <c r="O45" t="str">
        <f>_xlfn.XLOOKUP(Orders[[#This Row],[CustomerID]],Customers[CustomerID],Customers[City])</f>
        <v>Texas</v>
      </c>
      <c r="P45" t="str">
        <f>_xlfn.XLOOKUP(Orders[[#This Row],[CustomerID]],Customers[CustomerID],Customers[Gender])</f>
        <v>Female</v>
      </c>
      <c r="Q45">
        <f>_xlfn.XLOOKUP(Orders[[#This Row],[CustomerID]],Customers[CustomerID],Customers[CustomerAge])</f>
        <v>44</v>
      </c>
      <c r="R45" t="str">
        <f>IF(Orders[[#This Row],[CustomerAge]]&gt;=35, "Older", "Young")</f>
        <v>Older</v>
      </c>
      <c r="S45" t="str">
        <f>_xlfn.XLOOKUP(Orders[[#This Row],[ProductID]],Products[ProductID],Products[ProductName])</f>
        <v>Silver Bangles</v>
      </c>
      <c r="T45" t="str">
        <f>_xlfn.XLOOKUP(Orders[[#This Row],[ProductID]],Products[ProductID],Products[Category])</f>
        <v>Accessories</v>
      </c>
    </row>
    <row r="46" spans="1:20" x14ac:dyDescent="0.25">
      <c r="A46" s="4" t="s">
        <v>108</v>
      </c>
      <c r="B46" s="5">
        <v>45961</v>
      </c>
      <c r="C46" s="15">
        <f>WEEKNUM(Orders[[#This Row],[OrderDate]])</f>
        <v>44</v>
      </c>
      <c r="D46" s="15" t="str">
        <f>TEXT(Orders[[#This Row],[OrderDate]],"mmmm")</f>
        <v>October</v>
      </c>
      <c r="E46" s="4" t="s">
        <v>103</v>
      </c>
      <c r="F46" s="4" t="s">
        <v>57</v>
      </c>
      <c r="G46" s="4">
        <v>9</v>
      </c>
      <c r="H46" s="12">
        <v>11068</v>
      </c>
      <c r="I46" s="13">
        <v>9407.7999999999993</v>
      </c>
      <c r="J46" s="13">
        <f>Orders[[#This Row],[Quantity]]*Orders[[#This Row],[Selling Price]]</f>
        <v>99612</v>
      </c>
      <c r="K46" s="13">
        <f>Orders[[#This Row],[Quantity]]*Orders[[#This Row],[Cost Price]]</f>
        <v>84670.2</v>
      </c>
      <c r="L46" s="13">
        <f>Orders[[#This Row],[Revenue]]-Orders[[#This Row],[Expenses]]</f>
        <v>14941.800000000003</v>
      </c>
      <c r="M46" t="s">
        <v>2192</v>
      </c>
      <c r="N46" t="str">
        <f>_xlfn.XLOOKUP(Orders[[#This Row],[CustomerID]],Customers[CustomerID],Customers[CustomerName])</f>
        <v>Chioma Adeyemi</v>
      </c>
      <c r="O46" t="str">
        <f>_xlfn.XLOOKUP(Orders[[#This Row],[CustomerID]],Customers[CustomerID],Customers[City])</f>
        <v>Georgia</v>
      </c>
      <c r="P46" t="str">
        <f>_xlfn.XLOOKUP(Orders[[#This Row],[CustomerID]],Customers[CustomerID],Customers[Gender])</f>
        <v>Female</v>
      </c>
      <c r="Q46">
        <f>_xlfn.XLOOKUP(Orders[[#This Row],[CustomerID]],Customers[CustomerID],Customers[CustomerAge])</f>
        <v>31</v>
      </c>
      <c r="R46" t="str">
        <f>IF(Orders[[#This Row],[CustomerAge]]&gt;=35, "Older", "Young")</f>
        <v>Young</v>
      </c>
      <c r="S46" t="str">
        <f>_xlfn.XLOOKUP(Orders[[#This Row],[ProductID]],Products[ProductID],Products[ProductName])</f>
        <v>Badminton Racket</v>
      </c>
      <c r="T46" t="str">
        <f>_xlfn.XLOOKUP(Orders[[#This Row],[ProductID]],Products[ProductID],Products[Category])</f>
        <v>Sports</v>
      </c>
    </row>
    <row r="47" spans="1:20" x14ac:dyDescent="0.25">
      <c r="A47" s="4" t="s">
        <v>109</v>
      </c>
      <c r="B47" s="5">
        <v>45934</v>
      </c>
      <c r="C47" s="15">
        <f>WEEKNUM(Orders[[#This Row],[OrderDate]])</f>
        <v>40</v>
      </c>
      <c r="D47" s="15" t="str">
        <f>TEXT(Orders[[#This Row],[OrderDate]],"mmmm")</f>
        <v>October</v>
      </c>
      <c r="E47" s="4" t="s">
        <v>110</v>
      </c>
      <c r="F47" s="4" t="s">
        <v>111</v>
      </c>
      <c r="G47" s="4">
        <v>8</v>
      </c>
      <c r="H47" s="12">
        <v>13635.5</v>
      </c>
      <c r="I47" s="13">
        <v>11590.174999999999</v>
      </c>
      <c r="J47" s="13">
        <f>Orders[[#This Row],[Quantity]]*Orders[[#This Row],[Selling Price]]</f>
        <v>109084</v>
      </c>
      <c r="K47" s="13">
        <f>Orders[[#This Row],[Quantity]]*Orders[[#This Row],[Cost Price]]</f>
        <v>92721.4</v>
      </c>
      <c r="L47" s="13">
        <f>Orders[[#This Row],[Revenue]]-Orders[[#This Row],[Expenses]]</f>
        <v>16362.600000000006</v>
      </c>
      <c r="M47" t="s">
        <v>2213</v>
      </c>
      <c r="N47" t="str">
        <f>_xlfn.XLOOKUP(Orders[[#This Row],[CustomerID]],Customers[CustomerID],Customers[CustomerName])</f>
        <v>Ngozi Danladi</v>
      </c>
      <c r="O47" t="str">
        <f>_xlfn.XLOOKUP(Orders[[#This Row],[CustomerID]],Customers[CustomerID],Customers[City])</f>
        <v>Washington</v>
      </c>
      <c r="P47" t="str">
        <f>_xlfn.XLOOKUP(Orders[[#This Row],[CustomerID]],Customers[CustomerID],Customers[Gender])</f>
        <v>Female</v>
      </c>
      <c r="Q47">
        <f>_xlfn.XLOOKUP(Orders[[#This Row],[CustomerID]],Customers[CustomerID],Customers[CustomerAge])</f>
        <v>28</v>
      </c>
      <c r="R47" t="str">
        <f>IF(Orders[[#This Row],[CustomerAge]]&gt;=35, "Older", "Young")</f>
        <v>Young</v>
      </c>
      <c r="S47" t="str">
        <f>_xlfn.XLOOKUP(Orders[[#This Row],[ProductID]],Products[ProductID],Products[ProductName])</f>
        <v>Refrigerator</v>
      </c>
      <c r="T47" t="str">
        <f>_xlfn.XLOOKUP(Orders[[#This Row],[ProductID]],Products[ProductID],Products[Category])</f>
        <v>Electronics</v>
      </c>
    </row>
    <row r="48" spans="1:20" x14ac:dyDescent="0.25">
      <c r="A48" s="4" t="s">
        <v>112</v>
      </c>
      <c r="B48" s="5">
        <v>45991</v>
      </c>
      <c r="C48" s="15">
        <f>WEEKNUM(Orders[[#This Row],[OrderDate]])</f>
        <v>49</v>
      </c>
      <c r="D48" s="15" t="str">
        <f>TEXT(Orders[[#This Row],[OrderDate]],"mmmm")</f>
        <v>November</v>
      </c>
      <c r="E48" s="4" t="s">
        <v>113</v>
      </c>
      <c r="F48" s="4" t="s">
        <v>15</v>
      </c>
      <c r="G48" s="4">
        <v>4</v>
      </c>
      <c r="H48" s="12">
        <v>11301.7</v>
      </c>
      <c r="I48" s="13">
        <v>9606.4449999999997</v>
      </c>
      <c r="J48" s="13">
        <f>Orders[[#This Row],[Quantity]]*Orders[[#This Row],[Selling Price]]</f>
        <v>45206.8</v>
      </c>
      <c r="K48" s="13">
        <f>Orders[[#This Row],[Quantity]]*Orders[[#This Row],[Cost Price]]</f>
        <v>38425.78</v>
      </c>
      <c r="L48" s="13">
        <f>Orders[[#This Row],[Revenue]]-Orders[[#This Row],[Expenses]]</f>
        <v>6781.0200000000041</v>
      </c>
      <c r="M48" t="s">
        <v>2193</v>
      </c>
      <c r="N48" t="str">
        <f>_xlfn.XLOOKUP(Orders[[#This Row],[CustomerID]],Customers[CustomerID],Customers[CustomerName])</f>
        <v>Uche Igwe</v>
      </c>
      <c r="O48" t="str">
        <f>_xlfn.XLOOKUP(Orders[[#This Row],[CustomerID]],Customers[CustomerID],Customers[City])</f>
        <v>Texas</v>
      </c>
      <c r="P48" t="str">
        <f>_xlfn.XLOOKUP(Orders[[#This Row],[CustomerID]],Customers[CustomerID],Customers[Gender])</f>
        <v>Male</v>
      </c>
      <c r="Q48">
        <f>_xlfn.XLOOKUP(Orders[[#This Row],[CustomerID]],Customers[CustomerID],Customers[CustomerAge])</f>
        <v>35</v>
      </c>
      <c r="R48" t="str">
        <f>IF(Orders[[#This Row],[CustomerAge]]&gt;=35, "Older", "Young")</f>
        <v>Older</v>
      </c>
      <c r="S48" t="str">
        <f>_xlfn.XLOOKUP(Orders[[#This Row],[ProductID]],Products[ProductID],Products[ProductName])</f>
        <v>Monopoly</v>
      </c>
      <c r="T48" t="str">
        <f>_xlfn.XLOOKUP(Orders[[#This Row],[ProductID]],Products[ProductID],Products[Category])</f>
        <v>Games</v>
      </c>
    </row>
    <row r="49" spans="1:20" x14ac:dyDescent="0.25">
      <c r="A49" s="4" t="s">
        <v>114</v>
      </c>
      <c r="B49" s="5">
        <v>45972</v>
      </c>
      <c r="C49" s="15">
        <f>WEEKNUM(Orders[[#This Row],[OrderDate]])</f>
        <v>46</v>
      </c>
      <c r="D49" s="15" t="str">
        <f>TEXT(Orders[[#This Row],[OrderDate]],"mmmm")</f>
        <v>November</v>
      </c>
      <c r="E49" s="4" t="s">
        <v>62</v>
      </c>
      <c r="F49" s="4" t="s">
        <v>23</v>
      </c>
      <c r="G49" s="4">
        <v>8</v>
      </c>
      <c r="H49" s="12">
        <v>4653.3999999999996</v>
      </c>
      <c r="I49" s="13">
        <v>3955.39</v>
      </c>
      <c r="J49" s="13">
        <f>Orders[[#This Row],[Quantity]]*Orders[[#This Row],[Selling Price]]</f>
        <v>37227.199999999997</v>
      </c>
      <c r="K49" s="13">
        <f>Orders[[#This Row],[Quantity]]*Orders[[#This Row],[Cost Price]]</f>
        <v>31643.119999999999</v>
      </c>
      <c r="L49" s="13">
        <f>Orders[[#This Row],[Revenue]]-Orders[[#This Row],[Expenses]]</f>
        <v>5584.0799999999981</v>
      </c>
      <c r="M49" t="s">
        <v>2192</v>
      </c>
      <c r="N49" t="str">
        <f>_xlfn.XLOOKUP(Orders[[#This Row],[CustomerID]],Customers[CustomerID],Customers[CustomerName])</f>
        <v>Ronke Okonkwo</v>
      </c>
      <c r="O49" t="str">
        <f>_xlfn.XLOOKUP(Orders[[#This Row],[CustomerID]],Customers[CustomerID],Customers[City])</f>
        <v>Texas</v>
      </c>
      <c r="P49" t="str">
        <f>_xlfn.XLOOKUP(Orders[[#This Row],[CustomerID]],Customers[CustomerID],Customers[Gender])</f>
        <v>Female</v>
      </c>
      <c r="Q49">
        <f>_xlfn.XLOOKUP(Orders[[#This Row],[CustomerID]],Customers[CustomerID],Customers[CustomerAge])</f>
        <v>36</v>
      </c>
      <c r="R49" t="str">
        <f>IF(Orders[[#This Row],[CustomerAge]]&gt;=35, "Older", "Young")</f>
        <v>Older</v>
      </c>
      <c r="S49" t="str">
        <f>_xlfn.XLOOKUP(Orders[[#This Row],[ProductID]],Products[ProductID],Products[ProductName])</f>
        <v>Gym Gloves</v>
      </c>
      <c r="T49" t="str">
        <f>_xlfn.XLOOKUP(Orders[[#This Row],[ProductID]],Products[ProductID],Products[Category])</f>
        <v>Gym</v>
      </c>
    </row>
    <row r="50" spans="1:20" x14ac:dyDescent="0.25">
      <c r="A50" s="4" t="s">
        <v>115</v>
      </c>
      <c r="B50" s="5">
        <v>45938</v>
      </c>
      <c r="C50" s="15">
        <f>WEEKNUM(Orders[[#This Row],[OrderDate]])</f>
        <v>41</v>
      </c>
      <c r="D50" s="15" t="str">
        <f>TEXT(Orders[[#This Row],[OrderDate]],"mmmm")</f>
        <v>October</v>
      </c>
      <c r="E50" s="4" t="s">
        <v>116</v>
      </c>
      <c r="F50" s="4" t="s">
        <v>20</v>
      </c>
      <c r="G50" s="4">
        <v>1</v>
      </c>
      <c r="H50" s="12">
        <v>9086.6</v>
      </c>
      <c r="I50" s="13">
        <v>7723.6100000000006</v>
      </c>
      <c r="J50" s="13">
        <f>Orders[[#This Row],[Quantity]]*Orders[[#This Row],[Selling Price]]</f>
        <v>9086.6</v>
      </c>
      <c r="K50" s="13">
        <f>Orders[[#This Row],[Quantity]]*Orders[[#This Row],[Cost Price]]</f>
        <v>7723.6100000000006</v>
      </c>
      <c r="L50" s="13">
        <f>Orders[[#This Row],[Revenue]]-Orders[[#This Row],[Expenses]]</f>
        <v>1362.9899999999998</v>
      </c>
      <c r="M50" t="s">
        <v>2197</v>
      </c>
      <c r="N50" t="str">
        <f>_xlfn.XLOOKUP(Orders[[#This Row],[CustomerID]],Customers[CustomerID],Customers[CustomerName])</f>
        <v>Uche Bello</v>
      </c>
      <c r="O50" t="str">
        <f>_xlfn.XLOOKUP(Orders[[#This Row],[CustomerID]],Customers[CustomerID],Customers[City])</f>
        <v>Texas</v>
      </c>
      <c r="P50" t="str">
        <f>_xlfn.XLOOKUP(Orders[[#This Row],[CustomerID]],Customers[CustomerID],Customers[Gender])</f>
        <v>Male</v>
      </c>
      <c r="Q50">
        <f>_xlfn.XLOOKUP(Orders[[#This Row],[CustomerID]],Customers[CustomerID],Customers[CustomerAge])</f>
        <v>21</v>
      </c>
      <c r="R50" t="str">
        <f>IF(Orders[[#This Row],[CustomerAge]]&gt;=35, "Older", "Young")</f>
        <v>Young</v>
      </c>
      <c r="S50" t="str">
        <f>_xlfn.XLOOKUP(Orders[[#This Row],[ProductID]],Products[ProductID],Products[ProductName])</f>
        <v>Gym Bag</v>
      </c>
      <c r="T50" t="str">
        <f>_xlfn.XLOOKUP(Orders[[#This Row],[ProductID]],Products[ProductID],Products[Category])</f>
        <v>Gym</v>
      </c>
    </row>
    <row r="51" spans="1:20" x14ac:dyDescent="0.25">
      <c r="A51" s="4" t="s">
        <v>117</v>
      </c>
      <c r="B51" s="5">
        <v>45983</v>
      </c>
      <c r="C51" s="15">
        <f>WEEKNUM(Orders[[#This Row],[OrderDate]])</f>
        <v>47</v>
      </c>
      <c r="D51" s="15" t="str">
        <f>TEXT(Orders[[#This Row],[OrderDate]],"mmmm")</f>
        <v>November</v>
      </c>
      <c r="E51" s="4" t="s">
        <v>118</v>
      </c>
      <c r="F51" s="4" t="s">
        <v>81</v>
      </c>
      <c r="G51" s="4">
        <v>7</v>
      </c>
      <c r="H51" s="12">
        <v>17644.3</v>
      </c>
      <c r="I51" s="13">
        <v>14997.654999999999</v>
      </c>
      <c r="J51" s="13">
        <f>Orders[[#This Row],[Quantity]]*Orders[[#This Row],[Selling Price]]</f>
        <v>123510.09999999999</v>
      </c>
      <c r="K51" s="13">
        <f>Orders[[#This Row],[Quantity]]*Orders[[#This Row],[Cost Price]]</f>
        <v>104983.58499999999</v>
      </c>
      <c r="L51" s="13">
        <f>Orders[[#This Row],[Revenue]]-Orders[[#This Row],[Expenses]]</f>
        <v>18526.514999999999</v>
      </c>
      <c r="M51" t="s">
        <v>2195</v>
      </c>
      <c r="N51" t="str">
        <f>_xlfn.XLOOKUP(Orders[[#This Row],[CustomerID]],Customers[CustomerID],Customers[CustomerName])</f>
        <v>Ibrahim Balogun</v>
      </c>
      <c r="O51" t="str">
        <f>_xlfn.XLOOKUP(Orders[[#This Row],[CustomerID]],Customers[CustomerID],Customers[City])</f>
        <v>Georgia</v>
      </c>
      <c r="P51" t="str">
        <f>_xlfn.XLOOKUP(Orders[[#This Row],[CustomerID]],Customers[CustomerID],Customers[Gender])</f>
        <v>Male</v>
      </c>
      <c r="Q51">
        <f>_xlfn.XLOOKUP(Orders[[#This Row],[CustomerID]],Customers[CustomerID],Customers[CustomerAge])</f>
        <v>55</v>
      </c>
      <c r="R51" t="str">
        <f>IF(Orders[[#This Row],[CustomerAge]]&gt;=35, "Older", "Young")</f>
        <v>Older</v>
      </c>
      <c r="S51" t="str">
        <f>_xlfn.XLOOKUP(Orders[[#This Row],[ProductID]],Products[ProductID],Products[ProductName])</f>
        <v>Trousers</v>
      </c>
      <c r="T51" t="str">
        <f>_xlfn.XLOOKUP(Orders[[#This Row],[ProductID]],Products[ProductID],Products[Category])</f>
        <v>Clothing</v>
      </c>
    </row>
    <row r="52" spans="1:20" x14ac:dyDescent="0.25">
      <c r="A52" s="4" t="s">
        <v>119</v>
      </c>
      <c r="B52" s="5">
        <v>46003</v>
      </c>
      <c r="C52" s="15">
        <f>WEEKNUM(Orders[[#This Row],[OrderDate]])</f>
        <v>50</v>
      </c>
      <c r="D52" s="15" t="str">
        <f>TEXT(Orders[[#This Row],[OrderDate]],"mmmm")</f>
        <v>December</v>
      </c>
      <c r="E52" s="4" t="s">
        <v>103</v>
      </c>
      <c r="F52" s="4" t="s">
        <v>120</v>
      </c>
      <c r="G52" s="4">
        <v>9</v>
      </c>
      <c r="H52" s="12">
        <v>4622.7999999999993</v>
      </c>
      <c r="I52" s="13">
        <v>3929.3799999999992</v>
      </c>
      <c r="J52" s="13">
        <f>Orders[[#This Row],[Quantity]]*Orders[[#This Row],[Selling Price]]</f>
        <v>41605.199999999997</v>
      </c>
      <c r="K52" s="13">
        <f>Orders[[#This Row],[Quantity]]*Orders[[#This Row],[Cost Price]]</f>
        <v>35364.419999999991</v>
      </c>
      <c r="L52" s="13">
        <f>Orders[[#This Row],[Revenue]]-Orders[[#This Row],[Expenses]]</f>
        <v>6240.7800000000061</v>
      </c>
      <c r="M52" t="s">
        <v>2210</v>
      </c>
      <c r="N52" t="str">
        <f>_xlfn.XLOOKUP(Orders[[#This Row],[CustomerID]],Customers[CustomerID],Customers[CustomerName])</f>
        <v>Chioma Adeyemi</v>
      </c>
      <c r="O52" t="str">
        <f>_xlfn.XLOOKUP(Orders[[#This Row],[CustomerID]],Customers[CustomerID],Customers[City])</f>
        <v>Georgia</v>
      </c>
      <c r="P52" t="str">
        <f>_xlfn.XLOOKUP(Orders[[#This Row],[CustomerID]],Customers[CustomerID],Customers[Gender])</f>
        <v>Female</v>
      </c>
      <c r="Q52">
        <f>_xlfn.XLOOKUP(Orders[[#This Row],[CustomerID]],Customers[CustomerID],Customers[CustomerAge])</f>
        <v>31</v>
      </c>
      <c r="R52" t="str">
        <f>IF(Orders[[#This Row],[CustomerAge]]&gt;=35, "Older", "Young")</f>
        <v>Young</v>
      </c>
      <c r="S52" t="str">
        <f>_xlfn.XLOOKUP(Orders[[#This Row],[ProductID]],Products[ProductID],Products[ProductName])</f>
        <v>Chess</v>
      </c>
      <c r="T52" t="str">
        <f>_xlfn.XLOOKUP(Orders[[#This Row],[ProductID]],Products[ProductID],Products[Category])</f>
        <v>Games</v>
      </c>
    </row>
    <row r="53" spans="1:20" x14ac:dyDescent="0.25">
      <c r="A53" s="4" t="s">
        <v>121</v>
      </c>
      <c r="B53" s="5">
        <v>45975</v>
      </c>
      <c r="C53" s="15">
        <f>WEEKNUM(Orders[[#This Row],[OrderDate]])</f>
        <v>46</v>
      </c>
      <c r="D53" s="15" t="str">
        <f>TEXT(Orders[[#This Row],[OrderDate]],"mmmm")</f>
        <v>November</v>
      </c>
      <c r="E53" s="4" t="s">
        <v>122</v>
      </c>
      <c r="F53" s="4" t="s">
        <v>60</v>
      </c>
      <c r="G53" s="4">
        <v>1</v>
      </c>
      <c r="H53" s="12">
        <v>11910.3</v>
      </c>
      <c r="I53" s="13">
        <v>10123.754999999999</v>
      </c>
      <c r="J53" s="13">
        <f>Orders[[#This Row],[Quantity]]*Orders[[#This Row],[Selling Price]]</f>
        <v>11910.3</v>
      </c>
      <c r="K53" s="13">
        <f>Orders[[#This Row],[Quantity]]*Orders[[#This Row],[Cost Price]]</f>
        <v>10123.754999999999</v>
      </c>
      <c r="L53" s="13">
        <f>Orders[[#This Row],[Revenue]]-Orders[[#This Row],[Expenses]]</f>
        <v>1786.5450000000001</v>
      </c>
      <c r="M53" t="s">
        <v>2201</v>
      </c>
      <c r="N53" t="str">
        <f>_xlfn.XLOOKUP(Orders[[#This Row],[CustomerID]],Customers[CustomerID],Customers[CustomerName])</f>
        <v>Ibrahim Eze</v>
      </c>
      <c r="O53" t="str">
        <f>_xlfn.XLOOKUP(Orders[[#This Row],[CustomerID]],Customers[CustomerID],Customers[City])</f>
        <v>Texas</v>
      </c>
      <c r="P53" t="str">
        <f>_xlfn.XLOOKUP(Orders[[#This Row],[CustomerID]],Customers[CustomerID],Customers[Gender])</f>
        <v>Male</v>
      </c>
      <c r="Q53">
        <f>_xlfn.XLOOKUP(Orders[[#This Row],[CustomerID]],Customers[CustomerID],Customers[CustomerAge])</f>
        <v>52</v>
      </c>
      <c r="R53" t="str">
        <f>IF(Orders[[#This Row],[CustomerAge]]&gt;=35, "Older", "Young")</f>
        <v>Older</v>
      </c>
      <c r="S53" t="str">
        <f>_xlfn.XLOOKUP(Orders[[#This Row],[ProductID]],Products[ProductID],Products[ProductName])</f>
        <v>Silver Rings</v>
      </c>
      <c r="T53" t="str">
        <f>_xlfn.XLOOKUP(Orders[[#This Row],[ProductID]],Products[ProductID],Products[Category])</f>
        <v>Accessories</v>
      </c>
    </row>
    <row r="54" spans="1:20" x14ac:dyDescent="0.25">
      <c r="A54" s="4" t="s">
        <v>123</v>
      </c>
      <c r="B54" s="5">
        <v>45981</v>
      </c>
      <c r="C54" s="15">
        <f>WEEKNUM(Orders[[#This Row],[OrderDate]])</f>
        <v>47</v>
      </c>
      <c r="D54" s="15" t="str">
        <f>TEXT(Orders[[#This Row],[OrderDate]],"mmmm")</f>
        <v>November</v>
      </c>
      <c r="E54" s="4" t="s">
        <v>124</v>
      </c>
      <c r="F54" s="4" t="s">
        <v>125</v>
      </c>
      <c r="G54" s="4">
        <v>2</v>
      </c>
      <c r="H54" s="12">
        <v>2449.9</v>
      </c>
      <c r="I54" s="13">
        <v>2082.415</v>
      </c>
      <c r="J54" s="13">
        <f>Orders[[#This Row],[Quantity]]*Orders[[#This Row],[Selling Price]]</f>
        <v>4899.8</v>
      </c>
      <c r="K54" s="13">
        <f>Orders[[#This Row],[Quantity]]*Orders[[#This Row],[Cost Price]]</f>
        <v>4164.83</v>
      </c>
      <c r="L54" s="13">
        <f>Orders[[#This Row],[Revenue]]-Orders[[#This Row],[Expenses]]</f>
        <v>734.97000000000025</v>
      </c>
      <c r="M54" t="s">
        <v>2197</v>
      </c>
      <c r="N54" t="str">
        <f>_xlfn.XLOOKUP(Orders[[#This Row],[CustomerID]],Customers[CustomerID],Customers[CustomerName])</f>
        <v>Ngozi Ojo</v>
      </c>
      <c r="O54" t="str">
        <f>_xlfn.XLOOKUP(Orders[[#This Row],[CustomerID]],Customers[CustomerID],Customers[City])</f>
        <v>Texas</v>
      </c>
      <c r="P54" t="str">
        <f>_xlfn.XLOOKUP(Orders[[#This Row],[CustomerID]],Customers[CustomerID],Customers[Gender])</f>
        <v>Female</v>
      </c>
      <c r="Q54">
        <f>_xlfn.XLOOKUP(Orders[[#This Row],[CustomerID]],Customers[CustomerID],Customers[CustomerAge])</f>
        <v>22</v>
      </c>
      <c r="R54" t="str">
        <f>IF(Orders[[#This Row],[CustomerAge]]&gt;=35, "Older", "Young")</f>
        <v>Young</v>
      </c>
      <c r="S54" t="str">
        <f>_xlfn.XLOOKUP(Orders[[#This Row],[ProductID]],Products[ProductID],Products[ProductName])</f>
        <v>Earrings</v>
      </c>
      <c r="T54" t="str">
        <f>_xlfn.XLOOKUP(Orders[[#This Row],[ProductID]],Products[ProductID],Products[Category])</f>
        <v>Accessories</v>
      </c>
    </row>
    <row r="55" spans="1:20" x14ac:dyDescent="0.25">
      <c r="A55" s="4" t="s">
        <v>126</v>
      </c>
      <c r="B55" s="5">
        <v>45985</v>
      </c>
      <c r="C55" s="15">
        <f>WEEKNUM(Orders[[#This Row],[OrderDate]])</f>
        <v>48</v>
      </c>
      <c r="D55" s="15" t="str">
        <f>TEXT(Orders[[#This Row],[OrderDate]],"mmmm")</f>
        <v>November</v>
      </c>
      <c r="E55" s="4" t="s">
        <v>73</v>
      </c>
      <c r="F55" s="4" t="s">
        <v>127</v>
      </c>
      <c r="G55" s="4">
        <v>5</v>
      </c>
      <c r="H55" s="12">
        <v>18514.900000000001</v>
      </c>
      <c r="I55" s="13">
        <v>15737.665000000001</v>
      </c>
      <c r="J55" s="13">
        <f>Orders[[#This Row],[Quantity]]*Orders[[#This Row],[Selling Price]]</f>
        <v>92574.5</v>
      </c>
      <c r="K55" s="13">
        <f>Orders[[#This Row],[Quantity]]*Orders[[#This Row],[Cost Price]]</f>
        <v>78688.325000000012</v>
      </c>
      <c r="L55" s="13">
        <f>Orders[[#This Row],[Revenue]]-Orders[[#This Row],[Expenses]]</f>
        <v>13886.174999999988</v>
      </c>
      <c r="M55" t="s">
        <v>2210</v>
      </c>
      <c r="N55" t="str">
        <f>_xlfn.XLOOKUP(Orders[[#This Row],[CustomerID]],Customers[CustomerID],Customers[CustomerName])</f>
        <v>Ronke Okonkwo</v>
      </c>
      <c r="O55" t="str">
        <f>_xlfn.XLOOKUP(Orders[[#This Row],[CustomerID]],Customers[CustomerID],Customers[City])</f>
        <v>California</v>
      </c>
      <c r="P55" t="str">
        <f>_xlfn.XLOOKUP(Orders[[#This Row],[CustomerID]],Customers[CustomerID],Customers[Gender])</f>
        <v>Female</v>
      </c>
      <c r="Q55">
        <f>_xlfn.XLOOKUP(Orders[[#This Row],[CustomerID]],Customers[CustomerID],Customers[CustomerAge])</f>
        <v>20</v>
      </c>
      <c r="R55" t="str">
        <f>IF(Orders[[#This Row],[CustomerAge]]&gt;=35, "Older", "Young")</f>
        <v>Young</v>
      </c>
      <c r="S55" t="str">
        <f>_xlfn.XLOOKUP(Orders[[#This Row],[ProductID]],Products[ProductID],Products[ProductName])</f>
        <v>Tops</v>
      </c>
      <c r="T55" t="str">
        <f>_xlfn.XLOOKUP(Orders[[#This Row],[ProductID]],Products[ProductID],Products[Category])</f>
        <v>Clothing</v>
      </c>
    </row>
    <row r="56" spans="1:20" x14ac:dyDescent="0.25">
      <c r="A56" s="4" t="s">
        <v>128</v>
      </c>
      <c r="B56" s="5">
        <v>45963</v>
      </c>
      <c r="C56" s="15">
        <f>WEEKNUM(Orders[[#This Row],[OrderDate]])</f>
        <v>45</v>
      </c>
      <c r="D56" s="15" t="str">
        <f>TEXT(Orders[[#This Row],[OrderDate]],"mmmm")</f>
        <v>November</v>
      </c>
      <c r="E56" s="4" t="s">
        <v>129</v>
      </c>
      <c r="F56" s="4" t="s">
        <v>130</v>
      </c>
      <c r="G56" s="4">
        <v>3</v>
      </c>
      <c r="H56" s="12">
        <v>9261.5</v>
      </c>
      <c r="I56" s="13">
        <v>7872.2749999999996</v>
      </c>
      <c r="J56" s="13">
        <f>Orders[[#This Row],[Quantity]]*Orders[[#This Row],[Selling Price]]</f>
        <v>27784.5</v>
      </c>
      <c r="K56" s="13">
        <f>Orders[[#This Row],[Quantity]]*Orders[[#This Row],[Cost Price]]</f>
        <v>23616.824999999997</v>
      </c>
      <c r="L56" s="13">
        <f>Orders[[#This Row],[Revenue]]-Orders[[#This Row],[Expenses]]</f>
        <v>4167.6750000000029</v>
      </c>
      <c r="M56" t="s">
        <v>2216</v>
      </c>
      <c r="N56" t="str">
        <f>_xlfn.XLOOKUP(Orders[[#This Row],[CustomerID]],Customers[CustomerID],Customers[CustomerName])</f>
        <v>Chioma Ojo</v>
      </c>
      <c r="O56" t="str">
        <f>_xlfn.XLOOKUP(Orders[[#This Row],[CustomerID]],Customers[CustomerID],Customers[City])</f>
        <v>Washington</v>
      </c>
      <c r="P56" t="str">
        <f>_xlfn.XLOOKUP(Orders[[#This Row],[CustomerID]],Customers[CustomerID],Customers[Gender])</f>
        <v>Female</v>
      </c>
      <c r="Q56">
        <f>_xlfn.XLOOKUP(Orders[[#This Row],[CustomerID]],Customers[CustomerID],Customers[CustomerAge])</f>
        <v>46</v>
      </c>
      <c r="R56" t="str">
        <f>IF(Orders[[#This Row],[CustomerAge]]&gt;=35, "Older", "Young")</f>
        <v>Older</v>
      </c>
      <c r="S56" t="str">
        <f>_xlfn.XLOOKUP(Orders[[#This Row],[ProductID]],Products[ProductID],Products[ProductName])</f>
        <v>Gold Earrings And Necklaces</v>
      </c>
      <c r="T56" t="str">
        <f>_xlfn.XLOOKUP(Orders[[#This Row],[ProductID]],Products[ProductID],Products[Category])</f>
        <v>Accessories</v>
      </c>
    </row>
    <row r="57" spans="1:20" x14ac:dyDescent="0.25">
      <c r="A57" s="4" t="s">
        <v>131</v>
      </c>
      <c r="B57" s="5">
        <v>46010</v>
      </c>
      <c r="C57" s="15">
        <f>WEEKNUM(Orders[[#This Row],[OrderDate]])</f>
        <v>51</v>
      </c>
      <c r="D57" s="15" t="str">
        <f>TEXT(Orders[[#This Row],[OrderDate]],"mmmm")</f>
        <v>December</v>
      </c>
      <c r="E57" s="4" t="s">
        <v>132</v>
      </c>
      <c r="F57" s="4" t="s">
        <v>111</v>
      </c>
      <c r="G57" s="4">
        <v>1</v>
      </c>
      <c r="H57" s="12">
        <v>15730</v>
      </c>
      <c r="I57" s="13">
        <v>13370.5</v>
      </c>
      <c r="J57" s="13">
        <f>Orders[[#This Row],[Quantity]]*Orders[[#This Row],[Selling Price]]</f>
        <v>15730</v>
      </c>
      <c r="K57" s="13">
        <f>Orders[[#This Row],[Quantity]]*Orders[[#This Row],[Cost Price]]</f>
        <v>13370.5</v>
      </c>
      <c r="L57" s="13">
        <f>Orders[[#This Row],[Revenue]]-Orders[[#This Row],[Expenses]]</f>
        <v>2359.5</v>
      </c>
      <c r="M57" t="s">
        <v>2217</v>
      </c>
      <c r="N57" t="str">
        <f>_xlfn.XLOOKUP(Orders[[#This Row],[CustomerID]],Customers[CustomerID],Customers[CustomerName])</f>
        <v>Emeka Balogun</v>
      </c>
      <c r="O57" t="str">
        <f>_xlfn.XLOOKUP(Orders[[#This Row],[CustomerID]],Customers[CustomerID],Customers[City])</f>
        <v>Illinois</v>
      </c>
      <c r="P57" t="str">
        <f>_xlfn.XLOOKUP(Orders[[#This Row],[CustomerID]],Customers[CustomerID],Customers[Gender])</f>
        <v>Male</v>
      </c>
      <c r="Q57">
        <f>_xlfn.XLOOKUP(Orders[[#This Row],[CustomerID]],Customers[CustomerID],Customers[CustomerAge])</f>
        <v>36</v>
      </c>
      <c r="R57" t="str">
        <f>IF(Orders[[#This Row],[CustomerAge]]&gt;=35, "Older", "Young")</f>
        <v>Older</v>
      </c>
      <c r="S57" t="str">
        <f>_xlfn.XLOOKUP(Orders[[#This Row],[ProductID]],Products[ProductID],Products[ProductName])</f>
        <v>Refrigerator</v>
      </c>
      <c r="T57" t="str">
        <f>_xlfn.XLOOKUP(Orders[[#This Row],[ProductID]],Products[ProductID],Products[Category])</f>
        <v>Electronics</v>
      </c>
    </row>
    <row r="58" spans="1:20" x14ac:dyDescent="0.25">
      <c r="A58" s="4" t="s">
        <v>133</v>
      </c>
      <c r="B58" s="5">
        <v>45937</v>
      </c>
      <c r="C58" s="15">
        <f>WEEKNUM(Orders[[#This Row],[OrderDate]])</f>
        <v>41</v>
      </c>
      <c r="D58" s="15" t="str">
        <f>TEXT(Orders[[#This Row],[OrderDate]],"mmmm")</f>
        <v>October</v>
      </c>
      <c r="E58" s="4" t="s">
        <v>134</v>
      </c>
      <c r="F58" s="4" t="s">
        <v>111</v>
      </c>
      <c r="G58" s="4">
        <v>2</v>
      </c>
      <c r="H58" s="12">
        <v>16144.300000000001</v>
      </c>
      <c r="I58" s="13">
        <v>13722.655000000001</v>
      </c>
      <c r="J58" s="13">
        <f>Orders[[#This Row],[Quantity]]*Orders[[#This Row],[Selling Price]]</f>
        <v>32288.600000000002</v>
      </c>
      <c r="K58" s="13">
        <f>Orders[[#This Row],[Quantity]]*Orders[[#This Row],[Cost Price]]</f>
        <v>27445.31</v>
      </c>
      <c r="L58" s="13">
        <f>Orders[[#This Row],[Revenue]]-Orders[[#This Row],[Expenses]]</f>
        <v>4843.2900000000009</v>
      </c>
      <c r="M58" t="s">
        <v>2218</v>
      </c>
      <c r="N58" t="str">
        <f>_xlfn.XLOOKUP(Orders[[#This Row],[CustomerID]],Customers[CustomerID],Customers[CustomerName])</f>
        <v>Ngozi Ojo</v>
      </c>
      <c r="O58" t="str">
        <f>_xlfn.XLOOKUP(Orders[[#This Row],[CustomerID]],Customers[CustomerID],Customers[City])</f>
        <v>Florida</v>
      </c>
      <c r="P58" t="str">
        <f>_xlfn.XLOOKUP(Orders[[#This Row],[CustomerID]],Customers[CustomerID],Customers[Gender])</f>
        <v>Female</v>
      </c>
      <c r="Q58">
        <f>_xlfn.XLOOKUP(Orders[[#This Row],[CustomerID]],Customers[CustomerID],Customers[CustomerAge])</f>
        <v>18</v>
      </c>
      <c r="R58" t="str">
        <f>IF(Orders[[#This Row],[CustomerAge]]&gt;=35, "Older", "Young")</f>
        <v>Young</v>
      </c>
      <c r="S58" t="str">
        <f>_xlfn.XLOOKUP(Orders[[#This Row],[ProductID]],Products[ProductID],Products[ProductName])</f>
        <v>Refrigerator</v>
      </c>
      <c r="T58" t="str">
        <f>_xlfn.XLOOKUP(Orders[[#This Row],[ProductID]],Products[ProductID],Products[Category])</f>
        <v>Electronics</v>
      </c>
    </row>
    <row r="59" spans="1:20" x14ac:dyDescent="0.25">
      <c r="A59" s="4" t="s">
        <v>135</v>
      </c>
      <c r="B59" s="5">
        <v>45950</v>
      </c>
      <c r="C59" s="15">
        <f>WEEKNUM(Orders[[#This Row],[OrderDate]])</f>
        <v>43</v>
      </c>
      <c r="D59" s="15" t="str">
        <f>TEXT(Orders[[#This Row],[OrderDate]],"mmmm")</f>
        <v>October</v>
      </c>
      <c r="E59" s="4" t="s">
        <v>136</v>
      </c>
      <c r="F59" s="4" t="s">
        <v>111</v>
      </c>
      <c r="G59" s="4">
        <v>4</v>
      </c>
      <c r="H59" s="12">
        <v>18247.5</v>
      </c>
      <c r="I59" s="13">
        <v>15510.375</v>
      </c>
      <c r="J59" s="13">
        <f>Orders[[#This Row],[Quantity]]*Orders[[#This Row],[Selling Price]]</f>
        <v>72990</v>
      </c>
      <c r="K59" s="13">
        <f>Orders[[#This Row],[Quantity]]*Orders[[#This Row],[Cost Price]]</f>
        <v>62041.5</v>
      </c>
      <c r="L59" s="13">
        <f>Orders[[#This Row],[Revenue]]-Orders[[#This Row],[Expenses]]</f>
        <v>10948.5</v>
      </c>
      <c r="M59" t="s">
        <v>2202</v>
      </c>
      <c r="N59" t="str">
        <f>_xlfn.XLOOKUP(Orders[[#This Row],[CustomerID]],Customers[CustomerID],Customers[CustomerName])</f>
        <v>Chinedu Obi</v>
      </c>
      <c r="O59" t="str">
        <f>_xlfn.XLOOKUP(Orders[[#This Row],[CustomerID]],Customers[CustomerID],Customers[City])</f>
        <v>California</v>
      </c>
      <c r="P59" t="str">
        <f>_xlfn.XLOOKUP(Orders[[#This Row],[CustomerID]],Customers[CustomerID],Customers[Gender])</f>
        <v>Male</v>
      </c>
      <c r="Q59">
        <f>_xlfn.XLOOKUP(Orders[[#This Row],[CustomerID]],Customers[CustomerID],Customers[CustomerAge])</f>
        <v>27</v>
      </c>
      <c r="R59" t="str">
        <f>IF(Orders[[#This Row],[CustomerAge]]&gt;=35, "Older", "Young")</f>
        <v>Young</v>
      </c>
      <c r="S59" t="str">
        <f>_xlfn.XLOOKUP(Orders[[#This Row],[ProductID]],Products[ProductID],Products[ProductName])</f>
        <v>Refrigerator</v>
      </c>
      <c r="T59" t="str">
        <f>_xlfn.XLOOKUP(Orders[[#This Row],[ProductID]],Products[ProductID],Products[Category])</f>
        <v>Electronics</v>
      </c>
    </row>
    <row r="60" spans="1:20" x14ac:dyDescent="0.25">
      <c r="A60" s="4" t="s">
        <v>137</v>
      </c>
      <c r="B60" s="5">
        <v>46020</v>
      </c>
      <c r="C60" s="15">
        <f>WEEKNUM(Orders[[#This Row],[OrderDate]])</f>
        <v>53</v>
      </c>
      <c r="D60" s="15" t="str">
        <f>TEXT(Orders[[#This Row],[OrderDate]],"mmmm")</f>
        <v>December</v>
      </c>
      <c r="E60" s="4" t="s">
        <v>138</v>
      </c>
      <c r="F60" s="4" t="s">
        <v>53</v>
      </c>
      <c r="G60" s="4">
        <v>8</v>
      </c>
      <c r="H60" s="12">
        <v>6352.5</v>
      </c>
      <c r="I60" s="13">
        <v>5399.625</v>
      </c>
      <c r="J60" s="13">
        <f>Orders[[#This Row],[Quantity]]*Orders[[#This Row],[Selling Price]]</f>
        <v>50820</v>
      </c>
      <c r="K60" s="13">
        <f>Orders[[#This Row],[Quantity]]*Orders[[#This Row],[Cost Price]]</f>
        <v>43197</v>
      </c>
      <c r="L60" s="13">
        <f>Orders[[#This Row],[Revenue]]-Orders[[#This Row],[Expenses]]</f>
        <v>7623</v>
      </c>
      <c r="M60" t="s">
        <v>2199</v>
      </c>
      <c r="N60" t="str">
        <f>_xlfn.XLOOKUP(Orders[[#This Row],[CustomerID]],Customers[CustomerID],Customers[CustomerName])</f>
        <v>Efe Adeyemi</v>
      </c>
      <c r="O60" t="str">
        <f>_xlfn.XLOOKUP(Orders[[#This Row],[CustomerID]],Customers[CustomerID],Customers[City])</f>
        <v>Washington</v>
      </c>
      <c r="P60" t="str">
        <f>_xlfn.XLOOKUP(Orders[[#This Row],[CustomerID]],Customers[CustomerID],Customers[Gender])</f>
        <v>Female</v>
      </c>
      <c r="Q60">
        <f>_xlfn.XLOOKUP(Orders[[#This Row],[CustomerID]],Customers[CustomerID],Customers[CustomerAge])</f>
        <v>22</v>
      </c>
      <c r="R60" t="str">
        <f>IF(Orders[[#This Row],[CustomerAge]]&gt;=35, "Older", "Young")</f>
        <v>Young</v>
      </c>
      <c r="S60" t="str">
        <f>_xlfn.XLOOKUP(Orders[[#This Row],[ProductID]],Products[ProductID],Products[ProductName])</f>
        <v>Silver Bangles</v>
      </c>
      <c r="T60" t="str">
        <f>_xlfn.XLOOKUP(Orders[[#This Row],[ProductID]],Products[ProductID],Products[Category])</f>
        <v>Accessories</v>
      </c>
    </row>
    <row r="61" spans="1:20" x14ac:dyDescent="0.25">
      <c r="A61" s="4" t="s">
        <v>139</v>
      </c>
      <c r="B61" s="5">
        <v>46017</v>
      </c>
      <c r="C61" s="15">
        <f>WEEKNUM(Orders[[#This Row],[OrderDate]])</f>
        <v>52</v>
      </c>
      <c r="D61" s="15" t="str">
        <f>TEXT(Orders[[#This Row],[OrderDate]],"mmmm")</f>
        <v>December</v>
      </c>
      <c r="E61" s="4" t="s">
        <v>140</v>
      </c>
      <c r="F61" s="4" t="s">
        <v>81</v>
      </c>
      <c r="G61" s="4">
        <v>3</v>
      </c>
      <c r="H61" s="12">
        <v>7276</v>
      </c>
      <c r="I61" s="13">
        <v>6184.6</v>
      </c>
      <c r="J61" s="13">
        <f>Orders[[#This Row],[Quantity]]*Orders[[#This Row],[Selling Price]]</f>
        <v>21828</v>
      </c>
      <c r="K61" s="13">
        <f>Orders[[#This Row],[Quantity]]*Orders[[#This Row],[Cost Price]]</f>
        <v>18553.800000000003</v>
      </c>
      <c r="L61" s="13">
        <f>Orders[[#This Row],[Revenue]]-Orders[[#This Row],[Expenses]]</f>
        <v>3274.1999999999971</v>
      </c>
      <c r="M61" t="s">
        <v>2193</v>
      </c>
      <c r="N61" t="str">
        <f>_xlfn.XLOOKUP(Orders[[#This Row],[CustomerID]],Customers[CustomerID],Customers[CustomerName])</f>
        <v>Tunde Igwe</v>
      </c>
      <c r="O61" t="str">
        <f>_xlfn.XLOOKUP(Orders[[#This Row],[CustomerID]],Customers[CustomerID],Customers[City])</f>
        <v>Washington</v>
      </c>
      <c r="P61" t="str">
        <f>_xlfn.XLOOKUP(Orders[[#This Row],[CustomerID]],Customers[CustomerID],Customers[Gender])</f>
        <v>Male</v>
      </c>
      <c r="Q61">
        <f>_xlfn.XLOOKUP(Orders[[#This Row],[CustomerID]],Customers[CustomerID],Customers[CustomerAge])</f>
        <v>20</v>
      </c>
      <c r="R61" t="str">
        <f>IF(Orders[[#This Row],[CustomerAge]]&gt;=35, "Older", "Young")</f>
        <v>Young</v>
      </c>
      <c r="S61" t="str">
        <f>_xlfn.XLOOKUP(Orders[[#This Row],[ProductID]],Products[ProductID],Products[ProductName])</f>
        <v>Trousers</v>
      </c>
      <c r="T61" t="str">
        <f>_xlfn.XLOOKUP(Orders[[#This Row],[ProductID]],Products[ProductID],Products[Category])</f>
        <v>Clothing</v>
      </c>
    </row>
    <row r="62" spans="1:20" x14ac:dyDescent="0.25">
      <c r="A62" s="4" t="s">
        <v>141</v>
      </c>
      <c r="B62" s="5">
        <v>45933</v>
      </c>
      <c r="C62" s="15">
        <f>WEEKNUM(Orders[[#This Row],[OrderDate]])</f>
        <v>40</v>
      </c>
      <c r="D62" s="15" t="str">
        <f>TEXT(Orders[[#This Row],[OrderDate]],"mmmm")</f>
        <v>October</v>
      </c>
      <c r="E62" s="4" t="s">
        <v>142</v>
      </c>
      <c r="F62" s="4" t="s">
        <v>34</v>
      </c>
      <c r="G62" s="4">
        <v>10</v>
      </c>
      <c r="H62" s="12">
        <v>7656.2</v>
      </c>
      <c r="I62" s="13">
        <v>6507.77</v>
      </c>
      <c r="J62" s="13">
        <f>Orders[[#This Row],[Quantity]]*Orders[[#This Row],[Selling Price]]</f>
        <v>76562</v>
      </c>
      <c r="K62" s="13">
        <f>Orders[[#This Row],[Quantity]]*Orders[[#This Row],[Cost Price]]</f>
        <v>65077.700000000004</v>
      </c>
      <c r="L62" s="13">
        <f>Orders[[#This Row],[Revenue]]-Orders[[#This Row],[Expenses]]</f>
        <v>11484.299999999996</v>
      </c>
      <c r="M62" t="s">
        <v>2213</v>
      </c>
      <c r="N62" t="str">
        <f>_xlfn.XLOOKUP(Orders[[#This Row],[CustomerID]],Customers[CustomerID],Customers[CustomerName])</f>
        <v>Obi Adeyemi</v>
      </c>
      <c r="O62" t="str">
        <f>_xlfn.XLOOKUP(Orders[[#This Row],[CustomerID]],Customers[CustomerID],Customers[City])</f>
        <v>Florida</v>
      </c>
      <c r="P62" t="str">
        <f>_xlfn.XLOOKUP(Orders[[#This Row],[CustomerID]],Customers[CustomerID],Customers[Gender])</f>
        <v>Male</v>
      </c>
      <c r="Q62">
        <f>_xlfn.XLOOKUP(Orders[[#This Row],[CustomerID]],Customers[CustomerID],Customers[CustomerAge])</f>
        <v>31</v>
      </c>
      <c r="R62" t="str">
        <f>IF(Orders[[#This Row],[CustomerAge]]&gt;=35, "Older", "Young")</f>
        <v>Young</v>
      </c>
      <c r="S62" t="str">
        <f>_xlfn.XLOOKUP(Orders[[#This Row],[ProductID]],Products[ProductID],Products[ProductName])</f>
        <v>Gold Bracelets</v>
      </c>
      <c r="T62" t="str">
        <f>_xlfn.XLOOKUP(Orders[[#This Row],[ProductID]],Products[ProductID],Products[Category])</f>
        <v>Accessories</v>
      </c>
    </row>
    <row r="63" spans="1:20" x14ac:dyDescent="0.25">
      <c r="A63" s="4" t="s">
        <v>143</v>
      </c>
      <c r="B63" s="5">
        <v>45951</v>
      </c>
      <c r="C63" s="15">
        <f>WEEKNUM(Orders[[#This Row],[OrderDate]])</f>
        <v>43</v>
      </c>
      <c r="D63" s="15" t="str">
        <f>TEXT(Orders[[#This Row],[OrderDate]],"mmmm")</f>
        <v>October</v>
      </c>
      <c r="E63" s="4" t="s">
        <v>138</v>
      </c>
      <c r="F63" s="4" t="s">
        <v>111</v>
      </c>
      <c r="G63" s="4">
        <v>8</v>
      </c>
      <c r="H63" s="12">
        <v>5538.5</v>
      </c>
      <c r="I63" s="13">
        <v>4707.7250000000004</v>
      </c>
      <c r="J63" s="13">
        <f>Orders[[#This Row],[Quantity]]*Orders[[#This Row],[Selling Price]]</f>
        <v>44308</v>
      </c>
      <c r="K63" s="13">
        <f>Orders[[#This Row],[Quantity]]*Orders[[#This Row],[Cost Price]]</f>
        <v>37661.800000000003</v>
      </c>
      <c r="L63" s="13">
        <f>Orders[[#This Row],[Revenue]]-Orders[[#This Row],[Expenses]]</f>
        <v>6646.1999999999971</v>
      </c>
      <c r="M63" t="s">
        <v>2202</v>
      </c>
      <c r="N63" t="str">
        <f>_xlfn.XLOOKUP(Orders[[#This Row],[CustomerID]],Customers[CustomerID],Customers[CustomerName])</f>
        <v>Efe Adeyemi</v>
      </c>
      <c r="O63" t="str">
        <f>_xlfn.XLOOKUP(Orders[[#This Row],[CustomerID]],Customers[CustomerID],Customers[City])</f>
        <v>Washington</v>
      </c>
      <c r="P63" t="str">
        <f>_xlfn.XLOOKUP(Orders[[#This Row],[CustomerID]],Customers[CustomerID],Customers[Gender])</f>
        <v>Female</v>
      </c>
      <c r="Q63">
        <f>_xlfn.XLOOKUP(Orders[[#This Row],[CustomerID]],Customers[CustomerID],Customers[CustomerAge])</f>
        <v>22</v>
      </c>
      <c r="R63" t="str">
        <f>IF(Orders[[#This Row],[CustomerAge]]&gt;=35, "Older", "Young")</f>
        <v>Young</v>
      </c>
      <c r="S63" t="str">
        <f>_xlfn.XLOOKUP(Orders[[#This Row],[ProductID]],Products[ProductID],Products[ProductName])</f>
        <v>Refrigerator</v>
      </c>
      <c r="T63" t="str">
        <f>_xlfn.XLOOKUP(Orders[[#This Row],[ProductID]],Products[ProductID],Products[Category])</f>
        <v>Electronics</v>
      </c>
    </row>
    <row r="64" spans="1:20" x14ac:dyDescent="0.25">
      <c r="A64" s="4" t="s">
        <v>144</v>
      </c>
      <c r="B64" s="5">
        <v>45952</v>
      </c>
      <c r="C64" s="15">
        <f>WEEKNUM(Orders[[#This Row],[OrderDate]])</f>
        <v>43</v>
      </c>
      <c r="D64" s="15" t="str">
        <f>TEXT(Orders[[#This Row],[OrderDate]],"mmmm")</f>
        <v>October</v>
      </c>
      <c r="E64" s="4" t="s">
        <v>41</v>
      </c>
      <c r="F64" s="4" t="s">
        <v>57</v>
      </c>
      <c r="G64" s="4">
        <v>7</v>
      </c>
      <c r="H64" s="12">
        <v>16165.2</v>
      </c>
      <c r="I64" s="13">
        <v>13740.42</v>
      </c>
      <c r="J64" s="13">
        <f>Orders[[#This Row],[Quantity]]*Orders[[#This Row],[Selling Price]]</f>
        <v>113156.40000000001</v>
      </c>
      <c r="K64" s="13">
        <f>Orders[[#This Row],[Quantity]]*Orders[[#This Row],[Cost Price]]</f>
        <v>96182.94</v>
      </c>
      <c r="L64" s="13">
        <f>Orders[[#This Row],[Revenue]]-Orders[[#This Row],[Expenses]]</f>
        <v>16973.460000000006</v>
      </c>
      <c r="M64" t="s">
        <v>2205</v>
      </c>
      <c r="N64" t="str">
        <f>_xlfn.XLOOKUP(Orders[[#This Row],[CustomerID]],Customers[CustomerID],Customers[CustomerName])</f>
        <v>Mustafa Balogun</v>
      </c>
      <c r="O64" t="str">
        <f>_xlfn.XLOOKUP(Orders[[#This Row],[CustomerID]],Customers[CustomerID],Customers[City])</f>
        <v>Texas</v>
      </c>
      <c r="P64" t="str">
        <f>_xlfn.XLOOKUP(Orders[[#This Row],[CustomerID]],Customers[CustomerID],Customers[Gender])</f>
        <v>Male</v>
      </c>
      <c r="Q64">
        <f>_xlfn.XLOOKUP(Orders[[#This Row],[CustomerID]],Customers[CustomerID],Customers[CustomerAge])</f>
        <v>40</v>
      </c>
      <c r="R64" t="str">
        <f>IF(Orders[[#This Row],[CustomerAge]]&gt;=35, "Older", "Young")</f>
        <v>Older</v>
      </c>
      <c r="S64" t="str">
        <f>_xlfn.XLOOKUP(Orders[[#This Row],[ProductID]],Products[ProductID],Products[ProductName])</f>
        <v>Badminton Racket</v>
      </c>
      <c r="T64" t="str">
        <f>_xlfn.XLOOKUP(Orders[[#This Row],[ProductID]],Products[ProductID],Products[Category])</f>
        <v>Sports</v>
      </c>
    </row>
    <row r="65" spans="1:20" x14ac:dyDescent="0.25">
      <c r="A65" s="4" t="s">
        <v>145</v>
      </c>
      <c r="B65" s="5">
        <v>46005</v>
      </c>
      <c r="C65" s="15">
        <f>WEEKNUM(Orders[[#This Row],[OrderDate]])</f>
        <v>51</v>
      </c>
      <c r="D65" s="15" t="str">
        <f>TEXT(Orders[[#This Row],[OrderDate]],"mmmm")</f>
        <v>December</v>
      </c>
      <c r="E65" s="4" t="s">
        <v>146</v>
      </c>
      <c r="F65" s="4" t="s">
        <v>63</v>
      </c>
      <c r="G65" s="4">
        <v>10</v>
      </c>
      <c r="H65" s="12">
        <v>13556.099999999999</v>
      </c>
      <c r="I65" s="13">
        <v>11522.684999999999</v>
      </c>
      <c r="J65" s="13">
        <f>Orders[[#This Row],[Quantity]]*Orders[[#This Row],[Selling Price]]</f>
        <v>135561</v>
      </c>
      <c r="K65" s="13">
        <f>Orders[[#This Row],[Quantity]]*Orders[[#This Row],[Cost Price]]</f>
        <v>115226.84999999999</v>
      </c>
      <c r="L65" s="13">
        <f>Orders[[#This Row],[Revenue]]-Orders[[#This Row],[Expenses]]</f>
        <v>20334.150000000009</v>
      </c>
      <c r="M65" t="s">
        <v>2198</v>
      </c>
      <c r="N65" t="str">
        <f>_xlfn.XLOOKUP(Orders[[#This Row],[CustomerID]],Customers[CustomerID],Customers[CustomerName])</f>
        <v>Mustafa Igwe</v>
      </c>
      <c r="O65" t="str">
        <f>_xlfn.XLOOKUP(Orders[[#This Row],[CustomerID]],Customers[CustomerID],Customers[City])</f>
        <v>Texas</v>
      </c>
      <c r="P65" t="str">
        <f>_xlfn.XLOOKUP(Orders[[#This Row],[CustomerID]],Customers[CustomerID],Customers[Gender])</f>
        <v>Male</v>
      </c>
      <c r="Q65">
        <f>_xlfn.XLOOKUP(Orders[[#This Row],[CustomerID]],Customers[CustomerID],Customers[CustomerAge])</f>
        <v>27</v>
      </c>
      <c r="R65" t="str">
        <f>IF(Orders[[#This Row],[CustomerAge]]&gt;=35, "Older", "Young")</f>
        <v>Young</v>
      </c>
      <c r="S65" t="str">
        <f>_xlfn.XLOOKUP(Orders[[#This Row],[ProductID]],Products[ProductID],Products[ProductName])</f>
        <v>Tennis Bat</v>
      </c>
      <c r="T65" t="str">
        <f>_xlfn.XLOOKUP(Orders[[#This Row],[ProductID]],Products[ProductID],Products[Category])</f>
        <v>Sports</v>
      </c>
    </row>
    <row r="66" spans="1:20" x14ac:dyDescent="0.25">
      <c r="A66" s="4" t="s">
        <v>147</v>
      </c>
      <c r="B66" s="5">
        <v>46008</v>
      </c>
      <c r="C66" s="15">
        <f>WEEKNUM(Orders[[#This Row],[OrderDate]])</f>
        <v>51</v>
      </c>
      <c r="D66" s="15" t="str">
        <f>TEXT(Orders[[#This Row],[OrderDate]],"mmmm")</f>
        <v>December</v>
      </c>
      <c r="E66" s="4" t="s">
        <v>148</v>
      </c>
      <c r="F66" s="4" t="s">
        <v>15</v>
      </c>
      <c r="G66" s="4">
        <v>3</v>
      </c>
      <c r="H66" s="12">
        <v>13289.9</v>
      </c>
      <c r="I66" s="13">
        <v>11296.414999999999</v>
      </c>
      <c r="J66" s="13">
        <f>Orders[[#This Row],[Quantity]]*Orders[[#This Row],[Selling Price]]</f>
        <v>39869.699999999997</v>
      </c>
      <c r="K66" s="13">
        <f>Orders[[#This Row],[Quantity]]*Orders[[#This Row],[Cost Price]]</f>
        <v>33889.244999999995</v>
      </c>
      <c r="L66" s="13">
        <f>Orders[[#This Row],[Revenue]]-Orders[[#This Row],[Expenses]]</f>
        <v>5980.4550000000017</v>
      </c>
      <c r="M66" t="s">
        <v>2198</v>
      </c>
      <c r="N66" t="str">
        <f>_xlfn.XLOOKUP(Orders[[#This Row],[CustomerID]],Customers[CustomerID],Customers[CustomerName])</f>
        <v>Zainab Abubakar</v>
      </c>
      <c r="O66" t="str">
        <f>_xlfn.XLOOKUP(Orders[[#This Row],[CustomerID]],Customers[CustomerID],Customers[City])</f>
        <v>Florida</v>
      </c>
      <c r="P66" t="str">
        <f>_xlfn.XLOOKUP(Orders[[#This Row],[CustomerID]],Customers[CustomerID],Customers[Gender])</f>
        <v>Female</v>
      </c>
      <c r="Q66">
        <f>_xlfn.XLOOKUP(Orders[[#This Row],[CustomerID]],Customers[CustomerID],Customers[CustomerAge])</f>
        <v>29</v>
      </c>
      <c r="R66" t="str">
        <f>IF(Orders[[#This Row],[CustomerAge]]&gt;=35, "Older", "Young")</f>
        <v>Young</v>
      </c>
      <c r="S66" t="str">
        <f>_xlfn.XLOOKUP(Orders[[#This Row],[ProductID]],Products[ProductID],Products[ProductName])</f>
        <v>Monopoly</v>
      </c>
      <c r="T66" t="str">
        <f>_xlfn.XLOOKUP(Orders[[#This Row],[ProductID]],Products[ProductID],Products[Category])</f>
        <v>Games</v>
      </c>
    </row>
    <row r="67" spans="1:20" x14ac:dyDescent="0.25">
      <c r="A67" s="4" t="s">
        <v>149</v>
      </c>
      <c r="B67" s="5">
        <v>45960</v>
      </c>
      <c r="C67" s="15">
        <f>WEEKNUM(Orders[[#This Row],[OrderDate]])</f>
        <v>44</v>
      </c>
      <c r="D67" s="15" t="str">
        <f>TEXT(Orders[[#This Row],[OrderDate]],"mmmm")</f>
        <v>October</v>
      </c>
      <c r="E67" s="4" t="s">
        <v>150</v>
      </c>
      <c r="F67" s="4" t="s">
        <v>151</v>
      </c>
      <c r="G67" s="4">
        <v>6</v>
      </c>
      <c r="H67" s="12">
        <v>1853.7</v>
      </c>
      <c r="I67" s="13">
        <v>1575.645</v>
      </c>
      <c r="J67" s="13">
        <f>Orders[[#This Row],[Quantity]]*Orders[[#This Row],[Selling Price]]</f>
        <v>11122.2</v>
      </c>
      <c r="K67" s="13">
        <f>Orders[[#This Row],[Quantity]]*Orders[[#This Row],[Cost Price]]</f>
        <v>9453.869999999999</v>
      </c>
      <c r="L67" s="13">
        <f>Orders[[#This Row],[Revenue]]-Orders[[#This Row],[Expenses]]</f>
        <v>1668.3300000000017</v>
      </c>
      <c r="M67" t="s">
        <v>2209</v>
      </c>
      <c r="N67" t="str">
        <f>_xlfn.XLOOKUP(Orders[[#This Row],[CustomerID]],Customers[CustomerID],Customers[CustomerName])</f>
        <v>Ronke Eze</v>
      </c>
      <c r="O67" t="str">
        <f>_xlfn.XLOOKUP(Orders[[#This Row],[CustomerID]],Customers[CustomerID],Customers[City])</f>
        <v>Georgia</v>
      </c>
      <c r="P67" t="str">
        <f>_xlfn.XLOOKUP(Orders[[#This Row],[CustomerID]],Customers[CustomerID],Customers[Gender])</f>
        <v>Female</v>
      </c>
      <c r="Q67">
        <f>_xlfn.XLOOKUP(Orders[[#This Row],[CustomerID]],Customers[CustomerID],Customers[CustomerAge])</f>
        <v>23</v>
      </c>
      <c r="R67" t="str">
        <f>IF(Orders[[#This Row],[CustomerAge]]&gt;=35, "Older", "Young")</f>
        <v>Young</v>
      </c>
      <c r="S67" t="str">
        <f>_xlfn.XLOOKUP(Orders[[#This Row],[ProductID]],Products[ProductID],Products[ProductName])</f>
        <v>Checkers</v>
      </c>
      <c r="T67" t="str">
        <f>_xlfn.XLOOKUP(Orders[[#This Row],[ProductID]],Products[ProductID],Products[Category])</f>
        <v>Games</v>
      </c>
    </row>
    <row r="68" spans="1:20" x14ac:dyDescent="0.25">
      <c r="A68" s="4" t="s">
        <v>152</v>
      </c>
      <c r="B68" s="5">
        <v>45967</v>
      </c>
      <c r="C68" s="15">
        <f>WEEKNUM(Orders[[#This Row],[OrderDate]])</f>
        <v>45</v>
      </c>
      <c r="D68" s="15" t="str">
        <f>TEXT(Orders[[#This Row],[OrderDate]],"mmmm")</f>
        <v>November</v>
      </c>
      <c r="E68" s="4" t="s">
        <v>30</v>
      </c>
      <c r="F68" s="4" t="s">
        <v>57</v>
      </c>
      <c r="G68" s="4">
        <v>7</v>
      </c>
      <c r="H68" s="12">
        <v>10452.700000000001</v>
      </c>
      <c r="I68" s="13">
        <v>8884.7950000000001</v>
      </c>
      <c r="J68" s="13">
        <f>Orders[[#This Row],[Quantity]]*Orders[[#This Row],[Selling Price]]</f>
        <v>73168.900000000009</v>
      </c>
      <c r="K68" s="13">
        <f>Orders[[#This Row],[Quantity]]*Orders[[#This Row],[Cost Price]]</f>
        <v>62193.565000000002</v>
      </c>
      <c r="L68" s="13">
        <f>Orders[[#This Row],[Revenue]]-Orders[[#This Row],[Expenses]]</f>
        <v>10975.335000000006</v>
      </c>
      <c r="M68" t="s">
        <v>2194</v>
      </c>
      <c r="N68" t="str">
        <f>_xlfn.XLOOKUP(Orders[[#This Row],[CustomerID]],Customers[CustomerID],Customers[CustomerName])</f>
        <v>Amina Danladi</v>
      </c>
      <c r="O68" t="str">
        <f>_xlfn.XLOOKUP(Orders[[#This Row],[CustomerID]],Customers[CustomerID],Customers[City])</f>
        <v>Florida</v>
      </c>
      <c r="P68" t="str">
        <f>_xlfn.XLOOKUP(Orders[[#This Row],[CustomerID]],Customers[CustomerID],Customers[Gender])</f>
        <v>Female</v>
      </c>
      <c r="Q68">
        <f>_xlfn.XLOOKUP(Orders[[#This Row],[CustomerID]],Customers[CustomerID],Customers[CustomerAge])</f>
        <v>42</v>
      </c>
      <c r="R68" t="str">
        <f>IF(Orders[[#This Row],[CustomerAge]]&gt;=35, "Older", "Young")</f>
        <v>Older</v>
      </c>
      <c r="S68" t="str">
        <f>_xlfn.XLOOKUP(Orders[[#This Row],[ProductID]],Products[ProductID],Products[ProductName])</f>
        <v>Badminton Racket</v>
      </c>
      <c r="T68" t="str">
        <f>_xlfn.XLOOKUP(Orders[[#This Row],[ProductID]],Products[ProductID],Products[Category])</f>
        <v>Sports</v>
      </c>
    </row>
    <row r="69" spans="1:20" x14ac:dyDescent="0.25">
      <c r="A69" s="4" t="s">
        <v>153</v>
      </c>
      <c r="B69" s="5">
        <v>45955</v>
      </c>
      <c r="C69" s="15">
        <f>WEEKNUM(Orders[[#This Row],[OrderDate]])</f>
        <v>43</v>
      </c>
      <c r="D69" s="15" t="str">
        <f>TEXT(Orders[[#This Row],[OrderDate]],"mmmm")</f>
        <v>October</v>
      </c>
      <c r="E69" s="4" t="s">
        <v>154</v>
      </c>
      <c r="F69" s="4" t="s">
        <v>23</v>
      </c>
      <c r="G69" s="4">
        <v>1</v>
      </c>
      <c r="H69" s="12">
        <v>10552.3</v>
      </c>
      <c r="I69" s="13">
        <v>8969.4549999999999</v>
      </c>
      <c r="J69" s="13">
        <f>Orders[[#This Row],[Quantity]]*Orders[[#This Row],[Selling Price]]</f>
        <v>10552.3</v>
      </c>
      <c r="K69" s="13">
        <f>Orders[[#This Row],[Quantity]]*Orders[[#This Row],[Cost Price]]</f>
        <v>8969.4549999999999</v>
      </c>
      <c r="L69" s="13">
        <f>Orders[[#This Row],[Revenue]]-Orders[[#This Row],[Expenses]]</f>
        <v>1582.8449999999993</v>
      </c>
      <c r="M69" t="s">
        <v>2202</v>
      </c>
      <c r="N69" t="str">
        <f>_xlfn.XLOOKUP(Orders[[#This Row],[CustomerID]],Customers[CustomerID],Customers[CustomerName])</f>
        <v>Ronke Danladi</v>
      </c>
      <c r="O69" t="str">
        <f>_xlfn.XLOOKUP(Orders[[#This Row],[CustomerID]],Customers[CustomerID],Customers[City])</f>
        <v>Illinois</v>
      </c>
      <c r="P69" t="str">
        <f>_xlfn.XLOOKUP(Orders[[#This Row],[CustomerID]],Customers[CustomerID],Customers[Gender])</f>
        <v>Female</v>
      </c>
      <c r="Q69">
        <f>_xlfn.XLOOKUP(Orders[[#This Row],[CustomerID]],Customers[CustomerID],Customers[CustomerAge])</f>
        <v>46</v>
      </c>
      <c r="R69" t="str">
        <f>IF(Orders[[#This Row],[CustomerAge]]&gt;=35, "Older", "Young")</f>
        <v>Older</v>
      </c>
      <c r="S69" t="str">
        <f>_xlfn.XLOOKUP(Orders[[#This Row],[ProductID]],Products[ProductID],Products[ProductName])</f>
        <v>Gym Gloves</v>
      </c>
      <c r="T69" t="str">
        <f>_xlfn.XLOOKUP(Orders[[#This Row],[ProductID]],Products[ProductID],Products[Category])</f>
        <v>Gym</v>
      </c>
    </row>
    <row r="70" spans="1:20" x14ac:dyDescent="0.25">
      <c r="A70" s="4" t="s">
        <v>155</v>
      </c>
      <c r="B70" s="5">
        <v>45952</v>
      </c>
      <c r="C70" s="15">
        <f>WEEKNUM(Orders[[#This Row],[OrderDate]])</f>
        <v>43</v>
      </c>
      <c r="D70" s="15" t="str">
        <f>TEXT(Orders[[#This Row],[OrderDate]],"mmmm")</f>
        <v>October</v>
      </c>
      <c r="E70" s="4" t="s">
        <v>156</v>
      </c>
      <c r="F70" s="4" t="s">
        <v>157</v>
      </c>
      <c r="G70" s="4">
        <v>1</v>
      </c>
      <c r="H70" s="12">
        <v>6043</v>
      </c>
      <c r="I70" s="13">
        <v>5136.55</v>
      </c>
      <c r="J70" s="13">
        <f>Orders[[#This Row],[Quantity]]*Orders[[#This Row],[Selling Price]]</f>
        <v>6043</v>
      </c>
      <c r="K70" s="13">
        <f>Orders[[#This Row],[Quantity]]*Orders[[#This Row],[Cost Price]]</f>
        <v>5136.55</v>
      </c>
      <c r="L70" s="13">
        <f>Orders[[#This Row],[Revenue]]-Orders[[#This Row],[Expenses]]</f>
        <v>906.44999999999982</v>
      </c>
      <c r="M70" t="s">
        <v>2219</v>
      </c>
      <c r="N70" t="str">
        <f>_xlfn.XLOOKUP(Orders[[#This Row],[CustomerID]],Customers[CustomerID],Customers[CustomerName])</f>
        <v>Obi Okonkwo</v>
      </c>
      <c r="O70" t="str">
        <f>_xlfn.XLOOKUP(Orders[[#This Row],[CustomerID]],Customers[CustomerID],Customers[City])</f>
        <v>Florida</v>
      </c>
      <c r="P70" t="str">
        <f>_xlfn.XLOOKUP(Orders[[#This Row],[CustomerID]],Customers[CustomerID],Customers[Gender])</f>
        <v>Male</v>
      </c>
      <c r="Q70">
        <f>_xlfn.XLOOKUP(Orders[[#This Row],[CustomerID]],Customers[CustomerID],Customers[CustomerAge])</f>
        <v>52</v>
      </c>
      <c r="R70" t="str">
        <f>IF(Orders[[#This Row],[CustomerAge]]&gt;=35, "Older", "Young")</f>
        <v>Older</v>
      </c>
      <c r="S70" t="str">
        <f>_xlfn.XLOOKUP(Orders[[#This Row],[ProductID]],Products[ProductID],Products[ProductName])</f>
        <v>Football</v>
      </c>
      <c r="T70" t="str">
        <f>_xlfn.XLOOKUP(Orders[[#This Row],[ProductID]],Products[ProductID],Products[Category])</f>
        <v>Sports</v>
      </c>
    </row>
    <row r="71" spans="1:20" x14ac:dyDescent="0.25">
      <c r="A71" s="4" t="s">
        <v>158</v>
      </c>
      <c r="B71" s="5">
        <v>46012</v>
      </c>
      <c r="C71" s="15">
        <f>WEEKNUM(Orders[[#This Row],[OrderDate]])</f>
        <v>52</v>
      </c>
      <c r="D71" s="15" t="str">
        <f>TEXT(Orders[[#This Row],[OrderDate]],"mmmm")</f>
        <v>December</v>
      </c>
      <c r="E71" s="4" t="s">
        <v>159</v>
      </c>
      <c r="F71" s="4" t="s">
        <v>46</v>
      </c>
      <c r="G71" s="4">
        <v>3</v>
      </c>
      <c r="H71" s="12">
        <v>15121.099999999999</v>
      </c>
      <c r="I71" s="13">
        <v>12852.934999999999</v>
      </c>
      <c r="J71" s="13">
        <f>Orders[[#This Row],[Quantity]]*Orders[[#This Row],[Selling Price]]</f>
        <v>45363.299999999996</v>
      </c>
      <c r="K71" s="13">
        <f>Orders[[#This Row],[Quantity]]*Orders[[#This Row],[Cost Price]]</f>
        <v>38558.805</v>
      </c>
      <c r="L71" s="13">
        <f>Orders[[#This Row],[Revenue]]-Orders[[#This Row],[Expenses]]</f>
        <v>6804.4949999999953</v>
      </c>
      <c r="M71" t="s">
        <v>2200</v>
      </c>
      <c r="N71" t="str">
        <f>_xlfn.XLOOKUP(Orders[[#This Row],[CustomerID]],Customers[CustomerID],Customers[CustomerName])</f>
        <v>Ibrahim Okonkwo</v>
      </c>
      <c r="O71" t="str">
        <f>_xlfn.XLOOKUP(Orders[[#This Row],[CustomerID]],Customers[CustomerID],Customers[City])</f>
        <v>Florida</v>
      </c>
      <c r="P71" t="str">
        <f>_xlfn.XLOOKUP(Orders[[#This Row],[CustomerID]],Customers[CustomerID],Customers[Gender])</f>
        <v>Male</v>
      </c>
      <c r="Q71">
        <f>_xlfn.XLOOKUP(Orders[[#This Row],[CustomerID]],Customers[CustomerID],Customers[CustomerAge])</f>
        <v>49</v>
      </c>
      <c r="R71" t="str">
        <f>IF(Orders[[#This Row],[CustomerAge]]&gt;=35, "Older", "Young")</f>
        <v>Older</v>
      </c>
      <c r="S71" t="str">
        <f>_xlfn.XLOOKUP(Orders[[#This Row],[ProductID]],Products[ProductID],Products[ProductName])</f>
        <v>Turtle Neck</v>
      </c>
      <c r="T71" t="str">
        <f>_xlfn.XLOOKUP(Orders[[#This Row],[ProductID]],Products[ProductID],Products[Category])</f>
        <v>Clothing</v>
      </c>
    </row>
    <row r="72" spans="1:20" x14ac:dyDescent="0.25">
      <c r="A72" s="4" t="s">
        <v>160</v>
      </c>
      <c r="B72" s="5">
        <v>45969</v>
      </c>
      <c r="C72" s="15">
        <f>WEEKNUM(Orders[[#This Row],[OrderDate]])</f>
        <v>45</v>
      </c>
      <c r="D72" s="15" t="str">
        <f>TEXT(Orders[[#This Row],[OrderDate]],"mmmm")</f>
        <v>November</v>
      </c>
      <c r="E72" s="4" t="s">
        <v>161</v>
      </c>
      <c r="F72" s="4" t="s">
        <v>23</v>
      </c>
      <c r="G72" s="4">
        <v>6</v>
      </c>
      <c r="H72" s="12">
        <v>15527.6</v>
      </c>
      <c r="I72" s="13">
        <v>13198.460000000001</v>
      </c>
      <c r="J72" s="13">
        <f>Orders[[#This Row],[Quantity]]*Orders[[#This Row],[Selling Price]]</f>
        <v>93165.6</v>
      </c>
      <c r="K72" s="13">
        <f>Orders[[#This Row],[Quantity]]*Orders[[#This Row],[Cost Price]]</f>
        <v>79190.760000000009</v>
      </c>
      <c r="L72" s="13">
        <f>Orders[[#This Row],[Revenue]]-Orders[[#This Row],[Expenses]]</f>
        <v>13974.839999999997</v>
      </c>
      <c r="M72" t="s">
        <v>2209</v>
      </c>
      <c r="N72" t="str">
        <f>_xlfn.XLOOKUP(Orders[[#This Row],[CustomerID]],Customers[CustomerID],Customers[CustomerName])</f>
        <v>Okon Adeyemi</v>
      </c>
      <c r="O72" t="str">
        <f>_xlfn.XLOOKUP(Orders[[#This Row],[CustomerID]],Customers[CustomerID],Customers[City])</f>
        <v>Georgia</v>
      </c>
      <c r="P72" t="str">
        <f>_xlfn.XLOOKUP(Orders[[#This Row],[CustomerID]],Customers[CustomerID],Customers[Gender])</f>
        <v>Male</v>
      </c>
      <c r="Q72">
        <f>_xlfn.XLOOKUP(Orders[[#This Row],[CustomerID]],Customers[CustomerID],Customers[CustomerAge])</f>
        <v>31</v>
      </c>
      <c r="R72" t="str">
        <f>IF(Orders[[#This Row],[CustomerAge]]&gt;=35, "Older", "Young")</f>
        <v>Young</v>
      </c>
      <c r="S72" t="str">
        <f>_xlfn.XLOOKUP(Orders[[#This Row],[ProductID]],Products[ProductID],Products[ProductName])</f>
        <v>Gym Gloves</v>
      </c>
      <c r="T72" t="str">
        <f>_xlfn.XLOOKUP(Orders[[#This Row],[ProductID]],Products[ProductID],Products[Category])</f>
        <v>Gym</v>
      </c>
    </row>
    <row r="73" spans="1:20" x14ac:dyDescent="0.25">
      <c r="A73" s="4" t="s">
        <v>162</v>
      </c>
      <c r="B73" s="5">
        <v>45995</v>
      </c>
      <c r="C73" s="15">
        <f>WEEKNUM(Orders[[#This Row],[OrderDate]])</f>
        <v>49</v>
      </c>
      <c r="D73" s="15" t="str">
        <f>TEXT(Orders[[#This Row],[OrderDate]],"mmmm")</f>
        <v>December</v>
      </c>
      <c r="E73" s="4" t="s">
        <v>163</v>
      </c>
      <c r="F73" s="4" t="s">
        <v>76</v>
      </c>
      <c r="G73" s="4">
        <v>9</v>
      </c>
      <c r="H73" s="12">
        <v>19290.8</v>
      </c>
      <c r="I73" s="13">
        <v>16397.18</v>
      </c>
      <c r="J73" s="13">
        <f>Orders[[#This Row],[Quantity]]*Orders[[#This Row],[Selling Price]]</f>
        <v>173617.19999999998</v>
      </c>
      <c r="K73" s="13">
        <f>Orders[[#This Row],[Quantity]]*Orders[[#This Row],[Cost Price]]</f>
        <v>147574.62</v>
      </c>
      <c r="L73" s="13">
        <f>Orders[[#This Row],[Revenue]]-Orders[[#This Row],[Expenses]]</f>
        <v>26042.579999999987</v>
      </c>
      <c r="M73" t="s">
        <v>2213</v>
      </c>
      <c r="N73" t="str">
        <f>_xlfn.XLOOKUP(Orders[[#This Row],[CustomerID]],Customers[CustomerID],Customers[CustomerName])</f>
        <v>Folasade Danladi</v>
      </c>
      <c r="O73" t="str">
        <f>_xlfn.XLOOKUP(Orders[[#This Row],[CustomerID]],Customers[CustomerID],Customers[City])</f>
        <v>Texas</v>
      </c>
      <c r="P73" t="str">
        <f>_xlfn.XLOOKUP(Orders[[#This Row],[CustomerID]],Customers[CustomerID],Customers[Gender])</f>
        <v>Female</v>
      </c>
      <c r="Q73">
        <f>_xlfn.XLOOKUP(Orders[[#This Row],[CustomerID]],Customers[CustomerID],Customers[CustomerAge])</f>
        <v>32</v>
      </c>
      <c r="R73" t="str">
        <f>IF(Orders[[#This Row],[CustomerAge]]&gt;=35, "Older", "Young")</f>
        <v>Young</v>
      </c>
      <c r="S73" t="str">
        <f>_xlfn.XLOOKUP(Orders[[#This Row],[ProductID]],Products[ProductID],Products[ProductName])</f>
        <v>Blender</v>
      </c>
      <c r="T73" t="str">
        <f>_xlfn.XLOOKUP(Orders[[#This Row],[ProductID]],Products[ProductID],Products[Category])</f>
        <v>Electronics</v>
      </c>
    </row>
    <row r="74" spans="1:20" x14ac:dyDescent="0.25">
      <c r="A74" s="4" t="s">
        <v>164</v>
      </c>
      <c r="B74" s="5">
        <v>45991</v>
      </c>
      <c r="C74" s="15">
        <f>WEEKNUM(Orders[[#This Row],[OrderDate]])</f>
        <v>49</v>
      </c>
      <c r="D74" s="15" t="str">
        <f>TEXT(Orders[[#This Row],[OrderDate]],"mmmm")</f>
        <v>November</v>
      </c>
      <c r="E74" s="4" t="s">
        <v>156</v>
      </c>
      <c r="F74" s="4" t="s">
        <v>23</v>
      </c>
      <c r="G74" s="4">
        <v>10</v>
      </c>
      <c r="H74" s="12">
        <v>8101.2</v>
      </c>
      <c r="I74" s="13">
        <v>6886.02</v>
      </c>
      <c r="J74" s="13">
        <f>Orders[[#This Row],[Quantity]]*Orders[[#This Row],[Selling Price]]</f>
        <v>81012</v>
      </c>
      <c r="K74" s="13">
        <f>Orders[[#This Row],[Quantity]]*Orders[[#This Row],[Cost Price]]</f>
        <v>68860.200000000012</v>
      </c>
      <c r="L74" s="13">
        <f>Orders[[#This Row],[Revenue]]-Orders[[#This Row],[Expenses]]</f>
        <v>12151.799999999988</v>
      </c>
      <c r="M74" t="s">
        <v>2200</v>
      </c>
      <c r="N74" t="str">
        <f>_xlfn.XLOOKUP(Orders[[#This Row],[CustomerID]],Customers[CustomerID],Customers[CustomerName])</f>
        <v>Obi Okonkwo</v>
      </c>
      <c r="O74" t="str">
        <f>_xlfn.XLOOKUP(Orders[[#This Row],[CustomerID]],Customers[CustomerID],Customers[City])</f>
        <v>Florida</v>
      </c>
      <c r="P74" t="str">
        <f>_xlfn.XLOOKUP(Orders[[#This Row],[CustomerID]],Customers[CustomerID],Customers[Gender])</f>
        <v>Male</v>
      </c>
      <c r="Q74">
        <f>_xlfn.XLOOKUP(Orders[[#This Row],[CustomerID]],Customers[CustomerID],Customers[CustomerAge])</f>
        <v>52</v>
      </c>
      <c r="R74" t="str">
        <f>IF(Orders[[#This Row],[CustomerAge]]&gt;=35, "Older", "Young")</f>
        <v>Older</v>
      </c>
      <c r="S74" t="str">
        <f>_xlfn.XLOOKUP(Orders[[#This Row],[ProductID]],Products[ProductID],Products[ProductName])</f>
        <v>Gym Gloves</v>
      </c>
      <c r="T74" t="str">
        <f>_xlfn.XLOOKUP(Orders[[#This Row],[ProductID]],Products[ProductID],Products[Category])</f>
        <v>Gym</v>
      </c>
    </row>
    <row r="75" spans="1:20" x14ac:dyDescent="0.25">
      <c r="A75" s="4" t="s">
        <v>165</v>
      </c>
      <c r="B75" s="5">
        <v>45986</v>
      </c>
      <c r="C75" s="15">
        <f>WEEKNUM(Orders[[#This Row],[OrderDate]])</f>
        <v>48</v>
      </c>
      <c r="D75" s="15" t="str">
        <f>TEXT(Orders[[#This Row],[OrderDate]],"mmmm")</f>
        <v>November</v>
      </c>
      <c r="E75" s="4" t="s">
        <v>11</v>
      </c>
      <c r="F75" s="4" t="s">
        <v>70</v>
      </c>
      <c r="G75" s="4">
        <v>3</v>
      </c>
      <c r="H75" s="12">
        <v>2590.1</v>
      </c>
      <c r="I75" s="13">
        <v>2201.585</v>
      </c>
      <c r="J75" s="13">
        <f>Orders[[#This Row],[Quantity]]*Orders[[#This Row],[Selling Price]]</f>
        <v>7770.2999999999993</v>
      </c>
      <c r="K75" s="13">
        <f>Orders[[#This Row],[Quantity]]*Orders[[#This Row],[Cost Price]]</f>
        <v>6604.7550000000001</v>
      </c>
      <c r="L75" s="13">
        <f>Orders[[#This Row],[Revenue]]-Orders[[#This Row],[Expenses]]</f>
        <v>1165.5449999999992</v>
      </c>
      <c r="M75" t="s">
        <v>2206</v>
      </c>
      <c r="N75" t="str">
        <f>_xlfn.XLOOKUP(Orders[[#This Row],[CustomerID]],Customers[CustomerID],Customers[CustomerName])</f>
        <v>Efe Ojo</v>
      </c>
      <c r="O75" t="str">
        <f>_xlfn.XLOOKUP(Orders[[#This Row],[CustomerID]],Customers[CustomerID],Customers[City])</f>
        <v>Texas</v>
      </c>
      <c r="P75" t="str">
        <f>_xlfn.XLOOKUP(Orders[[#This Row],[CustomerID]],Customers[CustomerID],Customers[Gender])</f>
        <v>Female</v>
      </c>
      <c r="Q75">
        <f>_xlfn.XLOOKUP(Orders[[#This Row],[CustomerID]],Customers[CustomerID],Customers[CustomerAge])</f>
        <v>55</v>
      </c>
      <c r="R75" t="str">
        <f>IF(Orders[[#This Row],[CustomerAge]]&gt;=35, "Older", "Young")</f>
        <v>Older</v>
      </c>
      <c r="S75" t="str">
        <f>_xlfn.XLOOKUP(Orders[[#This Row],[ProductID]],Products[ProductID],Products[ProductName])</f>
        <v>Yoga Mat</v>
      </c>
      <c r="T75" t="str">
        <f>_xlfn.XLOOKUP(Orders[[#This Row],[ProductID]],Products[ProductID],Products[Category])</f>
        <v>Gym</v>
      </c>
    </row>
    <row r="76" spans="1:20" x14ac:dyDescent="0.25">
      <c r="A76" s="4" t="s">
        <v>166</v>
      </c>
      <c r="B76" s="5">
        <v>46022</v>
      </c>
      <c r="C76" s="15">
        <f>WEEKNUM(Orders[[#This Row],[OrderDate]])</f>
        <v>53</v>
      </c>
      <c r="D76" s="15" t="str">
        <f>TEXT(Orders[[#This Row],[OrderDate]],"mmmm")</f>
        <v>December</v>
      </c>
      <c r="E76" s="4" t="s">
        <v>91</v>
      </c>
      <c r="F76" s="4" t="s">
        <v>120</v>
      </c>
      <c r="G76" s="4">
        <v>8</v>
      </c>
      <c r="H76" s="12">
        <v>7337.9</v>
      </c>
      <c r="I76" s="13">
        <v>6237.2150000000001</v>
      </c>
      <c r="J76" s="13">
        <f>Orders[[#This Row],[Quantity]]*Orders[[#This Row],[Selling Price]]</f>
        <v>58703.199999999997</v>
      </c>
      <c r="K76" s="13">
        <f>Orders[[#This Row],[Quantity]]*Orders[[#This Row],[Cost Price]]</f>
        <v>49897.72</v>
      </c>
      <c r="L76" s="13">
        <f>Orders[[#This Row],[Revenue]]-Orders[[#This Row],[Expenses]]</f>
        <v>8805.4799999999959</v>
      </c>
      <c r="M76" t="s">
        <v>2219</v>
      </c>
      <c r="N76" t="str">
        <f>_xlfn.XLOOKUP(Orders[[#This Row],[CustomerID]],Customers[CustomerID],Customers[CustomerName])</f>
        <v>Uche Abubakar</v>
      </c>
      <c r="O76" t="str">
        <f>_xlfn.XLOOKUP(Orders[[#This Row],[CustomerID]],Customers[CustomerID],Customers[City])</f>
        <v>Florida</v>
      </c>
      <c r="P76" t="str">
        <f>_xlfn.XLOOKUP(Orders[[#This Row],[CustomerID]],Customers[CustomerID],Customers[Gender])</f>
        <v>Male</v>
      </c>
      <c r="Q76">
        <f>_xlfn.XLOOKUP(Orders[[#This Row],[CustomerID]],Customers[CustomerID],Customers[CustomerAge])</f>
        <v>28</v>
      </c>
      <c r="R76" t="str">
        <f>IF(Orders[[#This Row],[CustomerAge]]&gt;=35, "Older", "Young")</f>
        <v>Young</v>
      </c>
      <c r="S76" t="str">
        <f>_xlfn.XLOOKUP(Orders[[#This Row],[ProductID]],Products[ProductID],Products[ProductName])</f>
        <v>Chess</v>
      </c>
      <c r="T76" t="str">
        <f>_xlfn.XLOOKUP(Orders[[#This Row],[ProductID]],Products[ProductID],Products[Category])</f>
        <v>Games</v>
      </c>
    </row>
    <row r="77" spans="1:20" x14ac:dyDescent="0.25">
      <c r="A77" s="4" t="s">
        <v>167</v>
      </c>
      <c r="B77" s="5">
        <v>45934</v>
      </c>
      <c r="C77" s="15">
        <f>WEEKNUM(Orders[[#This Row],[OrderDate]])</f>
        <v>40</v>
      </c>
      <c r="D77" s="15" t="str">
        <f>TEXT(Orders[[#This Row],[OrderDate]],"mmmm")</f>
        <v>October</v>
      </c>
      <c r="E77" s="4" t="s">
        <v>140</v>
      </c>
      <c r="F77" s="4" t="s">
        <v>168</v>
      </c>
      <c r="G77" s="4">
        <v>6</v>
      </c>
      <c r="H77" s="12">
        <v>15426.300000000001</v>
      </c>
      <c r="I77" s="13">
        <v>13112.355000000001</v>
      </c>
      <c r="J77" s="13">
        <f>Orders[[#This Row],[Quantity]]*Orders[[#This Row],[Selling Price]]</f>
        <v>92557.8</v>
      </c>
      <c r="K77" s="13">
        <f>Orders[[#This Row],[Quantity]]*Orders[[#This Row],[Cost Price]]</f>
        <v>78674.13</v>
      </c>
      <c r="L77" s="13">
        <f>Orders[[#This Row],[Revenue]]-Orders[[#This Row],[Expenses]]</f>
        <v>13883.669999999998</v>
      </c>
      <c r="M77" t="s">
        <v>2210</v>
      </c>
      <c r="N77" t="str">
        <f>_xlfn.XLOOKUP(Orders[[#This Row],[CustomerID]],Customers[CustomerID],Customers[CustomerName])</f>
        <v>Tunde Igwe</v>
      </c>
      <c r="O77" t="str">
        <f>_xlfn.XLOOKUP(Orders[[#This Row],[CustomerID]],Customers[CustomerID],Customers[City])</f>
        <v>Washington</v>
      </c>
      <c r="P77" t="str">
        <f>_xlfn.XLOOKUP(Orders[[#This Row],[CustomerID]],Customers[CustomerID],Customers[Gender])</f>
        <v>Male</v>
      </c>
      <c r="Q77">
        <f>_xlfn.XLOOKUP(Orders[[#This Row],[CustomerID]],Customers[CustomerID],Customers[CustomerAge])</f>
        <v>20</v>
      </c>
      <c r="R77" t="str">
        <f>IF(Orders[[#This Row],[CustomerAge]]&gt;=35, "Older", "Young")</f>
        <v>Young</v>
      </c>
      <c r="S77" t="str">
        <f>_xlfn.XLOOKUP(Orders[[#This Row],[ProductID]],Products[ProductID],Products[ProductName])</f>
        <v>Dumb Bells</v>
      </c>
      <c r="T77" t="str">
        <f>_xlfn.XLOOKUP(Orders[[#This Row],[ProductID]],Products[ProductID],Products[Category])</f>
        <v>Gym</v>
      </c>
    </row>
    <row r="78" spans="1:20" x14ac:dyDescent="0.25">
      <c r="A78" s="4" t="s">
        <v>169</v>
      </c>
      <c r="B78" s="5">
        <v>45976</v>
      </c>
      <c r="C78" s="15">
        <f>WEEKNUM(Orders[[#This Row],[OrderDate]])</f>
        <v>46</v>
      </c>
      <c r="D78" s="15" t="str">
        <f>TEXT(Orders[[#This Row],[OrderDate]],"mmmm")</f>
        <v>November</v>
      </c>
      <c r="E78" s="4" t="s">
        <v>39</v>
      </c>
      <c r="F78" s="4" t="s">
        <v>120</v>
      </c>
      <c r="G78" s="4">
        <v>6</v>
      </c>
      <c r="H78" s="12">
        <v>1954.3000000000002</v>
      </c>
      <c r="I78" s="13">
        <v>1661.1550000000002</v>
      </c>
      <c r="J78" s="13">
        <f>Orders[[#This Row],[Quantity]]*Orders[[#This Row],[Selling Price]]</f>
        <v>11725.800000000001</v>
      </c>
      <c r="K78" s="13">
        <f>Orders[[#This Row],[Quantity]]*Orders[[#This Row],[Cost Price]]</f>
        <v>9966.93</v>
      </c>
      <c r="L78" s="13">
        <f>Orders[[#This Row],[Revenue]]-Orders[[#This Row],[Expenses]]</f>
        <v>1758.8700000000008</v>
      </c>
      <c r="M78" t="s">
        <v>2193</v>
      </c>
      <c r="N78" t="str">
        <f>_xlfn.XLOOKUP(Orders[[#This Row],[CustomerID]],Customers[CustomerID],Customers[CustomerName])</f>
        <v>Efe Adeyemi</v>
      </c>
      <c r="O78" t="str">
        <f>_xlfn.XLOOKUP(Orders[[#This Row],[CustomerID]],Customers[CustomerID],Customers[City])</f>
        <v>Florida</v>
      </c>
      <c r="P78" t="str">
        <f>_xlfn.XLOOKUP(Orders[[#This Row],[CustomerID]],Customers[CustomerID],Customers[Gender])</f>
        <v>Female</v>
      </c>
      <c r="Q78">
        <f>_xlfn.XLOOKUP(Orders[[#This Row],[CustomerID]],Customers[CustomerID],Customers[CustomerAge])</f>
        <v>20</v>
      </c>
      <c r="R78" t="str">
        <f>IF(Orders[[#This Row],[CustomerAge]]&gt;=35, "Older", "Young")</f>
        <v>Young</v>
      </c>
      <c r="S78" t="str">
        <f>_xlfn.XLOOKUP(Orders[[#This Row],[ProductID]],Products[ProductID],Products[ProductName])</f>
        <v>Chess</v>
      </c>
      <c r="T78" t="str">
        <f>_xlfn.XLOOKUP(Orders[[#This Row],[ProductID]],Products[ProductID],Products[Category])</f>
        <v>Games</v>
      </c>
    </row>
    <row r="79" spans="1:20" x14ac:dyDescent="0.25">
      <c r="A79" s="4" t="s">
        <v>170</v>
      </c>
      <c r="B79" s="5">
        <v>45979</v>
      </c>
      <c r="C79" s="15">
        <f>WEEKNUM(Orders[[#This Row],[OrderDate]])</f>
        <v>47</v>
      </c>
      <c r="D79" s="15" t="str">
        <f>TEXT(Orders[[#This Row],[OrderDate]],"mmmm")</f>
        <v>November</v>
      </c>
      <c r="E79" s="4" t="s">
        <v>62</v>
      </c>
      <c r="F79" s="4" t="s">
        <v>127</v>
      </c>
      <c r="G79" s="4">
        <v>6</v>
      </c>
      <c r="H79" s="12">
        <v>755.1</v>
      </c>
      <c r="I79" s="13">
        <v>641.83500000000004</v>
      </c>
      <c r="J79" s="13">
        <f>Orders[[#This Row],[Quantity]]*Orders[[#This Row],[Selling Price]]</f>
        <v>4530.6000000000004</v>
      </c>
      <c r="K79" s="13">
        <f>Orders[[#This Row],[Quantity]]*Orders[[#This Row],[Cost Price]]</f>
        <v>3851.01</v>
      </c>
      <c r="L79" s="13">
        <f>Orders[[#This Row],[Revenue]]-Orders[[#This Row],[Expenses]]</f>
        <v>679.59000000000015</v>
      </c>
      <c r="M79" t="s">
        <v>2197</v>
      </c>
      <c r="N79" t="str">
        <f>_xlfn.XLOOKUP(Orders[[#This Row],[CustomerID]],Customers[CustomerID],Customers[CustomerName])</f>
        <v>Ronke Okonkwo</v>
      </c>
      <c r="O79" t="str">
        <f>_xlfn.XLOOKUP(Orders[[#This Row],[CustomerID]],Customers[CustomerID],Customers[City])</f>
        <v>Texas</v>
      </c>
      <c r="P79" t="str">
        <f>_xlfn.XLOOKUP(Orders[[#This Row],[CustomerID]],Customers[CustomerID],Customers[Gender])</f>
        <v>Female</v>
      </c>
      <c r="Q79">
        <f>_xlfn.XLOOKUP(Orders[[#This Row],[CustomerID]],Customers[CustomerID],Customers[CustomerAge])</f>
        <v>36</v>
      </c>
      <c r="R79" t="str">
        <f>IF(Orders[[#This Row],[CustomerAge]]&gt;=35, "Older", "Young")</f>
        <v>Older</v>
      </c>
      <c r="S79" t="str">
        <f>_xlfn.XLOOKUP(Orders[[#This Row],[ProductID]],Products[ProductID],Products[ProductName])</f>
        <v>Tops</v>
      </c>
      <c r="T79" t="str">
        <f>_xlfn.XLOOKUP(Orders[[#This Row],[ProductID]],Products[ProductID],Products[Category])</f>
        <v>Clothing</v>
      </c>
    </row>
    <row r="80" spans="1:20" x14ac:dyDescent="0.25">
      <c r="A80" s="4" t="s">
        <v>171</v>
      </c>
      <c r="B80" s="5">
        <v>46022</v>
      </c>
      <c r="C80" s="15">
        <f>WEEKNUM(Orders[[#This Row],[OrderDate]])</f>
        <v>53</v>
      </c>
      <c r="D80" s="15" t="str">
        <f>TEXT(Orders[[#This Row],[OrderDate]],"mmmm")</f>
        <v>December</v>
      </c>
      <c r="E80" s="4" t="s">
        <v>17</v>
      </c>
      <c r="F80" s="4" t="s">
        <v>23</v>
      </c>
      <c r="G80" s="4">
        <v>2</v>
      </c>
      <c r="H80" s="12">
        <v>15440.699999999999</v>
      </c>
      <c r="I80" s="13">
        <v>13124.594999999999</v>
      </c>
      <c r="J80" s="13">
        <f>Orders[[#This Row],[Quantity]]*Orders[[#This Row],[Selling Price]]</f>
        <v>30881.399999999998</v>
      </c>
      <c r="K80" s="13">
        <f>Orders[[#This Row],[Quantity]]*Orders[[#This Row],[Cost Price]]</f>
        <v>26249.19</v>
      </c>
      <c r="L80" s="13">
        <f>Orders[[#This Row],[Revenue]]-Orders[[#This Row],[Expenses]]</f>
        <v>4632.2099999999991</v>
      </c>
      <c r="M80" t="s">
        <v>2212</v>
      </c>
      <c r="N80" t="str">
        <f>_xlfn.XLOOKUP(Orders[[#This Row],[CustomerID]],Customers[CustomerID],Customers[CustomerName])</f>
        <v>Bisi Adeyemi</v>
      </c>
      <c r="O80" t="str">
        <f>_xlfn.XLOOKUP(Orders[[#This Row],[CustomerID]],Customers[CustomerID],Customers[City])</f>
        <v>Illinois</v>
      </c>
      <c r="P80" t="str">
        <f>_xlfn.XLOOKUP(Orders[[#This Row],[CustomerID]],Customers[CustomerID],Customers[Gender])</f>
        <v>Female</v>
      </c>
      <c r="Q80">
        <f>_xlfn.XLOOKUP(Orders[[#This Row],[CustomerID]],Customers[CustomerID],Customers[CustomerAge])</f>
        <v>48</v>
      </c>
      <c r="R80" t="str">
        <f>IF(Orders[[#This Row],[CustomerAge]]&gt;=35, "Older", "Young")</f>
        <v>Older</v>
      </c>
      <c r="S80" t="str">
        <f>_xlfn.XLOOKUP(Orders[[#This Row],[ProductID]],Products[ProductID],Products[ProductName])</f>
        <v>Gym Gloves</v>
      </c>
      <c r="T80" t="str">
        <f>_xlfn.XLOOKUP(Orders[[#This Row],[ProductID]],Products[ProductID],Products[Category])</f>
        <v>Gym</v>
      </c>
    </row>
    <row r="81" spans="1:20" x14ac:dyDescent="0.25">
      <c r="A81" s="4" t="s">
        <v>172</v>
      </c>
      <c r="B81" s="5">
        <v>45989</v>
      </c>
      <c r="C81" s="15">
        <f>WEEKNUM(Orders[[#This Row],[OrderDate]])</f>
        <v>48</v>
      </c>
      <c r="D81" s="15" t="str">
        <f>TEXT(Orders[[#This Row],[OrderDate]],"mmmm")</f>
        <v>November</v>
      </c>
      <c r="E81" s="4" t="s">
        <v>11</v>
      </c>
      <c r="F81" s="4" t="s">
        <v>9</v>
      </c>
      <c r="G81" s="4">
        <v>4</v>
      </c>
      <c r="H81" s="12">
        <v>3425</v>
      </c>
      <c r="I81" s="13">
        <v>2911.25</v>
      </c>
      <c r="J81" s="13">
        <f>Orders[[#This Row],[Quantity]]*Orders[[#This Row],[Selling Price]]</f>
        <v>13700</v>
      </c>
      <c r="K81" s="13">
        <f>Orders[[#This Row],[Quantity]]*Orders[[#This Row],[Cost Price]]</f>
        <v>11645</v>
      </c>
      <c r="L81" s="13">
        <f>Orders[[#This Row],[Revenue]]-Orders[[#This Row],[Expenses]]</f>
        <v>2055</v>
      </c>
      <c r="M81" t="s">
        <v>2195</v>
      </c>
      <c r="N81" t="str">
        <f>_xlfn.XLOOKUP(Orders[[#This Row],[CustomerID]],Customers[CustomerID],Customers[CustomerName])</f>
        <v>Efe Ojo</v>
      </c>
      <c r="O81" t="str">
        <f>_xlfn.XLOOKUP(Orders[[#This Row],[CustomerID]],Customers[CustomerID],Customers[City])</f>
        <v>Texas</v>
      </c>
      <c r="P81" t="str">
        <f>_xlfn.XLOOKUP(Orders[[#This Row],[CustomerID]],Customers[CustomerID],Customers[Gender])</f>
        <v>Female</v>
      </c>
      <c r="Q81">
        <f>_xlfn.XLOOKUP(Orders[[#This Row],[CustomerID]],Customers[CustomerID],Customers[CustomerAge])</f>
        <v>55</v>
      </c>
      <c r="R81" t="str">
        <f>IF(Orders[[#This Row],[CustomerAge]]&gt;=35, "Older", "Young")</f>
        <v>Older</v>
      </c>
      <c r="S81" t="str">
        <f>_xlfn.XLOOKUP(Orders[[#This Row],[ProductID]],Products[ProductID],Products[ProductName])</f>
        <v>Beaded Earrings And Necklaces</v>
      </c>
      <c r="T81" t="str">
        <f>_xlfn.XLOOKUP(Orders[[#This Row],[ProductID]],Products[ProductID],Products[Category])</f>
        <v>Accessories</v>
      </c>
    </row>
    <row r="82" spans="1:20" x14ac:dyDescent="0.25">
      <c r="A82" s="4" t="s">
        <v>173</v>
      </c>
      <c r="B82" s="5">
        <v>46022</v>
      </c>
      <c r="C82" s="15">
        <f>WEEKNUM(Orders[[#This Row],[OrderDate]])</f>
        <v>53</v>
      </c>
      <c r="D82" s="15" t="str">
        <f>TEXT(Orders[[#This Row],[OrderDate]],"mmmm")</f>
        <v>December</v>
      </c>
      <c r="E82" s="4" t="s">
        <v>174</v>
      </c>
      <c r="F82" s="4" t="s">
        <v>31</v>
      </c>
      <c r="G82" s="4">
        <v>3</v>
      </c>
      <c r="H82" s="12">
        <v>1234.4000000000001</v>
      </c>
      <c r="I82" s="13">
        <v>1049.24</v>
      </c>
      <c r="J82" s="13">
        <f>Orders[[#This Row],[Quantity]]*Orders[[#This Row],[Selling Price]]</f>
        <v>3703.2000000000003</v>
      </c>
      <c r="K82" s="13">
        <f>Orders[[#This Row],[Quantity]]*Orders[[#This Row],[Cost Price]]</f>
        <v>3147.7200000000003</v>
      </c>
      <c r="L82" s="13">
        <f>Orders[[#This Row],[Revenue]]-Orders[[#This Row],[Expenses]]</f>
        <v>555.48</v>
      </c>
      <c r="M82" t="s">
        <v>2194</v>
      </c>
      <c r="N82" t="str">
        <f>_xlfn.XLOOKUP(Orders[[#This Row],[CustomerID]],Customers[CustomerID],Customers[CustomerName])</f>
        <v>Zainab Obi</v>
      </c>
      <c r="O82" t="str">
        <f>_xlfn.XLOOKUP(Orders[[#This Row],[CustomerID]],Customers[CustomerID],Customers[City])</f>
        <v>California</v>
      </c>
      <c r="P82" t="str">
        <f>_xlfn.XLOOKUP(Orders[[#This Row],[CustomerID]],Customers[CustomerID],Customers[Gender])</f>
        <v>Female</v>
      </c>
      <c r="Q82">
        <f>_xlfn.XLOOKUP(Orders[[#This Row],[CustomerID]],Customers[CustomerID],Customers[CustomerAge])</f>
        <v>18</v>
      </c>
      <c r="R82" t="str">
        <f>IF(Orders[[#This Row],[CustomerAge]]&gt;=35, "Older", "Young")</f>
        <v>Young</v>
      </c>
      <c r="S82" t="str">
        <f>_xlfn.XLOOKUP(Orders[[#This Row],[ProductID]],Products[ProductID],Products[ProductName])</f>
        <v>Kids Games</v>
      </c>
      <c r="T82" t="str">
        <f>_xlfn.XLOOKUP(Orders[[#This Row],[ProductID]],Products[ProductID],Products[Category])</f>
        <v>Games</v>
      </c>
    </row>
    <row r="83" spans="1:20" x14ac:dyDescent="0.25">
      <c r="A83" s="4" t="s">
        <v>175</v>
      </c>
      <c r="B83" s="5">
        <v>45943</v>
      </c>
      <c r="C83" s="15">
        <f>WEEKNUM(Orders[[#This Row],[OrderDate]])</f>
        <v>42</v>
      </c>
      <c r="D83" s="15" t="str">
        <f>TEXT(Orders[[#This Row],[OrderDate]],"mmmm")</f>
        <v>October</v>
      </c>
      <c r="E83" s="4" t="s">
        <v>176</v>
      </c>
      <c r="F83" s="4" t="s">
        <v>31</v>
      </c>
      <c r="G83" s="4">
        <v>2</v>
      </c>
      <c r="H83" s="12">
        <v>12870.8</v>
      </c>
      <c r="I83" s="13">
        <v>10940.18</v>
      </c>
      <c r="J83" s="13">
        <f>Orders[[#This Row],[Quantity]]*Orders[[#This Row],[Selling Price]]</f>
        <v>25741.599999999999</v>
      </c>
      <c r="K83" s="13">
        <f>Orders[[#This Row],[Quantity]]*Orders[[#This Row],[Cost Price]]</f>
        <v>21880.36</v>
      </c>
      <c r="L83" s="13">
        <f>Orders[[#This Row],[Revenue]]-Orders[[#This Row],[Expenses]]</f>
        <v>3861.239999999998</v>
      </c>
      <c r="M83" t="s">
        <v>2215</v>
      </c>
      <c r="N83" t="str">
        <f>_xlfn.XLOOKUP(Orders[[#This Row],[CustomerID]],Customers[CustomerID],Customers[CustomerName])</f>
        <v>Okon Eze</v>
      </c>
      <c r="O83" t="str">
        <f>_xlfn.XLOOKUP(Orders[[#This Row],[CustomerID]],Customers[CustomerID],Customers[City])</f>
        <v>Florida</v>
      </c>
      <c r="P83" t="str">
        <f>_xlfn.XLOOKUP(Orders[[#This Row],[CustomerID]],Customers[CustomerID],Customers[Gender])</f>
        <v>Male</v>
      </c>
      <c r="Q83">
        <f>_xlfn.XLOOKUP(Orders[[#This Row],[CustomerID]],Customers[CustomerID],Customers[CustomerAge])</f>
        <v>26</v>
      </c>
      <c r="R83" t="str">
        <f>IF(Orders[[#This Row],[CustomerAge]]&gt;=35, "Older", "Young")</f>
        <v>Young</v>
      </c>
      <c r="S83" t="str">
        <f>_xlfn.XLOOKUP(Orders[[#This Row],[ProductID]],Products[ProductID],Products[ProductName])</f>
        <v>Kids Games</v>
      </c>
      <c r="T83" t="str">
        <f>_xlfn.XLOOKUP(Orders[[#This Row],[ProductID]],Products[ProductID],Products[Category])</f>
        <v>Games</v>
      </c>
    </row>
    <row r="84" spans="1:20" x14ac:dyDescent="0.25">
      <c r="A84" s="4" t="s">
        <v>177</v>
      </c>
      <c r="B84" s="5">
        <v>45937</v>
      </c>
      <c r="C84" s="15">
        <f>WEEKNUM(Orders[[#This Row],[OrderDate]])</f>
        <v>41</v>
      </c>
      <c r="D84" s="15" t="str">
        <f>TEXT(Orders[[#This Row],[OrderDate]],"mmmm")</f>
        <v>October</v>
      </c>
      <c r="E84" s="4" t="s">
        <v>178</v>
      </c>
      <c r="F84" s="4" t="s">
        <v>15</v>
      </c>
      <c r="G84" s="4">
        <v>9</v>
      </c>
      <c r="H84" s="12">
        <v>10215.5</v>
      </c>
      <c r="I84" s="13">
        <v>8683.1749999999993</v>
      </c>
      <c r="J84" s="13">
        <f>Orders[[#This Row],[Quantity]]*Orders[[#This Row],[Selling Price]]</f>
        <v>91939.5</v>
      </c>
      <c r="K84" s="13">
        <f>Orders[[#This Row],[Quantity]]*Orders[[#This Row],[Cost Price]]</f>
        <v>78148.574999999997</v>
      </c>
      <c r="L84" s="13">
        <f>Orders[[#This Row],[Revenue]]-Orders[[#This Row],[Expenses]]</f>
        <v>13790.925000000003</v>
      </c>
      <c r="M84" t="s">
        <v>2213</v>
      </c>
      <c r="N84" t="str">
        <f>_xlfn.XLOOKUP(Orders[[#This Row],[CustomerID]],Customers[CustomerID],Customers[CustomerName])</f>
        <v>Ibrahim Igwe</v>
      </c>
      <c r="O84" t="str">
        <f>_xlfn.XLOOKUP(Orders[[#This Row],[CustomerID]],Customers[CustomerID],Customers[City])</f>
        <v>Florida</v>
      </c>
      <c r="P84" t="str">
        <f>_xlfn.XLOOKUP(Orders[[#This Row],[CustomerID]],Customers[CustomerID],Customers[Gender])</f>
        <v>Male</v>
      </c>
      <c r="Q84">
        <f>_xlfn.XLOOKUP(Orders[[#This Row],[CustomerID]],Customers[CustomerID],Customers[CustomerAge])</f>
        <v>19</v>
      </c>
      <c r="R84" t="str">
        <f>IF(Orders[[#This Row],[CustomerAge]]&gt;=35, "Older", "Young")</f>
        <v>Young</v>
      </c>
      <c r="S84" t="str">
        <f>_xlfn.XLOOKUP(Orders[[#This Row],[ProductID]],Products[ProductID],Products[ProductName])</f>
        <v>Monopoly</v>
      </c>
      <c r="T84" t="str">
        <f>_xlfn.XLOOKUP(Orders[[#This Row],[ProductID]],Products[ProductID],Products[Category])</f>
        <v>Games</v>
      </c>
    </row>
    <row r="85" spans="1:20" x14ac:dyDescent="0.25">
      <c r="A85" s="4" t="s">
        <v>179</v>
      </c>
      <c r="B85" s="5">
        <v>45948</v>
      </c>
      <c r="C85" s="15">
        <f>WEEKNUM(Orders[[#This Row],[OrderDate]])</f>
        <v>42</v>
      </c>
      <c r="D85" s="15" t="str">
        <f>TEXT(Orders[[#This Row],[OrderDate]],"mmmm")</f>
        <v>October</v>
      </c>
      <c r="E85" s="4" t="s">
        <v>180</v>
      </c>
      <c r="F85" s="4" t="s">
        <v>76</v>
      </c>
      <c r="G85" s="4">
        <v>4</v>
      </c>
      <c r="H85" s="12">
        <v>2625.4</v>
      </c>
      <c r="I85" s="13">
        <v>2231.59</v>
      </c>
      <c r="J85" s="13">
        <f>Orders[[#This Row],[Quantity]]*Orders[[#This Row],[Selling Price]]</f>
        <v>10501.6</v>
      </c>
      <c r="K85" s="13">
        <f>Orders[[#This Row],[Quantity]]*Orders[[#This Row],[Cost Price]]</f>
        <v>8926.36</v>
      </c>
      <c r="L85" s="13">
        <f>Orders[[#This Row],[Revenue]]-Orders[[#This Row],[Expenses]]</f>
        <v>1575.2399999999998</v>
      </c>
      <c r="M85" t="s">
        <v>2204</v>
      </c>
      <c r="N85" t="str">
        <f>_xlfn.XLOOKUP(Orders[[#This Row],[CustomerID]],Customers[CustomerID],Customers[CustomerName])</f>
        <v>Jide Okonkwo</v>
      </c>
      <c r="O85" t="str">
        <f>_xlfn.XLOOKUP(Orders[[#This Row],[CustomerID]],Customers[CustomerID],Customers[City])</f>
        <v>Texas</v>
      </c>
      <c r="P85" t="str">
        <f>_xlfn.XLOOKUP(Orders[[#This Row],[CustomerID]],Customers[CustomerID],Customers[Gender])</f>
        <v>Male</v>
      </c>
      <c r="Q85">
        <f>_xlfn.XLOOKUP(Orders[[#This Row],[CustomerID]],Customers[CustomerID],Customers[CustomerAge])</f>
        <v>25</v>
      </c>
      <c r="R85" t="str">
        <f>IF(Orders[[#This Row],[CustomerAge]]&gt;=35, "Older", "Young")</f>
        <v>Young</v>
      </c>
      <c r="S85" t="str">
        <f>_xlfn.XLOOKUP(Orders[[#This Row],[ProductID]],Products[ProductID],Products[ProductName])</f>
        <v>Blender</v>
      </c>
      <c r="T85" t="str">
        <f>_xlfn.XLOOKUP(Orders[[#This Row],[ProductID]],Products[ProductID],Products[Category])</f>
        <v>Electronics</v>
      </c>
    </row>
    <row r="86" spans="1:20" x14ac:dyDescent="0.25">
      <c r="A86" s="4" t="s">
        <v>181</v>
      </c>
      <c r="B86" s="5">
        <v>46016</v>
      </c>
      <c r="C86" s="15">
        <f>WEEKNUM(Orders[[#This Row],[OrderDate]])</f>
        <v>52</v>
      </c>
      <c r="D86" s="15" t="str">
        <f>TEXT(Orders[[#This Row],[OrderDate]],"mmmm")</f>
        <v>December</v>
      </c>
      <c r="E86" s="4" t="s">
        <v>182</v>
      </c>
      <c r="F86" s="4" t="s">
        <v>63</v>
      </c>
      <c r="G86" s="4">
        <v>10</v>
      </c>
      <c r="H86" s="12">
        <v>13251.5</v>
      </c>
      <c r="I86" s="13">
        <v>11263.775</v>
      </c>
      <c r="J86" s="13">
        <f>Orders[[#This Row],[Quantity]]*Orders[[#This Row],[Selling Price]]</f>
        <v>132515</v>
      </c>
      <c r="K86" s="13">
        <f>Orders[[#This Row],[Quantity]]*Orders[[#This Row],[Cost Price]]</f>
        <v>112637.75</v>
      </c>
      <c r="L86" s="13">
        <f>Orders[[#This Row],[Revenue]]-Orders[[#This Row],[Expenses]]</f>
        <v>19877.25</v>
      </c>
      <c r="M86" t="s">
        <v>2199</v>
      </c>
      <c r="N86" t="str">
        <f>_xlfn.XLOOKUP(Orders[[#This Row],[CustomerID]],Customers[CustomerID],Customers[CustomerName])</f>
        <v>Abiola Okonkwo</v>
      </c>
      <c r="O86" t="str">
        <f>_xlfn.XLOOKUP(Orders[[#This Row],[CustomerID]],Customers[CustomerID],Customers[City])</f>
        <v>Georgia</v>
      </c>
      <c r="P86" t="str">
        <f>_xlfn.XLOOKUP(Orders[[#This Row],[CustomerID]],Customers[CustomerID],Customers[Gender])</f>
        <v>Male</v>
      </c>
      <c r="Q86">
        <f>_xlfn.XLOOKUP(Orders[[#This Row],[CustomerID]],Customers[CustomerID],Customers[CustomerAge])</f>
        <v>39</v>
      </c>
      <c r="R86" t="str">
        <f>IF(Orders[[#This Row],[CustomerAge]]&gt;=35, "Older", "Young")</f>
        <v>Older</v>
      </c>
      <c r="S86" t="str">
        <f>_xlfn.XLOOKUP(Orders[[#This Row],[ProductID]],Products[ProductID],Products[ProductName])</f>
        <v>Tennis Bat</v>
      </c>
      <c r="T86" t="str">
        <f>_xlfn.XLOOKUP(Orders[[#This Row],[ProductID]],Products[ProductID],Products[Category])</f>
        <v>Sports</v>
      </c>
    </row>
    <row r="87" spans="1:20" x14ac:dyDescent="0.25">
      <c r="A87" s="4" t="s">
        <v>183</v>
      </c>
      <c r="B87" s="5">
        <v>46014</v>
      </c>
      <c r="C87" s="15">
        <f>WEEKNUM(Orders[[#This Row],[OrderDate]])</f>
        <v>52</v>
      </c>
      <c r="D87" s="15" t="str">
        <f>TEXT(Orders[[#This Row],[OrderDate]],"mmmm")</f>
        <v>December</v>
      </c>
      <c r="E87" s="4" t="s">
        <v>184</v>
      </c>
      <c r="F87" s="4" t="s">
        <v>20</v>
      </c>
      <c r="G87" s="4">
        <v>10</v>
      </c>
      <c r="H87" s="12">
        <v>5027</v>
      </c>
      <c r="I87" s="13">
        <v>4272.95</v>
      </c>
      <c r="J87" s="13">
        <f>Orders[[#This Row],[Quantity]]*Orders[[#This Row],[Selling Price]]</f>
        <v>50270</v>
      </c>
      <c r="K87" s="13">
        <f>Orders[[#This Row],[Quantity]]*Orders[[#This Row],[Cost Price]]</f>
        <v>42729.5</v>
      </c>
      <c r="L87" s="13">
        <f>Orders[[#This Row],[Revenue]]-Orders[[#This Row],[Expenses]]</f>
        <v>7540.5</v>
      </c>
      <c r="M87" t="s">
        <v>2218</v>
      </c>
      <c r="N87" t="str">
        <f>_xlfn.XLOOKUP(Orders[[#This Row],[CustomerID]],Customers[CustomerID],Customers[CustomerName])</f>
        <v>Ngozi Obi</v>
      </c>
      <c r="O87" t="str">
        <f>_xlfn.XLOOKUP(Orders[[#This Row],[CustomerID]],Customers[CustomerID],Customers[City])</f>
        <v>Washington</v>
      </c>
      <c r="P87" t="str">
        <f>_xlfn.XLOOKUP(Orders[[#This Row],[CustomerID]],Customers[CustomerID],Customers[Gender])</f>
        <v>Female</v>
      </c>
      <c r="Q87">
        <f>_xlfn.XLOOKUP(Orders[[#This Row],[CustomerID]],Customers[CustomerID],Customers[CustomerAge])</f>
        <v>32</v>
      </c>
      <c r="R87" t="str">
        <f>IF(Orders[[#This Row],[CustomerAge]]&gt;=35, "Older", "Young")</f>
        <v>Young</v>
      </c>
      <c r="S87" t="str">
        <f>_xlfn.XLOOKUP(Orders[[#This Row],[ProductID]],Products[ProductID],Products[ProductName])</f>
        <v>Gym Bag</v>
      </c>
      <c r="T87" t="str">
        <f>_xlfn.XLOOKUP(Orders[[#This Row],[ProductID]],Products[ProductID],Products[Category])</f>
        <v>Gym</v>
      </c>
    </row>
    <row r="88" spans="1:20" x14ac:dyDescent="0.25">
      <c r="A88" s="4" t="s">
        <v>185</v>
      </c>
      <c r="B88" s="5">
        <v>45944</v>
      </c>
      <c r="C88" s="15">
        <f>WEEKNUM(Orders[[#This Row],[OrderDate]])</f>
        <v>42</v>
      </c>
      <c r="D88" s="15" t="str">
        <f>TEXT(Orders[[#This Row],[OrderDate]],"mmmm")</f>
        <v>October</v>
      </c>
      <c r="E88" s="4" t="s">
        <v>186</v>
      </c>
      <c r="F88" s="4" t="s">
        <v>37</v>
      </c>
      <c r="G88" s="4">
        <v>8</v>
      </c>
      <c r="H88" s="12">
        <v>10799.400000000001</v>
      </c>
      <c r="I88" s="13">
        <v>9179.4900000000016</v>
      </c>
      <c r="J88" s="13">
        <f>Orders[[#This Row],[Quantity]]*Orders[[#This Row],[Selling Price]]</f>
        <v>86395.200000000012</v>
      </c>
      <c r="K88" s="13">
        <f>Orders[[#This Row],[Quantity]]*Orders[[#This Row],[Cost Price]]</f>
        <v>73435.920000000013</v>
      </c>
      <c r="L88" s="13">
        <f>Orders[[#This Row],[Revenue]]-Orders[[#This Row],[Expenses]]</f>
        <v>12959.279999999999</v>
      </c>
      <c r="M88" t="s">
        <v>2205</v>
      </c>
      <c r="N88" t="str">
        <f>_xlfn.XLOOKUP(Orders[[#This Row],[CustomerID]],Customers[CustomerID],Customers[CustomerName])</f>
        <v>Ronke Eze</v>
      </c>
      <c r="O88" t="str">
        <f>_xlfn.XLOOKUP(Orders[[#This Row],[CustomerID]],Customers[CustomerID],Customers[City])</f>
        <v>Texas</v>
      </c>
      <c r="P88" t="str">
        <f>_xlfn.XLOOKUP(Orders[[#This Row],[CustomerID]],Customers[CustomerID],Customers[Gender])</f>
        <v>Female</v>
      </c>
      <c r="Q88">
        <f>_xlfn.XLOOKUP(Orders[[#This Row],[CustomerID]],Customers[CustomerID],Customers[CustomerAge])</f>
        <v>37</v>
      </c>
      <c r="R88" t="str">
        <f>IF(Orders[[#This Row],[CustomerAge]]&gt;=35, "Older", "Young")</f>
        <v>Older</v>
      </c>
      <c r="S88" t="str">
        <f>_xlfn.XLOOKUP(Orders[[#This Row],[ProductID]],Products[ProductID],Products[ProductName])</f>
        <v>Iron</v>
      </c>
      <c r="T88" t="str">
        <f>_xlfn.XLOOKUP(Orders[[#This Row],[ProductID]],Products[ProductID],Products[Category])</f>
        <v>Electronics</v>
      </c>
    </row>
    <row r="89" spans="1:20" x14ac:dyDescent="0.25">
      <c r="A89" s="4" t="s">
        <v>187</v>
      </c>
      <c r="B89" s="5">
        <v>45945</v>
      </c>
      <c r="C89" s="15">
        <f>WEEKNUM(Orders[[#This Row],[OrderDate]])</f>
        <v>42</v>
      </c>
      <c r="D89" s="15" t="str">
        <f>TEXT(Orders[[#This Row],[OrderDate]],"mmmm")</f>
        <v>October</v>
      </c>
      <c r="E89" s="4" t="s">
        <v>80</v>
      </c>
      <c r="F89" s="4" t="s">
        <v>81</v>
      </c>
      <c r="G89" s="4">
        <v>9</v>
      </c>
      <c r="H89" s="12">
        <v>17973.800000000003</v>
      </c>
      <c r="I89" s="13">
        <v>15277.730000000003</v>
      </c>
      <c r="J89" s="13">
        <f>Orders[[#This Row],[Quantity]]*Orders[[#This Row],[Selling Price]]</f>
        <v>161764.20000000001</v>
      </c>
      <c r="K89" s="13">
        <f>Orders[[#This Row],[Quantity]]*Orders[[#This Row],[Cost Price]]</f>
        <v>137499.57000000004</v>
      </c>
      <c r="L89" s="13">
        <f>Orders[[#This Row],[Revenue]]-Orders[[#This Row],[Expenses]]</f>
        <v>24264.629999999976</v>
      </c>
      <c r="M89" t="s">
        <v>2204</v>
      </c>
      <c r="N89" t="str">
        <f>_xlfn.XLOOKUP(Orders[[#This Row],[CustomerID]],Customers[CustomerID],Customers[CustomerName])</f>
        <v>Sani Ojo</v>
      </c>
      <c r="O89" t="str">
        <f>_xlfn.XLOOKUP(Orders[[#This Row],[CustomerID]],Customers[CustomerID],Customers[City])</f>
        <v>Texas</v>
      </c>
      <c r="P89" t="str">
        <f>_xlfn.XLOOKUP(Orders[[#This Row],[CustomerID]],Customers[CustomerID],Customers[Gender])</f>
        <v>Male</v>
      </c>
      <c r="Q89">
        <f>_xlfn.XLOOKUP(Orders[[#This Row],[CustomerID]],Customers[CustomerID],Customers[CustomerAge])</f>
        <v>35</v>
      </c>
      <c r="R89" t="str">
        <f>IF(Orders[[#This Row],[CustomerAge]]&gt;=35, "Older", "Young")</f>
        <v>Older</v>
      </c>
      <c r="S89" t="str">
        <f>_xlfn.XLOOKUP(Orders[[#This Row],[ProductID]],Products[ProductID],Products[ProductName])</f>
        <v>Trousers</v>
      </c>
      <c r="T89" t="str">
        <f>_xlfn.XLOOKUP(Orders[[#This Row],[ProductID]],Products[ProductID],Products[Category])</f>
        <v>Clothing</v>
      </c>
    </row>
    <row r="90" spans="1:20" x14ac:dyDescent="0.25">
      <c r="A90" s="4" t="s">
        <v>188</v>
      </c>
      <c r="B90" s="5">
        <v>46008</v>
      </c>
      <c r="C90" s="15">
        <f>WEEKNUM(Orders[[#This Row],[OrderDate]])</f>
        <v>51</v>
      </c>
      <c r="D90" s="15" t="str">
        <f>TEXT(Orders[[#This Row],[OrderDate]],"mmmm")</f>
        <v>December</v>
      </c>
      <c r="E90" s="4" t="s">
        <v>118</v>
      </c>
      <c r="F90" s="4" t="s">
        <v>189</v>
      </c>
      <c r="G90" s="4">
        <v>5</v>
      </c>
      <c r="H90" s="12">
        <v>5117</v>
      </c>
      <c r="I90" s="13">
        <v>4349.45</v>
      </c>
      <c r="J90" s="13">
        <f>Orders[[#This Row],[Quantity]]*Orders[[#This Row],[Selling Price]]</f>
        <v>25585</v>
      </c>
      <c r="K90" s="13">
        <f>Orders[[#This Row],[Quantity]]*Orders[[#This Row],[Cost Price]]</f>
        <v>21747.25</v>
      </c>
      <c r="L90" s="13">
        <f>Orders[[#This Row],[Revenue]]-Orders[[#This Row],[Expenses]]</f>
        <v>3837.75</v>
      </c>
      <c r="M90" t="s">
        <v>2203</v>
      </c>
      <c r="N90" t="str">
        <f>_xlfn.XLOOKUP(Orders[[#This Row],[CustomerID]],Customers[CustomerID],Customers[CustomerName])</f>
        <v>Ibrahim Balogun</v>
      </c>
      <c r="O90" t="str">
        <f>_xlfn.XLOOKUP(Orders[[#This Row],[CustomerID]],Customers[CustomerID],Customers[City])</f>
        <v>Georgia</v>
      </c>
      <c r="P90" t="str">
        <f>_xlfn.XLOOKUP(Orders[[#This Row],[CustomerID]],Customers[CustomerID],Customers[Gender])</f>
        <v>Male</v>
      </c>
      <c r="Q90">
        <f>_xlfn.XLOOKUP(Orders[[#This Row],[CustomerID]],Customers[CustomerID],Customers[CustomerAge])</f>
        <v>55</v>
      </c>
      <c r="R90" t="str">
        <f>IF(Orders[[#This Row],[CustomerAge]]&gt;=35, "Older", "Young")</f>
        <v>Older</v>
      </c>
      <c r="S90" t="str">
        <f>_xlfn.XLOOKUP(Orders[[#This Row],[ProductID]],Products[ProductID],Products[ProductName])</f>
        <v>Scrabble</v>
      </c>
      <c r="T90" t="str">
        <f>_xlfn.XLOOKUP(Orders[[#This Row],[ProductID]],Products[ProductID],Products[Category])</f>
        <v>Games</v>
      </c>
    </row>
    <row r="91" spans="1:20" x14ac:dyDescent="0.25">
      <c r="A91" s="4" t="s">
        <v>190</v>
      </c>
      <c r="B91" s="5">
        <v>45934</v>
      </c>
      <c r="C91" s="15">
        <f>WEEKNUM(Orders[[#This Row],[OrderDate]])</f>
        <v>40</v>
      </c>
      <c r="D91" s="15" t="str">
        <f>TEXT(Orders[[#This Row],[OrderDate]],"mmmm")</f>
        <v>October</v>
      </c>
      <c r="E91" s="4" t="s">
        <v>107</v>
      </c>
      <c r="F91" s="4" t="s">
        <v>151</v>
      </c>
      <c r="G91" s="4">
        <v>3</v>
      </c>
      <c r="H91" s="12">
        <v>1247.0999999999999</v>
      </c>
      <c r="I91" s="13">
        <v>1060.0349999999999</v>
      </c>
      <c r="J91" s="13">
        <f>Orders[[#This Row],[Quantity]]*Orders[[#This Row],[Selling Price]]</f>
        <v>3741.2999999999997</v>
      </c>
      <c r="K91" s="13">
        <f>Orders[[#This Row],[Quantity]]*Orders[[#This Row],[Cost Price]]</f>
        <v>3180.1049999999996</v>
      </c>
      <c r="L91" s="13">
        <f>Orders[[#This Row],[Revenue]]-Orders[[#This Row],[Expenses]]</f>
        <v>561.19500000000016</v>
      </c>
      <c r="M91" t="s">
        <v>2213</v>
      </c>
      <c r="N91" t="str">
        <f>_xlfn.XLOOKUP(Orders[[#This Row],[CustomerID]],Customers[CustomerID],Customers[CustomerName])</f>
        <v>Blessing Eze</v>
      </c>
      <c r="O91" t="str">
        <f>_xlfn.XLOOKUP(Orders[[#This Row],[CustomerID]],Customers[CustomerID],Customers[City])</f>
        <v>Texas</v>
      </c>
      <c r="P91" t="str">
        <f>_xlfn.XLOOKUP(Orders[[#This Row],[CustomerID]],Customers[CustomerID],Customers[Gender])</f>
        <v>Female</v>
      </c>
      <c r="Q91">
        <f>_xlfn.XLOOKUP(Orders[[#This Row],[CustomerID]],Customers[CustomerID],Customers[CustomerAge])</f>
        <v>44</v>
      </c>
      <c r="R91" t="str">
        <f>IF(Orders[[#This Row],[CustomerAge]]&gt;=35, "Older", "Young")</f>
        <v>Older</v>
      </c>
      <c r="S91" t="str">
        <f>_xlfn.XLOOKUP(Orders[[#This Row],[ProductID]],Products[ProductID],Products[ProductName])</f>
        <v>Checkers</v>
      </c>
      <c r="T91" t="str">
        <f>_xlfn.XLOOKUP(Orders[[#This Row],[ProductID]],Products[ProductID],Products[Category])</f>
        <v>Games</v>
      </c>
    </row>
    <row r="92" spans="1:20" x14ac:dyDescent="0.25">
      <c r="A92" s="4" t="s">
        <v>191</v>
      </c>
      <c r="B92" s="5">
        <v>46005</v>
      </c>
      <c r="C92" s="15">
        <f>WEEKNUM(Orders[[#This Row],[OrderDate]])</f>
        <v>51</v>
      </c>
      <c r="D92" s="15" t="str">
        <f>TEXT(Orders[[#This Row],[OrderDate]],"mmmm")</f>
        <v>December</v>
      </c>
      <c r="E92" s="4" t="s">
        <v>182</v>
      </c>
      <c r="F92" s="4" t="s">
        <v>70</v>
      </c>
      <c r="G92" s="4">
        <v>7</v>
      </c>
      <c r="H92" s="12">
        <v>18898.699999999997</v>
      </c>
      <c r="I92" s="13">
        <v>16063.894999999997</v>
      </c>
      <c r="J92" s="13">
        <f>Orders[[#This Row],[Quantity]]*Orders[[#This Row],[Selling Price]]</f>
        <v>132290.89999999997</v>
      </c>
      <c r="K92" s="13">
        <f>Orders[[#This Row],[Quantity]]*Orders[[#This Row],[Cost Price]]</f>
        <v>112447.26499999998</v>
      </c>
      <c r="L92" s="13">
        <f>Orders[[#This Row],[Revenue]]-Orders[[#This Row],[Expenses]]</f>
        <v>19843.63499999998</v>
      </c>
      <c r="M92" t="s">
        <v>2194</v>
      </c>
      <c r="N92" t="str">
        <f>_xlfn.XLOOKUP(Orders[[#This Row],[CustomerID]],Customers[CustomerID],Customers[CustomerName])</f>
        <v>Abiola Okonkwo</v>
      </c>
      <c r="O92" t="str">
        <f>_xlfn.XLOOKUP(Orders[[#This Row],[CustomerID]],Customers[CustomerID],Customers[City])</f>
        <v>Georgia</v>
      </c>
      <c r="P92" t="str">
        <f>_xlfn.XLOOKUP(Orders[[#This Row],[CustomerID]],Customers[CustomerID],Customers[Gender])</f>
        <v>Male</v>
      </c>
      <c r="Q92">
        <f>_xlfn.XLOOKUP(Orders[[#This Row],[CustomerID]],Customers[CustomerID],Customers[CustomerAge])</f>
        <v>39</v>
      </c>
      <c r="R92" t="str">
        <f>IF(Orders[[#This Row],[CustomerAge]]&gt;=35, "Older", "Young")</f>
        <v>Older</v>
      </c>
      <c r="S92" t="str">
        <f>_xlfn.XLOOKUP(Orders[[#This Row],[ProductID]],Products[ProductID],Products[ProductName])</f>
        <v>Yoga Mat</v>
      </c>
      <c r="T92" t="str">
        <f>_xlfn.XLOOKUP(Orders[[#This Row],[ProductID]],Products[ProductID],Products[Category])</f>
        <v>Gym</v>
      </c>
    </row>
    <row r="93" spans="1:20" x14ac:dyDescent="0.25">
      <c r="A93" s="4" t="s">
        <v>192</v>
      </c>
      <c r="B93" s="5">
        <v>46015</v>
      </c>
      <c r="C93" s="15">
        <f>WEEKNUM(Orders[[#This Row],[OrderDate]])</f>
        <v>52</v>
      </c>
      <c r="D93" s="15" t="str">
        <f>TEXT(Orders[[#This Row],[OrderDate]],"mmmm")</f>
        <v>December</v>
      </c>
      <c r="E93" s="4" t="s">
        <v>122</v>
      </c>
      <c r="F93" s="4" t="s">
        <v>189</v>
      </c>
      <c r="G93" s="4">
        <v>4</v>
      </c>
      <c r="H93" s="12">
        <v>2922.4</v>
      </c>
      <c r="I93" s="13">
        <v>2484.04</v>
      </c>
      <c r="J93" s="13">
        <f>Orders[[#This Row],[Quantity]]*Orders[[#This Row],[Selling Price]]</f>
        <v>11689.6</v>
      </c>
      <c r="K93" s="13">
        <f>Orders[[#This Row],[Quantity]]*Orders[[#This Row],[Cost Price]]</f>
        <v>9936.16</v>
      </c>
      <c r="L93" s="13">
        <f>Orders[[#This Row],[Revenue]]-Orders[[#This Row],[Expenses]]</f>
        <v>1753.4400000000005</v>
      </c>
      <c r="M93" t="s">
        <v>2211</v>
      </c>
      <c r="N93" t="str">
        <f>_xlfn.XLOOKUP(Orders[[#This Row],[CustomerID]],Customers[CustomerID],Customers[CustomerName])</f>
        <v>Ibrahim Eze</v>
      </c>
      <c r="O93" t="str">
        <f>_xlfn.XLOOKUP(Orders[[#This Row],[CustomerID]],Customers[CustomerID],Customers[City])</f>
        <v>Texas</v>
      </c>
      <c r="P93" t="str">
        <f>_xlfn.XLOOKUP(Orders[[#This Row],[CustomerID]],Customers[CustomerID],Customers[Gender])</f>
        <v>Male</v>
      </c>
      <c r="Q93">
        <f>_xlfn.XLOOKUP(Orders[[#This Row],[CustomerID]],Customers[CustomerID],Customers[CustomerAge])</f>
        <v>52</v>
      </c>
      <c r="R93" t="str">
        <f>IF(Orders[[#This Row],[CustomerAge]]&gt;=35, "Older", "Young")</f>
        <v>Older</v>
      </c>
      <c r="S93" t="str">
        <f>_xlfn.XLOOKUP(Orders[[#This Row],[ProductID]],Products[ProductID],Products[ProductName])</f>
        <v>Scrabble</v>
      </c>
      <c r="T93" t="str">
        <f>_xlfn.XLOOKUP(Orders[[#This Row],[ProductID]],Products[ProductID],Products[Category])</f>
        <v>Games</v>
      </c>
    </row>
    <row r="94" spans="1:20" x14ac:dyDescent="0.25">
      <c r="A94" s="4" t="s">
        <v>193</v>
      </c>
      <c r="B94" s="5">
        <v>45977</v>
      </c>
      <c r="C94" s="15">
        <f>WEEKNUM(Orders[[#This Row],[OrderDate]])</f>
        <v>47</v>
      </c>
      <c r="D94" s="15" t="str">
        <f>TEXT(Orders[[#This Row],[OrderDate]],"mmmm")</f>
        <v>November</v>
      </c>
      <c r="E94" s="4" t="s">
        <v>194</v>
      </c>
      <c r="F94" s="4" t="s">
        <v>31</v>
      </c>
      <c r="G94" s="4">
        <v>7</v>
      </c>
      <c r="H94" s="12">
        <v>15062.3</v>
      </c>
      <c r="I94" s="13">
        <v>12802.955</v>
      </c>
      <c r="J94" s="13">
        <f>Orders[[#This Row],[Quantity]]*Orders[[#This Row],[Selling Price]]</f>
        <v>105436.09999999999</v>
      </c>
      <c r="K94" s="13">
        <f>Orders[[#This Row],[Quantity]]*Orders[[#This Row],[Cost Price]]</f>
        <v>89620.684999999998</v>
      </c>
      <c r="L94" s="13">
        <f>Orders[[#This Row],[Revenue]]-Orders[[#This Row],[Expenses]]</f>
        <v>15815.414999999994</v>
      </c>
      <c r="M94" t="s">
        <v>2196</v>
      </c>
      <c r="N94" t="str">
        <f>_xlfn.XLOOKUP(Orders[[#This Row],[CustomerID]],Customers[CustomerID],Customers[CustomerName])</f>
        <v>Adanma Adeyemi</v>
      </c>
      <c r="O94" t="str">
        <f>_xlfn.XLOOKUP(Orders[[#This Row],[CustomerID]],Customers[CustomerID],Customers[City])</f>
        <v>Washington</v>
      </c>
      <c r="P94" t="str">
        <f>_xlfn.XLOOKUP(Orders[[#This Row],[CustomerID]],Customers[CustomerID],Customers[Gender])</f>
        <v>Female</v>
      </c>
      <c r="Q94">
        <f>_xlfn.XLOOKUP(Orders[[#This Row],[CustomerID]],Customers[CustomerID],Customers[CustomerAge])</f>
        <v>45</v>
      </c>
      <c r="R94" t="str">
        <f>IF(Orders[[#This Row],[CustomerAge]]&gt;=35, "Older", "Young")</f>
        <v>Older</v>
      </c>
      <c r="S94" t="str">
        <f>_xlfn.XLOOKUP(Orders[[#This Row],[ProductID]],Products[ProductID],Products[ProductName])</f>
        <v>Kids Games</v>
      </c>
      <c r="T94" t="str">
        <f>_xlfn.XLOOKUP(Orders[[#This Row],[ProductID]],Products[ProductID],Products[Category])</f>
        <v>Games</v>
      </c>
    </row>
    <row r="95" spans="1:20" x14ac:dyDescent="0.25">
      <c r="A95" s="4" t="s">
        <v>195</v>
      </c>
      <c r="B95" s="5">
        <v>45971</v>
      </c>
      <c r="C95" s="15">
        <f>WEEKNUM(Orders[[#This Row],[OrderDate]])</f>
        <v>46</v>
      </c>
      <c r="D95" s="15" t="str">
        <f>TEXT(Orders[[#This Row],[OrderDate]],"mmmm")</f>
        <v>November</v>
      </c>
      <c r="E95" s="4" t="s">
        <v>163</v>
      </c>
      <c r="F95" s="4" t="s">
        <v>28</v>
      </c>
      <c r="G95" s="4">
        <v>5</v>
      </c>
      <c r="H95" s="12">
        <v>12379.9</v>
      </c>
      <c r="I95" s="13">
        <v>10522.914999999999</v>
      </c>
      <c r="J95" s="13">
        <f>Orders[[#This Row],[Quantity]]*Orders[[#This Row],[Selling Price]]</f>
        <v>61899.5</v>
      </c>
      <c r="K95" s="13">
        <f>Orders[[#This Row],[Quantity]]*Orders[[#This Row],[Cost Price]]</f>
        <v>52614.574999999997</v>
      </c>
      <c r="L95" s="13">
        <f>Orders[[#This Row],[Revenue]]-Orders[[#This Row],[Expenses]]</f>
        <v>9284.9250000000029</v>
      </c>
      <c r="M95" t="s">
        <v>2197</v>
      </c>
      <c r="N95" t="str">
        <f>_xlfn.XLOOKUP(Orders[[#This Row],[CustomerID]],Customers[CustomerID],Customers[CustomerName])</f>
        <v>Folasade Danladi</v>
      </c>
      <c r="O95" t="str">
        <f>_xlfn.XLOOKUP(Orders[[#This Row],[CustomerID]],Customers[CustomerID],Customers[City])</f>
        <v>Texas</v>
      </c>
      <c r="P95" t="str">
        <f>_xlfn.XLOOKUP(Orders[[#This Row],[CustomerID]],Customers[CustomerID],Customers[Gender])</f>
        <v>Female</v>
      </c>
      <c r="Q95">
        <f>_xlfn.XLOOKUP(Orders[[#This Row],[CustomerID]],Customers[CustomerID],Customers[CustomerAge])</f>
        <v>32</v>
      </c>
      <c r="R95" t="str">
        <f>IF(Orders[[#This Row],[CustomerAge]]&gt;=35, "Older", "Young")</f>
        <v>Young</v>
      </c>
      <c r="S95" t="str">
        <f>_xlfn.XLOOKUP(Orders[[#This Row],[ProductID]],Products[ProductID],Products[ProductName])</f>
        <v>Sneakers</v>
      </c>
      <c r="T95" t="str">
        <f>_xlfn.XLOOKUP(Orders[[#This Row],[ProductID]],Products[ProductID],Products[Category])</f>
        <v>Sports</v>
      </c>
    </row>
    <row r="96" spans="1:20" x14ac:dyDescent="0.25">
      <c r="A96" s="4" t="s">
        <v>196</v>
      </c>
      <c r="B96" s="5">
        <v>45996</v>
      </c>
      <c r="C96" s="15">
        <f>WEEKNUM(Orders[[#This Row],[OrderDate]])</f>
        <v>49</v>
      </c>
      <c r="D96" s="15" t="str">
        <f>TEXT(Orders[[#This Row],[OrderDate]],"mmmm")</f>
        <v>December</v>
      </c>
      <c r="E96" s="4" t="s">
        <v>150</v>
      </c>
      <c r="F96" s="4" t="s">
        <v>9</v>
      </c>
      <c r="G96" s="4">
        <v>5</v>
      </c>
      <c r="H96" s="12">
        <v>5554.2999999999993</v>
      </c>
      <c r="I96" s="13">
        <v>4721.1549999999997</v>
      </c>
      <c r="J96" s="13">
        <f>Orders[[#This Row],[Quantity]]*Orders[[#This Row],[Selling Price]]</f>
        <v>27771.499999999996</v>
      </c>
      <c r="K96" s="13">
        <f>Orders[[#This Row],[Quantity]]*Orders[[#This Row],[Cost Price]]</f>
        <v>23605.774999999998</v>
      </c>
      <c r="L96" s="13">
        <f>Orders[[#This Row],[Revenue]]-Orders[[#This Row],[Expenses]]</f>
        <v>4165.7249999999985</v>
      </c>
      <c r="M96" t="s">
        <v>2192</v>
      </c>
      <c r="N96" t="str">
        <f>_xlfn.XLOOKUP(Orders[[#This Row],[CustomerID]],Customers[CustomerID],Customers[CustomerName])</f>
        <v>Ronke Eze</v>
      </c>
      <c r="O96" t="str">
        <f>_xlfn.XLOOKUP(Orders[[#This Row],[CustomerID]],Customers[CustomerID],Customers[City])</f>
        <v>Georgia</v>
      </c>
      <c r="P96" t="str">
        <f>_xlfn.XLOOKUP(Orders[[#This Row],[CustomerID]],Customers[CustomerID],Customers[Gender])</f>
        <v>Female</v>
      </c>
      <c r="Q96">
        <f>_xlfn.XLOOKUP(Orders[[#This Row],[CustomerID]],Customers[CustomerID],Customers[CustomerAge])</f>
        <v>23</v>
      </c>
      <c r="R96" t="str">
        <f>IF(Orders[[#This Row],[CustomerAge]]&gt;=35, "Older", "Young")</f>
        <v>Young</v>
      </c>
      <c r="S96" t="str">
        <f>_xlfn.XLOOKUP(Orders[[#This Row],[ProductID]],Products[ProductID],Products[ProductName])</f>
        <v>Beaded Earrings And Necklaces</v>
      </c>
      <c r="T96" t="str">
        <f>_xlfn.XLOOKUP(Orders[[#This Row],[ProductID]],Products[ProductID],Products[Category])</f>
        <v>Accessories</v>
      </c>
    </row>
    <row r="97" spans="1:20" x14ac:dyDescent="0.25">
      <c r="A97" s="4" t="s">
        <v>197</v>
      </c>
      <c r="B97" s="5">
        <v>46017</v>
      </c>
      <c r="C97" s="15">
        <f>WEEKNUM(Orders[[#This Row],[OrderDate]])</f>
        <v>52</v>
      </c>
      <c r="D97" s="15" t="str">
        <f>TEXT(Orders[[#This Row],[OrderDate]],"mmmm")</f>
        <v>December</v>
      </c>
      <c r="E97" s="4" t="s">
        <v>198</v>
      </c>
      <c r="F97" s="4" t="s">
        <v>46</v>
      </c>
      <c r="G97" s="4">
        <v>9</v>
      </c>
      <c r="H97" s="12">
        <v>17808.900000000001</v>
      </c>
      <c r="I97" s="13">
        <v>15137.565000000002</v>
      </c>
      <c r="J97" s="13">
        <f>Orders[[#This Row],[Quantity]]*Orders[[#This Row],[Selling Price]]</f>
        <v>160280.1</v>
      </c>
      <c r="K97" s="13">
        <f>Orders[[#This Row],[Quantity]]*Orders[[#This Row],[Cost Price]]</f>
        <v>136238.08500000002</v>
      </c>
      <c r="L97" s="13">
        <f>Orders[[#This Row],[Revenue]]-Orders[[#This Row],[Expenses]]</f>
        <v>24042.014999999985</v>
      </c>
      <c r="M97" t="s">
        <v>2192</v>
      </c>
      <c r="N97" t="str">
        <f>_xlfn.XLOOKUP(Orders[[#This Row],[CustomerID]],Customers[CustomerID],Customers[CustomerName])</f>
        <v>Blessing Danladi</v>
      </c>
      <c r="O97" t="str">
        <f>_xlfn.XLOOKUP(Orders[[#This Row],[CustomerID]],Customers[CustomerID],Customers[City])</f>
        <v>Texas</v>
      </c>
      <c r="P97" t="str">
        <f>_xlfn.XLOOKUP(Orders[[#This Row],[CustomerID]],Customers[CustomerID],Customers[Gender])</f>
        <v>Female</v>
      </c>
      <c r="Q97">
        <f>_xlfn.XLOOKUP(Orders[[#This Row],[CustomerID]],Customers[CustomerID],Customers[CustomerAge])</f>
        <v>19</v>
      </c>
      <c r="R97" t="str">
        <f>IF(Orders[[#This Row],[CustomerAge]]&gt;=35, "Older", "Young")</f>
        <v>Young</v>
      </c>
      <c r="S97" t="str">
        <f>_xlfn.XLOOKUP(Orders[[#This Row],[ProductID]],Products[ProductID],Products[ProductName])</f>
        <v>Turtle Neck</v>
      </c>
      <c r="T97" t="str">
        <f>_xlfn.XLOOKUP(Orders[[#This Row],[ProductID]],Products[ProductID],Products[Category])</f>
        <v>Clothing</v>
      </c>
    </row>
    <row r="98" spans="1:20" x14ac:dyDescent="0.25">
      <c r="A98" s="4" t="s">
        <v>199</v>
      </c>
      <c r="B98" s="5">
        <v>46011</v>
      </c>
      <c r="C98" s="15">
        <f>WEEKNUM(Orders[[#This Row],[OrderDate]])</f>
        <v>51</v>
      </c>
      <c r="D98" s="15" t="str">
        <f>TEXT(Orders[[#This Row],[OrderDate]],"mmmm")</f>
        <v>December</v>
      </c>
      <c r="E98" s="4" t="s">
        <v>116</v>
      </c>
      <c r="F98" s="4" t="s">
        <v>63</v>
      </c>
      <c r="G98" s="4">
        <v>8</v>
      </c>
      <c r="H98" s="12">
        <v>9839.1999999999989</v>
      </c>
      <c r="I98" s="13">
        <v>8363.32</v>
      </c>
      <c r="J98" s="13">
        <f>Orders[[#This Row],[Quantity]]*Orders[[#This Row],[Selling Price]]</f>
        <v>78713.599999999991</v>
      </c>
      <c r="K98" s="13">
        <f>Orders[[#This Row],[Quantity]]*Orders[[#This Row],[Cost Price]]</f>
        <v>66906.559999999998</v>
      </c>
      <c r="L98" s="13">
        <f>Orders[[#This Row],[Revenue]]-Orders[[#This Row],[Expenses]]</f>
        <v>11807.039999999994</v>
      </c>
      <c r="M98" t="s">
        <v>2202</v>
      </c>
      <c r="N98" t="str">
        <f>_xlfn.XLOOKUP(Orders[[#This Row],[CustomerID]],Customers[CustomerID],Customers[CustomerName])</f>
        <v>Uche Bello</v>
      </c>
      <c r="O98" t="str">
        <f>_xlfn.XLOOKUP(Orders[[#This Row],[CustomerID]],Customers[CustomerID],Customers[City])</f>
        <v>Texas</v>
      </c>
      <c r="P98" t="str">
        <f>_xlfn.XLOOKUP(Orders[[#This Row],[CustomerID]],Customers[CustomerID],Customers[Gender])</f>
        <v>Male</v>
      </c>
      <c r="Q98">
        <f>_xlfn.XLOOKUP(Orders[[#This Row],[CustomerID]],Customers[CustomerID],Customers[CustomerAge])</f>
        <v>21</v>
      </c>
      <c r="R98" t="str">
        <f>IF(Orders[[#This Row],[CustomerAge]]&gt;=35, "Older", "Young")</f>
        <v>Young</v>
      </c>
      <c r="S98" t="str">
        <f>_xlfn.XLOOKUP(Orders[[#This Row],[ProductID]],Products[ProductID],Products[ProductName])</f>
        <v>Tennis Bat</v>
      </c>
      <c r="T98" t="str">
        <f>_xlfn.XLOOKUP(Orders[[#This Row],[ProductID]],Products[ProductID],Products[Category])</f>
        <v>Sports</v>
      </c>
    </row>
    <row r="99" spans="1:20" x14ac:dyDescent="0.25">
      <c r="A99" s="4" t="s">
        <v>200</v>
      </c>
      <c r="B99" s="5">
        <v>45958</v>
      </c>
      <c r="C99" s="15">
        <f>WEEKNUM(Orders[[#This Row],[OrderDate]])</f>
        <v>44</v>
      </c>
      <c r="D99" s="15" t="str">
        <f>TEXT(Orders[[#This Row],[OrderDate]],"mmmm")</f>
        <v>October</v>
      </c>
      <c r="E99" s="4" t="s">
        <v>201</v>
      </c>
      <c r="F99" s="4" t="s">
        <v>28</v>
      </c>
      <c r="G99" s="4">
        <v>2</v>
      </c>
      <c r="H99" s="12">
        <v>9086.2999999999993</v>
      </c>
      <c r="I99" s="13">
        <v>7723.3549999999996</v>
      </c>
      <c r="J99" s="13">
        <f>Orders[[#This Row],[Quantity]]*Orders[[#This Row],[Selling Price]]</f>
        <v>18172.599999999999</v>
      </c>
      <c r="K99" s="13">
        <f>Orders[[#This Row],[Quantity]]*Orders[[#This Row],[Cost Price]]</f>
        <v>15446.71</v>
      </c>
      <c r="L99" s="13">
        <f>Orders[[#This Row],[Revenue]]-Orders[[#This Row],[Expenses]]</f>
        <v>2725.8899999999994</v>
      </c>
      <c r="M99" t="s">
        <v>2214</v>
      </c>
      <c r="N99" t="str">
        <f>_xlfn.XLOOKUP(Orders[[#This Row],[CustomerID]],Customers[CustomerID],Customers[CustomerName])</f>
        <v>Sani Igwe</v>
      </c>
      <c r="O99" t="str">
        <f>_xlfn.XLOOKUP(Orders[[#This Row],[CustomerID]],Customers[CustomerID],Customers[City])</f>
        <v>Georgia</v>
      </c>
      <c r="P99" t="str">
        <f>_xlfn.XLOOKUP(Orders[[#This Row],[CustomerID]],Customers[CustomerID],Customers[Gender])</f>
        <v>Male</v>
      </c>
      <c r="Q99">
        <f>_xlfn.XLOOKUP(Orders[[#This Row],[CustomerID]],Customers[CustomerID],Customers[CustomerAge])</f>
        <v>20</v>
      </c>
      <c r="R99" t="str">
        <f>IF(Orders[[#This Row],[CustomerAge]]&gt;=35, "Older", "Young")</f>
        <v>Young</v>
      </c>
      <c r="S99" t="str">
        <f>_xlfn.XLOOKUP(Orders[[#This Row],[ProductID]],Products[ProductID],Products[ProductName])</f>
        <v>Sneakers</v>
      </c>
      <c r="T99" t="str">
        <f>_xlfn.XLOOKUP(Orders[[#This Row],[ProductID]],Products[ProductID],Products[Category])</f>
        <v>Sports</v>
      </c>
    </row>
    <row r="100" spans="1:20" x14ac:dyDescent="0.25">
      <c r="A100" s="4" t="s">
        <v>202</v>
      </c>
      <c r="B100" s="5">
        <v>45990</v>
      </c>
      <c r="C100" s="15">
        <f>WEEKNUM(Orders[[#This Row],[OrderDate]])</f>
        <v>48</v>
      </c>
      <c r="D100" s="15" t="str">
        <f>TEXT(Orders[[#This Row],[OrderDate]],"mmmm")</f>
        <v>November</v>
      </c>
      <c r="E100" s="4" t="s">
        <v>203</v>
      </c>
      <c r="F100" s="4" t="s">
        <v>46</v>
      </c>
      <c r="G100" s="4">
        <v>4</v>
      </c>
      <c r="H100" s="12">
        <v>9502.2000000000007</v>
      </c>
      <c r="I100" s="13">
        <v>8076.8700000000008</v>
      </c>
      <c r="J100" s="13">
        <f>Orders[[#This Row],[Quantity]]*Orders[[#This Row],[Selling Price]]</f>
        <v>38008.800000000003</v>
      </c>
      <c r="K100" s="13">
        <f>Orders[[#This Row],[Quantity]]*Orders[[#This Row],[Cost Price]]</f>
        <v>32307.480000000003</v>
      </c>
      <c r="L100" s="13">
        <f>Orders[[#This Row],[Revenue]]-Orders[[#This Row],[Expenses]]</f>
        <v>5701.32</v>
      </c>
      <c r="M100" t="s">
        <v>2206</v>
      </c>
      <c r="N100" t="str">
        <f>_xlfn.XLOOKUP(Orders[[#This Row],[CustomerID]],Customers[CustomerID],Customers[CustomerName])</f>
        <v>Okon Bello</v>
      </c>
      <c r="O100" t="str">
        <f>_xlfn.XLOOKUP(Orders[[#This Row],[CustomerID]],Customers[CustomerID],Customers[City])</f>
        <v>Texas</v>
      </c>
      <c r="P100" t="str">
        <f>_xlfn.XLOOKUP(Orders[[#This Row],[CustomerID]],Customers[CustomerID],Customers[Gender])</f>
        <v>Male</v>
      </c>
      <c r="Q100">
        <f>_xlfn.XLOOKUP(Orders[[#This Row],[CustomerID]],Customers[CustomerID],Customers[CustomerAge])</f>
        <v>20</v>
      </c>
      <c r="R100" t="str">
        <f>IF(Orders[[#This Row],[CustomerAge]]&gt;=35, "Older", "Young")</f>
        <v>Young</v>
      </c>
      <c r="S100" t="str">
        <f>_xlfn.XLOOKUP(Orders[[#This Row],[ProductID]],Products[ProductID],Products[ProductName])</f>
        <v>Turtle Neck</v>
      </c>
      <c r="T100" t="str">
        <f>_xlfn.XLOOKUP(Orders[[#This Row],[ProductID]],Products[ProductID],Products[Category])</f>
        <v>Clothing</v>
      </c>
    </row>
    <row r="101" spans="1:20" x14ac:dyDescent="0.25">
      <c r="A101" s="4" t="s">
        <v>204</v>
      </c>
      <c r="B101" s="5">
        <v>45994</v>
      </c>
      <c r="C101" s="15">
        <f>WEEKNUM(Orders[[#This Row],[OrderDate]])</f>
        <v>49</v>
      </c>
      <c r="D101" s="15" t="str">
        <f>TEXT(Orders[[#This Row],[OrderDate]],"mmmm")</f>
        <v>December</v>
      </c>
      <c r="E101" s="4" t="s">
        <v>205</v>
      </c>
      <c r="F101" s="4" t="s">
        <v>46</v>
      </c>
      <c r="G101" s="4">
        <v>6</v>
      </c>
      <c r="H101" s="12">
        <v>14337.3</v>
      </c>
      <c r="I101" s="13">
        <v>12186.705</v>
      </c>
      <c r="J101" s="13">
        <f>Orders[[#This Row],[Quantity]]*Orders[[#This Row],[Selling Price]]</f>
        <v>86023.799999999988</v>
      </c>
      <c r="K101" s="13">
        <f>Orders[[#This Row],[Quantity]]*Orders[[#This Row],[Cost Price]]</f>
        <v>73120.23</v>
      </c>
      <c r="L101" s="13">
        <f>Orders[[#This Row],[Revenue]]-Orders[[#This Row],[Expenses]]</f>
        <v>12903.569999999992</v>
      </c>
      <c r="M101" t="s">
        <v>2192</v>
      </c>
      <c r="N101" t="str">
        <f>_xlfn.XLOOKUP(Orders[[#This Row],[CustomerID]],Customers[CustomerID],Customers[CustomerName])</f>
        <v>Jide Adeyemi</v>
      </c>
      <c r="O101" t="str">
        <f>_xlfn.XLOOKUP(Orders[[#This Row],[CustomerID]],Customers[CustomerID],Customers[City])</f>
        <v>Washington</v>
      </c>
      <c r="P101" t="str">
        <f>_xlfn.XLOOKUP(Orders[[#This Row],[CustomerID]],Customers[CustomerID],Customers[Gender])</f>
        <v>Male</v>
      </c>
      <c r="Q101">
        <f>_xlfn.XLOOKUP(Orders[[#This Row],[CustomerID]],Customers[CustomerID],Customers[CustomerAge])</f>
        <v>19</v>
      </c>
      <c r="R101" t="str">
        <f>IF(Orders[[#This Row],[CustomerAge]]&gt;=35, "Older", "Young")</f>
        <v>Young</v>
      </c>
      <c r="S101" t="str">
        <f>_xlfn.XLOOKUP(Orders[[#This Row],[ProductID]],Products[ProductID],Products[ProductName])</f>
        <v>Turtle Neck</v>
      </c>
      <c r="T101" t="str">
        <f>_xlfn.XLOOKUP(Orders[[#This Row],[ProductID]],Products[ProductID],Products[Category])</f>
        <v>Clothing</v>
      </c>
    </row>
    <row r="102" spans="1:20" x14ac:dyDescent="0.25">
      <c r="A102" s="4" t="s">
        <v>206</v>
      </c>
      <c r="B102" s="5">
        <v>45942</v>
      </c>
      <c r="C102" s="15">
        <f>WEEKNUM(Orders[[#This Row],[OrderDate]])</f>
        <v>42</v>
      </c>
      <c r="D102" s="15" t="str">
        <f>TEXT(Orders[[#This Row],[OrderDate]],"mmmm")</f>
        <v>October</v>
      </c>
      <c r="E102" s="4" t="s">
        <v>207</v>
      </c>
      <c r="F102" s="4" t="s">
        <v>208</v>
      </c>
      <c r="G102" s="4">
        <v>7</v>
      </c>
      <c r="H102" s="12">
        <v>18104.3</v>
      </c>
      <c r="I102" s="13">
        <v>15388.654999999999</v>
      </c>
      <c r="J102" s="13">
        <f>Orders[[#This Row],[Quantity]]*Orders[[#This Row],[Selling Price]]</f>
        <v>126730.09999999999</v>
      </c>
      <c r="K102" s="13">
        <f>Orders[[#This Row],[Quantity]]*Orders[[#This Row],[Cost Price]]</f>
        <v>107720.58499999999</v>
      </c>
      <c r="L102" s="13">
        <f>Orders[[#This Row],[Revenue]]-Orders[[#This Row],[Expenses]]</f>
        <v>19009.514999999999</v>
      </c>
      <c r="M102" t="s">
        <v>2201</v>
      </c>
      <c r="N102" t="str">
        <f>_xlfn.XLOOKUP(Orders[[#This Row],[CustomerID]],Customers[CustomerID],Customers[CustomerName])</f>
        <v>Bisi Eze</v>
      </c>
      <c r="O102" t="str">
        <f>_xlfn.XLOOKUP(Orders[[#This Row],[CustomerID]],Customers[CustomerID],Customers[City])</f>
        <v>Florida</v>
      </c>
      <c r="P102" t="str">
        <f>_xlfn.XLOOKUP(Orders[[#This Row],[CustomerID]],Customers[CustomerID],Customers[Gender])</f>
        <v>Female</v>
      </c>
      <c r="Q102">
        <f>_xlfn.XLOOKUP(Orders[[#This Row],[CustomerID]],Customers[CustomerID],Customers[CustomerAge])</f>
        <v>37</v>
      </c>
      <c r="R102" t="str">
        <f>IF(Orders[[#This Row],[CustomerAge]]&gt;=35, "Older", "Young")</f>
        <v>Older</v>
      </c>
      <c r="S102" t="str">
        <f>_xlfn.XLOOKUP(Orders[[#This Row],[ProductID]],Products[ProductID],Products[ProductName])</f>
        <v>Skipping Rope</v>
      </c>
      <c r="T102" t="str">
        <f>_xlfn.XLOOKUP(Orders[[#This Row],[ProductID]],Products[ProductID],Products[Category])</f>
        <v>Sports</v>
      </c>
    </row>
    <row r="103" spans="1:20" x14ac:dyDescent="0.25">
      <c r="A103" s="4" t="s">
        <v>209</v>
      </c>
      <c r="B103" s="5">
        <v>46018</v>
      </c>
      <c r="C103" s="15">
        <f>WEEKNUM(Orders[[#This Row],[OrderDate]])</f>
        <v>52</v>
      </c>
      <c r="D103" s="15" t="str">
        <f>TEXT(Orders[[#This Row],[OrderDate]],"mmmm")</f>
        <v>December</v>
      </c>
      <c r="E103" s="4" t="s">
        <v>210</v>
      </c>
      <c r="F103" s="4" t="s">
        <v>53</v>
      </c>
      <c r="G103" s="4">
        <v>8</v>
      </c>
      <c r="H103" s="12">
        <v>19591.199999999997</v>
      </c>
      <c r="I103" s="13">
        <v>16652.519999999997</v>
      </c>
      <c r="J103" s="13">
        <f>Orders[[#This Row],[Quantity]]*Orders[[#This Row],[Selling Price]]</f>
        <v>156729.59999999998</v>
      </c>
      <c r="K103" s="13">
        <f>Orders[[#This Row],[Quantity]]*Orders[[#This Row],[Cost Price]]</f>
        <v>133220.15999999997</v>
      </c>
      <c r="L103" s="13">
        <f>Orders[[#This Row],[Revenue]]-Orders[[#This Row],[Expenses]]</f>
        <v>23509.440000000002</v>
      </c>
      <c r="M103" t="s">
        <v>2192</v>
      </c>
      <c r="N103" t="str">
        <f>_xlfn.XLOOKUP(Orders[[#This Row],[CustomerID]],Customers[CustomerID],Customers[CustomerName])</f>
        <v>Zainab Bello</v>
      </c>
      <c r="O103" t="str">
        <f>_xlfn.XLOOKUP(Orders[[#This Row],[CustomerID]],Customers[CustomerID],Customers[City])</f>
        <v>Illinois</v>
      </c>
      <c r="P103" t="str">
        <f>_xlfn.XLOOKUP(Orders[[#This Row],[CustomerID]],Customers[CustomerID],Customers[Gender])</f>
        <v>Female</v>
      </c>
      <c r="Q103">
        <f>_xlfn.XLOOKUP(Orders[[#This Row],[CustomerID]],Customers[CustomerID],Customers[CustomerAge])</f>
        <v>27</v>
      </c>
      <c r="R103" t="str">
        <f>IF(Orders[[#This Row],[CustomerAge]]&gt;=35, "Older", "Young")</f>
        <v>Young</v>
      </c>
      <c r="S103" t="str">
        <f>_xlfn.XLOOKUP(Orders[[#This Row],[ProductID]],Products[ProductID],Products[ProductName])</f>
        <v>Silver Bangles</v>
      </c>
      <c r="T103" t="str">
        <f>_xlfn.XLOOKUP(Orders[[#This Row],[ProductID]],Products[ProductID],Products[Category])</f>
        <v>Accessories</v>
      </c>
    </row>
    <row r="104" spans="1:20" x14ac:dyDescent="0.25">
      <c r="A104" s="4" t="s">
        <v>211</v>
      </c>
      <c r="B104" s="5">
        <v>45980</v>
      </c>
      <c r="C104" s="15">
        <f>WEEKNUM(Orders[[#This Row],[OrderDate]])</f>
        <v>47</v>
      </c>
      <c r="D104" s="15" t="str">
        <f>TEXT(Orders[[#This Row],[OrderDate]],"mmmm")</f>
        <v>November</v>
      </c>
      <c r="E104" s="4" t="s">
        <v>212</v>
      </c>
      <c r="F104" s="4" t="s">
        <v>15</v>
      </c>
      <c r="G104" s="4">
        <v>10</v>
      </c>
      <c r="H104" s="12">
        <v>11178</v>
      </c>
      <c r="I104" s="13">
        <v>9501.2999999999993</v>
      </c>
      <c r="J104" s="13">
        <f>Orders[[#This Row],[Quantity]]*Orders[[#This Row],[Selling Price]]</f>
        <v>111780</v>
      </c>
      <c r="K104" s="13">
        <f>Orders[[#This Row],[Quantity]]*Orders[[#This Row],[Cost Price]]</f>
        <v>95013</v>
      </c>
      <c r="L104" s="13">
        <f>Orders[[#This Row],[Revenue]]-Orders[[#This Row],[Expenses]]</f>
        <v>16767</v>
      </c>
      <c r="M104" t="s">
        <v>2220</v>
      </c>
      <c r="N104" t="str">
        <f>_xlfn.XLOOKUP(Orders[[#This Row],[CustomerID]],Customers[CustomerID],Customers[CustomerName])</f>
        <v>Ngozi Ojo</v>
      </c>
      <c r="O104" t="str">
        <f>_xlfn.XLOOKUP(Orders[[#This Row],[CustomerID]],Customers[CustomerID],Customers[City])</f>
        <v>Illinois</v>
      </c>
      <c r="P104" t="str">
        <f>_xlfn.XLOOKUP(Orders[[#This Row],[CustomerID]],Customers[CustomerID],Customers[Gender])</f>
        <v>Female</v>
      </c>
      <c r="Q104">
        <f>_xlfn.XLOOKUP(Orders[[#This Row],[CustomerID]],Customers[CustomerID],Customers[CustomerAge])</f>
        <v>53</v>
      </c>
      <c r="R104" t="str">
        <f>IF(Orders[[#This Row],[CustomerAge]]&gt;=35, "Older", "Young")</f>
        <v>Older</v>
      </c>
      <c r="S104" t="str">
        <f>_xlfn.XLOOKUP(Orders[[#This Row],[ProductID]],Products[ProductID],Products[ProductName])</f>
        <v>Monopoly</v>
      </c>
      <c r="T104" t="str">
        <f>_xlfn.XLOOKUP(Orders[[#This Row],[ProductID]],Products[ProductID],Products[Category])</f>
        <v>Games</v>
      </c>
    </row>
    <row r="105" spans="1:20" x14ac:dyDescent="0.25">
      <c r="A105" s="4" t="s">
        <v>213</v>
      </c>
      <c r="B105" s="5">
        <v>45977</v>
      </c>
      <c r="C105" s="15">
        <f>WEEKNUM(Orders[[#This Row],[OrderDate]])</f>
        <v>47</v>
      </c>
      <c r="D105" s="15" t="str">
        <f>TEXT(Orders[[#This Row],[OrderDate]],"mmmm")</f>
        <v>November</v>
      </c>
      <c r="E105" s="4" t="s">
        <v>214</v>
      </c>
      <c r="F105" s="4" t="s">
        <v>37</v>
      </c>
      <c r="G105" s="4">
        <v>4</v>
      </c>
      <c r="H105" s="12">
        <v>17904.400000000001</v>
      </c>
      <c r="I105" s="13">
        <v>15218.740000000002</v>
      </c>
      <c r="J105" s="13">
        <f>Orders[[#This Row],[Quantity]]*Orders[[#This Row],[Selling Price]]</f>
        <v>71617.600000000006</v>
      </c>
      <c r="K105" s="13">
        <f>Orders[[#This Row],[Quantity]]*Orders[[#This Row],[Cost Price]]</f>
        <v>60874.960000000006</v>
      </c>
      <c r="L105" s="13">
        <f>Orders[[#This Row],[Revenue]]-Orders[[#This Row],[Expenses]]</f>
        <v>10742.64</v>
      </c>
      <c r="M105" t="s">
        <v>2218</v>
      </c>
      <c r="N105" t="str">
        <f>_xlfn.XLOOKUP(Orders[[#This Row],[CustomerID]],Customers[CustomerID],Customers[CustomerName])</f>
        <v>Adanma Okonkwo</v>
      </c>
      <c r="O105" t="str">
        <f>_xlfn.XLOOKUP(Orders[[#This Row],[CustomerID]],Customers[CustomerID],Customers[City])</f>
        <v>California</v>
      </c>
      <c r="P105" t="str">
        <f>_xlfn.XLOOKUP(Orders[[#This Row],[CustomerID]],Customers[CustomerID],Customers[Gender])</f>
        <v>Female</v>
      </c>
      <c r="Q105">
        <f>_xlfn.XLOOKUP(Orders[[#This Row],[CustomerID]],Customers[CustomerID],Customers[CustomerAge])</f>
        <v>20</v>
      </c>
      <c r="R105" t="str">
        <f>IF(Orders[[#This Row],[CustomerAge]]&gt;=35, "Older", "Young")</f>
        <v>Young</v>
      </c>
      <c r="S105" t="str">
        <f>_xlfn.XLOOKUP(Orders[[#This Row],[ProductID]],Products[ProductID],Products[ProductName])</f>
        <v>Iron</v>
      </c>
      <c r="T105" t="str">
        <f>_xlfn.XLOOKUP(Orders[[#This Row],[ProductID]],Products[ProductID],Products[Category])</f>
        <v>Electronics</v>
      </c>
    </row>
    <row r="106" spans="1:20" x14ac:dyDescent="0.25">
      <c r="A106" s="4" t="s">
        <v>215</v>
      </c>
      <c r="B106" s="5">
        <v>46020</v>
      </c>
      <c r="C106" s="15">
        <f>WEEKNUM(Orders[[#This Row],[OrderDate]])</f>
        <v>53</v>
      </c>
      <c r="D106" s="15" t="str">
        <f>TEXT(Orders[[#This Row],[OrderDate]],"mmmm")</f>
        <v>December</v>
      </c>
      <c r="E106" s="4" t="s">
        <v>216</v>
      </c>
      <c r="F106" s="4" t="s">
        <v>151</v>
      </c>
      <c r="G106" s="4">
        <v>4</v>
      </c>
      <c r="H106" s="12">
        <v>1529.9</v>
      </c>
      <c r="I106" s="13">
        <v>1300.415</v>
      </c>
      <c r="J106" s="13">
        <f>Orders[[#This Row],[Quantity]]*Orders[[#This Row],[Selling Price]]</f>
        <v>6119.6</v>
      </c>
      <c r="K106" s="13">
        <f>Orders[[#This Row],[Quantity]]*Orders[[#This Row],[Cost Price]]</f>
        <v>5201.66</v>
      </c>
      <c r="L106" s="13">
        <f>Orders[[#This Row],[Revenue]]-Orders[[#This Row],[Expenses]]</f>
        <v>917.94000000000051</v>
      </c>
      <c r="M106" t="s">
        <v>2218</v>
      </c>
      <c r="N106" t="str">
        <f>_xlfn.XLOOKUP(Orders[[#This Row],[CustomerID]],Customers[CustomerID],Customers[CustomerName])</f>
        <v>Ngozi Obi</v>
      </c>
      <c r="O106" t="str">
        <f>_xlfn.XLOOKUP(Orders[[#This Row],[CustomerID]],Customers[CustomerID],Customers[City])</f>
        <v>California</v>
      </c>
      <c r="P106" t="str">
        <f>_xlfn.XLOOKUP(Orders[[#This Row],[CustomerID]],Customers[CustomerID],Customers[Gender])</f>
        <v>Female</v>
      </c>
      <c r="Q106">
        <f>_xlfn.XLOOKUP(Orders[[#This Row],[CustomerID]],Customers[CustomerID],Customers[CustomerAge])</f>
        <v>54</v>
      </c>
      <c r="R106" t="str">
        <f>IF(Orders[[#This Row],[CustomerAge]]&gt;=35, "Older", "Young")</f>
        <v>Older</v>
      </c>
      <c r="S106" t="str">
        <f>_xlfn.XLOOKUP(Orders[[#This Row],[ProductID]],Products[ProductID],Products[ProductName])</f>
        <v>Checkers</v>
      </c>
      <c r="T106" t="str">
        <f>_xlfn.XLOOKUP(Orders[[#This Row],[ProductID]],Products[ProductID],Products[Category])</f>
        <v>Games</v>
      </c>
    </row>
    <row r="107" spans="1:20" x14ac:dyDescent="0.25">
      <c r="A107" s="4" t="s">
        <v>217</v>
      </c>
      <c r="B107" s="5">
        <v>45939</v>
      </c>
      <c r="C107" s="15">
        <f>WEEKNUM(Orders[[#This Row],[OrderDate]])</f>
        <v>41</v>
      </c>
      <c r="D107" s="15" t="str">
        <f>TEXT(Orders[[#This Row],[OrderDate]],"mmmm")</f>
        <v>October</v>
      </c>
      <c r="E107" s="4" t="s">
        <v>218</v>
      </c>
      <c r="F107" s="4" t="s">
        <v>57</v>
      </c>
      <c r="G107" s="4">
        <v>9</v>
      </c>
      <c r="H107" s="12">
        <v>16956.199999999997</v>
      </c>
      <c r="I107" s="13">
        <v>14412.769999999997</v>
      </c>
      <c r="J107" s="13">
        <f>Orders[[#This Row],[Quantity]]*Orders[[#This Row],[Selling Price]]</f>
        <v>152605.79999999999</v>
      </c>
      <c r="K107" s="13">
        <f>Orders[[#This Row],[Quantity]]*Orders[[#This Row],[Cost Price]]</f>
        <v>129714.92999999996</v>
      </c>
      <c r="L107" s="13">
        <f>Orders[[#This Row],[Revenue]]-Orders[[#This Row],[Expenses]]</f>
        <v>22890.870000000024</v>
      </c>
      <c r="M107" t="s">
        <v>2207</v>
      </c>
      <c r="N107" t="str">
        <f>_xlfn.XLOOKUP(Orders[[#This Row],[CustomerID]],Customers[CustomerID],Customers[CustomerName])</f>
        <v>Temi Danladi</v>
      </c>
      <c r="O107" t="str">
        <f>_xlfn.XLOOKUP(Orders[[#This Row],[CustomerID]],Customers[CustomerID],Customers[City])</f>
        <v>Florida</v>
      </c>
      <c r="P107" t="str">
        <f>_xlfn.XLOOKUP(Orders[[#This Row],[CustomerID]],Customers[CustomerID],Customers[Gender])</f>
        <v>Female</v>
      </c>
      <c r="Q107">
        <f>_xlfn.XLOOKUP(Orders[[#This Row],[CustomerID]],Customers[CustomerID],Customers[CustomerAge])</f>
        <v>48</v>
      </c>
      <c r="R107" t="str">
        <f>IF(Orders[[#This Row],[CustomerAge]]&gt;=35, "Older", "Young")</f>
        <v>Older</v>
      </c>
      <c r="S107" t="str">
        <f>_xlfn.XLOOKUP(Orders[[#This Row],[ProductID]],Products[ProductID],Products[ProductName])</f>
        <v>Badminton Racket</v>
      </c>
      <c r="T107" t="str">
        <f>_xlfn.XLOOKUP(Orders[[#This Row],[ProductID]],Products[ProductID],Products[Category])</f>
        <v>Sports</v>
      </c>
    </row>
    <row r="108" spans="1:20" x14ac:dyDescent="0.25">
      <c r="A108" s="4" t="s">
        <v>219</v>
      </c>
      <c r="B108" s="5">
        <v>45954</v>
      </c>
      <c r="C108" s="15">
        <f>WEEKNUM(Orders[[#This Row],[OrderDate]])</f>
        <v>43</v>
      </c>
      <c r="D108" s="15" t="str">
        <f>TEXT(Orders[[#This Row],[OrderDate]],"mmmm")</f>
        <v>October</v>
      </c>
      <c r="E108" s="4" t="s">
        <v>103</v>
      </c>
      <c r="F108" s="4" t="s">
        <v>53</v>
      </c>
      <c r="G108" s="4">
        <v>3</v>
      </c>
      <c r="H108" s="12">
        <v>16711.400000000001</v>
      </c>
      <c r="I108" s="13">
        <v>14204.690000000002</v>
      </c>
      <c r="J108" s="13">
        <f>Orders[[#This Row],[Quantity]]*Orders[[#This Row],[Selling Price]]</f>
        <v>50134.200000000004</v>
      </c>
      <c r="K108" s="13">
        <f>Orders[[#This Row],[Quantity]]*Orders[[#This Row],[Cost Price]]</f>
        <v>42614.070000000007</v>
      </c>
      <c r="L108" s="13">
        <f>Orders[[#This Row],[Revenue]]-Orders[[#This Row],[Expenses]]</f>
        <v>7520.1299999999974</v>
      </c>
      <c r="M108" t="s">
        <v>2194</v>
      </c>
      <c r="N108" t="str">
        <f>_xlfn.XLOOKUP(Orders[[#This Row],[CustomerID]],Customers[CustomerID],Customers[CustomerName])</f>
        <v>Chioma Adeyemi</v>
      </c>
      <c r="O108" t="str">
        <f>_xlfn.XLOOKUP(Orders[[#This Row],[CustomerID]],Customers[CustomerID],Customers[City])</f>
        <v>Georgia</v>
      </c>
      <c r="P108" t="str">
        <f>_xlfn.XLOOKUP(Orders[[#This Row],[CustomerID]],Customers[CustomerID],Customers[Gender])</f>
        <v>Female</v>
      </c>
      <c r="Q108">
        <f>_xlfn.XLOOKUP(Orders[[#This Row],[CustomerID]],Customers[CustomerID],Customers[CustomerAge])</f>
        <v>31</v>
      </c>
      <c r="R108" t="str">
        <f>IF(Orders[[#This Row],[CustomerAge]]&gt;=35, "Older", "Young")</f>
        <v>Young</v>
      </c>
      <c r="S108" t="str">
        <f>_xlfn.XLOOKUP(Orders[[#This Row],[ProductID]],Products[ProductID],Products[ProductName])</f>
        <v>Silver Bangles</v>
      </c>
      <c r="T108" t="str">
        <f>_xlfn.XLOOKUP(Orders[[#This Row],[ProductID]],Products[ProductID],Products[Category])</f>
        <v>Accessories</v>
      </c>
    </row>
    <row r="109" spans="1:20" x14ac:dyDescent="0.25">
      <c r="A109" s="4" t="s">
        <v>220</v>
      </c>
      <c r="B109" s="5">
        <v>45996</v>
      </c>
      <c r="C109" s="15">
        <f>WEEKNUM(Orders[[#This Row],[OrderDate]])</f>
        <v>49</v>
      </c>
      <c r="D109" s="15" t="str">
        <f>TEXT(Orders[[#This Row],[OrderDate]],"mmmm")</f>
        <v>December</v>
      </c>
      <c r="E109" s="4" t="s">
        <v>221</v>
      </c>
      <c r="F109" s="4" t="s">
        <v>15</v>
      </c>
      <c r="G109" s="4">
        <v>3</v>
      </c>
      <c r="H109" s="12">
        <v>9147.1</v>
      </c>
      <c r="I109" s="13">
        <v>7775.0349999999999</v>
      </c>
      <c r="J109" s="13">
        <f>Orders[[#This Row],[Quantity]]*Orders[[#This Row],[Selling Price]]</f>
        <v>27441.300000000003</v>
      </c>
      <c r="K109" s="13">
        <f>Orders[[#This Row],[Quantity]]*Orders[[#This Row],[Cost Price]]</f>
        <v>23325.105</v>
      </c>
      <c r="L109" s="13">
        <f>Orders[[#This Row],[Revenue]]-Orders[[#This Row],[Expenses]]</f>
        <v>4116.1950000000033</v>
      </c>
      <c r="M109" t="s">
        <v>2196</v>
      </c>
      <c r="N109" t="str">
        <f>_xlfn.XLOOKUP(Orders[[#This Row],[CustomerID]],Customers[CustomerID],Customers[CustomerName])</f>
        <v>Obi Bello</v>
      </c>
      <c r="O109" t="str">
        <f>_xlfn.XLOOKUP(Orders[[#This Row],[CustomerID]],Customers[CustomerID],Customers[City])</f>
        <v>Texas</v>
      </c>
      <c r="P109" t="str">
        <f>_xlfn.XLOOKUP(Orders[[#This Row],[CustomerID]],Customers[CustomerID],Customers[Gender])</f>
        <v>Male</v>
      </c>
      <c r="Q109">
        <f>_xlfn.XLOOKUP(Orders[[#This Row],[CustomerID]],Customers[CustomerID],Customers[CustomerAge])</f>
        <v>18</v>
      </c>
      <c r="R109" t="str">
        <f>IF(Orders[[#This Row],[CustomerAge]]&gt;=35, "Older", "Young")</f>
        <v>Young</v>
      </c>
      <c r="S109" t="str">
        <f>_xlfn.XLOOKUP(Orders[[#This Row],[ProductID]],Products[ProductID],Products[ProductName])</f>
        <v>Monopoly</v>
      </c>
      <c r="T109" t="str">
        <f>_xlfn.XLOOKUP(Orders[[#This Row],[ProductID]],Products[ProductID],Products[Category])</f>
        <v>Games</v>
      </c>
    </row>
    <row r="110" spans="1:20" x14ac:dyDescent="0.25">
      <c r="A110" s="4" t="s">
        <v>222</v>
      </c>
      <c r="B110" s="5">
        <v>46003</v>
      </c>
      <c r="C110" s="15">
        <f>WEEKNUM(Orders[[#This Row],[OrderDate]])</f>
        <v>50</v>
      </c>
      <c r="D110" s="15" t="str">
        <f>TEXT(Orders[[#This Row],[OrderDate]],"mmmm")</f>
        <v>December</v>
      </c>
      <c r="E110" s="4" t="s">
        <v>223</v>
      </c>
      <c r="F110" s="4" t="s">
        <v>63</v>
      </c>
      <c r="G110" s="4">
        <v>8</v>
      </c>
      <c r="H110" s="12">
        <v>13817.8</v>
      </c>
      <c r="I110" s="13">
        <v>11745.13</v>
      </c>
      <c r="J110" s="13">
        <f>Orders[[#This Row],[Quantity]]*Orders[[#This Row],[Selling Price]]</f>
        <v>110542.39999999999</v>
      </c>
      <c r="K110" s="13">
        <f>Orders[[#This Row],[Quantity]]*Orders[[#This Row],[Cost Price]]</f>
        <v>93961.04</v>
      </c>
      <c r="L110" s="13">
        <f>Orders[[#This Row],[Revenue]]-Orders[[#This Row],[Expenses]]</f>
        <v>16581.36</v>
      </c>
      <c r="M110" t="s">
        <v>2196</v>
      </c>
      <c r="N110" t="str">
        <f>_xlfn.XLOOKUP(Orders[[#This Row],[CustomerID]],Customers[CustomerID],Customers[CustomerName])</f>
        <v>Blessing Danladi</v>
      </c>
      <c r="O110" t="str">
        <f>_xlfn.XLOOKUP(Orders[[#This Row],[CustomerID]],Customers[CustomerID],Customers[City])</f>
        <v>Washington</v>
      </c>
      <c r="P110" t="str">
        <f>_xlfn.XLOOKUP(Orders[[#This Row],[CustomerID]],Customers[CustomerID],Customers[Gender])</f>
        <v>Female</v>
      </c>
      <c r="Q110">
        <f>_xlfn.XLOOKUP(Orders[[#This Row],[CustomerID]],Customers[CustomerID],Customers[CustomerAge])</f>
        <v>20</v>
      </c>
      <c r="R110" t="str">
        <f>IF(Orders[[#This Row],[CustomerAge]]&gt;=35, "Older", "Young")</f>
        <v>Young</v>
      </c>
      <c r="S110" t="str">
        <f>_xlfn.XLOOKUP(Orders[[#This Row],[ProductID]],Products[ProductID],Products[ProductName])</f>
        <v>Tennis Bat</v>
      </c>
      <c r="T110" t="str">
        <f>_xlfn.XLOOKUP(Orders[[#This Row],[ProductID]],Products[ProductID],Products[Category])</f>
        <v>Sports</v>
      </c>
    </row>
    <row r="111" spans="1:20" x14ac:dyDescent="0.25">
      <c r="A111" s="4" t="s">
        <v>224</v>
      </c>
      <c r="B111" s="5">
        <v>45991</v>
      </c>
      <c r="C111" s="15">
        <f>WEEKNUM(Orders[[#This Row],[OrderDate]])</f>
        <v>49</v>
      </c>
      <c r="D111" s="15" t="str">
        <f>TEXT(Orders[[#This Row],[OrderDate]],"mmmm")</f>
        <v>November</v>
      </c>
      <c r="E111" s="4" t="s">
        <v>225</v>
      </c>
      <c r="F111" s="4" t="s">
        <v>157</v>
      </c>
      <c r="G111" s="4">
        <v>4</v>
      </c>
      <c r="H111" s="12">
        <v>10327.4</v>
      </c>
      <c r="I111" s="13">
        <v>8778.2899999999991</v>
      </c>
      <c r="J111" s="13">
        <f>Orders[[#This Row],[Quantity]]*Orders[[#This Row],[Selling Price]]</f>
        <v>41309.599999999999</v>
      </c>
      <c r="K111" s="13">
        <f>Orders[[#This Row],[Quantity]]*Orders[[#This Row],[Cost Price]]</f>
        <v>35113.159999999996</v>
      </c>
      <c r="L111" s="13">
        <f>Orders[[#This Row],[Revenue]]-Orders[[#This Row],[Expenses]]</f>
        <v>6196.4400000000023</v>
      </c>
      <c r="M111" t="s">
        <v>2210</v>
      </c>
      <c r="N111" t="str">
        <f>_xlfn.XLOOKUP(Orders[[#This Row],[CustomerID]],Customers[CustomerID],Customers[CustomerName])</f>
        <v>Uche Danladi</v>
      </c>
      <c r="O111" t="str">
        <f>_xlfn.XLOOKUP(Orders[[#This Row],[CustomerID]],Customers[CustomerID],Customers[City])</f>
        <v>Texas</v>
      </c>
      <c r="P111" t="str">
        <f>_xlfn.XLOOKUP(Orders[[#This Row],[CustomerID]],Customers[CustomerID],Customers[Gender])</f>
        <v>Male</v>
      </c>
      <c r="Q111">
        <f>_xlfn.XLOOKUP(Orders[[#This Row],[CustomerID]],Customers[CustomerID],Customers[CustomerAge])</f>
        <v>45</v>
      </c>
      <c r="R111" t="str">
        <f>IF(Orders[[#This Row],[CustomerAge]]&gt;=35, "Older", "Young")</f>
        <v>Older</v>
      </c>
      <c r="S111" t="str">
        <f>_xlfn.XLOOKUP(Orders[[#This Row],[ProductID]],Products[ProductID],Products[ProductName])</f>
        <v>Football</v>
      </c>
      <c r="T111" t="str">
        <f>_xlfn.XLOOKUP(Orders[[#This Row],[ProductID]],Products[ProductID],Products[Category])</f>
        <v>Sports</v>
      </c>
    </row>
    <row r="112" spans="1:20" x14ac:dyDescent="0.25">
      <c r="A112" s="4" t="s">
        <v>226</v>
      </c>
      <c r="B112" s="5">
        <v>45950</v>
      </c>
      <c r="C112" s="15">
        <f>WEEKNUM(Orders[[#This Row],[OrderDate]])</f>
        <v>43</v>
      </c>
      <c r="D112" s="15" t="str">
        <f>TEXT(Orders[[#This Row],[OrderDate]],"mmmm")</f>
        <v>October</v>
      </c>
      <c r="E112" s="4" t="s">
        <v>227</v>
      </c>
      <c r="F112" s="4" t="s">
        <v>189</v>
      </c>
      <c r="G112" s="4">
        <v>1</v>
      </c>
      <c r="H112" s="12">
        <v>13073.099999999999</v>
      </c>
      <c r="I112" s="13">
        <v>11112.134999999998</v>
      </c>
      <c r="J112" s="13">
        <f>Orders[[#This Row],[Quantity]]*Orders[[#This Row],[Selling Price]]</f>
        <v>13073.099999999999</v>
      </c>
      <c r="K112" s="13">
        <f>Orders[[#This Row],[Quantity]]*Orders[[#This Row],[Cost Price]]</f>
        <v>11112.134999999998</v>
      </c>
      <c r="L112" s="13">
        <f>Orders[[#This Row],[Revenue]]-Orders[[#This Row],[Expenses]]</f>
        <v>1960.9650000000001</v>
      </c>
      <c r="M112" t="s">
        <v>2214</v>
      </c>
      <c r="N112" t="str">
        <f>_xlfn.XLOOKUP(Orders[[#This Row],[CustomerID]],Customers[CustomerID],Customers[CustomerName])</f>
        <v>Emmanuel Victor</v>
      </c>
      <c r="O112" t="str">
        <f>_xlfn.XLOOKUP(Orders[[#This Row],[CustomerID]],Customers[CustomerID],Customers[City])</f>
        <v>Washington</v>
      </c>
      <c r="P112" t="str">
        <f>_xlfn.XLOOKUP(Orders[[#This Row],[CustomerID]],Customers[CustomerID],Customers[Gender])</f>
        <v>Male</v>
      </c>
      <c r="Q112">
        <f>_xlfn.XLOOKUP(Orders[[#This Row],[CustomerID]],Customers[CustomerID],Customers[CustomerAge])</f>
        <v>35</v>
      </c>
      <c r="R112" t="str">
        <f>IF(Orders[[#This Row],[CustomerAge]]&gt;=35, "Older", "Young")</f>
        <v>Older</v>
      </c>
      <c r="S112" t="str">
        <f>_xlfn.XLOOKUP(Orders[[#This Row],[ProductID]],Products[ProductID],Products[ProductName])</f>
        <v>Scrabble</v>
      </c>
      <c r="T112" t="str">
        <f>_xlfn.XLOOKUP(Orders[[#This Row],[ProductID]],Products[ProductID],Products[Category])</f>
        <v>Games</v>
      </c>
    </row>
    <row r="113" spans="1:20" x14ac:dyDescent="0.25">
      <c r="A113" s="4" t="s">
        <v>228</v>
      </c>
      <c r="B113" s="5">
        <v>45959</v>
      </c>
      <c r="C113" s="15">
        <f>WEEKNUM(Orders[[#This Row],[OrderDate]])</f>
        <v>44</v>
      </c>
      <c r="D113" s="15" t="str">
        <f>TEXT(Orders[[#This Row],[OrderDate]],"mmmm")</f>
        <v>October</v>
      </c>
      <c r="E113" s="4" t="s">
        <v>229</v>
      </c>
      <c r="F113" s="4" t="s">
        <v>92</v>
      </c>
      <c r="G113" s="4">
        <v>7</v>
      </c>
      <c r="H113" s="12">
        <v>8422.7000000000007</v>
      </c>
      <c r="I113" s="13">
        <v>7159.295000000001</v>
      </c>
      <c r="J113" s="13">
        <f>Orders[[#This Row],[Quantity]]*Orders[[#This Row],[Selling Price]]</f>
        <v>58958.900000000009</v>
      </c>
      <c r="K113" s="13">
        <f>Orders[[#This Row],[Quantity]]*Orders[[#This Row],[Cost Price]]</f>
        <v>50115.06500000001</v>
      </c>
      <c r="L113" s="13">
        <f>Orders[[#This Row],[Revenue]]-Orders[[#This Row],[Expenses]]</f>
        <v>8843.8349999999991</v>
      </c>
      <c r="M113" t="s">
        <v>2193</v>
      </c>
      <c r="N113" t="str">
        <f>_xlfn.XLOOKUP(Orders[[#This Row],[CustomerID]],Customers[CustomerID],Customers[CustomerName])</f>
        <v>Uche Abubakar</v>
      </c>
      <c r="O113" t="str">
        <f>_xlfn.XLOOKUP(Orders[[#This Row],[CustomerID]],Customers[CustomerID],Customers[City])</f>
        <v>Florida</v>
      </c>
      <c r="P113" t="str">
        <f>_xlfn.XLOOKUP(Orders[[#This Row],[CustomerID]],Customers[CustomerID],Customers[Gender])</f>
        <v>Male</v>
      </c>
      <c r="Q113">
        <f>_xlfn.XLOOKUP(Orders[[#This Row],[CustomerID]],Customers[CustomerID],Customers[CustomerAge])</f>
        <v>43</v>
      </c>
      <c r="R113" t="str">
        <f>IF(Orders[[#This Row],[CustomerAge]]&gt;=35, "Older", "Young")</f>
        <v>Older</v>
      </c>
      <c r="S113" t="str">
        <f>_xlfn.XLOOKUP(Orders[[#This Row],[ProductID]],Products[ProductID],Products[ProductName])</f>
        <v>Chest Expander</v>
      </c>
      <c r="T113" t="str">
        <f>_xlfn.XLOOKUP(Orders[[#This Row],[ProductID]],Products[ProductID],Products[Category])</f>
        <v>Gym</v>
      </c>
    </row>
    <row r="114" spans="1:20" x14ac:dyDescent="0.25">
      <c r="A114" s="4" t="s">
        <v>230</v>
      </c>
      <c r="B114" s="5">
        <v>45983</v>
      </c>
      <c r="C114" s="15">
        <f>WEEKNUM(Orders[[#This Row],[OrderDate]])</f>
        <v>47</v>
      </c>
      <c r="D114" s="15" t="str">
        <f>TEXT(Orders[[#This Row],[OrderDate]],"mmmm")</f>
        <v>November</v>
      </c>
      <c r="E114" s="4" t="s">
        <v>221</v>
      </c>
      <c r="F114" s="4" t="s">
        <v>66</v>
      </c>
      <c r="G114" s="4">
        <v>9</v>
      </c>
      <c r="H114" s="12">
        <v>16603.900000000001</v>
      </c>
      <c r="I114" s="13">
        <v>14113.315000000002</v>
      </c>
      <c r="J114" s="13">
        <f>Orders[[#This Row],[Quantity]]*Orders[[#This Row],[Selling Price]]</f>
        <v>149435.1</v>
      </c>
      <c r="K114" s="13">
        <f>Orders[[#This Row],[Quantity]]*Orders[[#This Row],[Cost Price]]</f>
        <v>127019.83500000002</v>
      </c>
      <c r="L114" s="13">
        <f>Orders[[#This Row],[Revenue]]-Orders[[#This Row],[Expenses]]</f>
        <v>22415.264999999985</v>
      </c>
      <c r="M114" t="s">
        <v>2196</v>
      </c>
      <c r="N114" t="str">
        <f>_xlfn.XLOOKUP(Orders[[#This Row],[CustomerID]],Customers[CustomerID],Customers[CustomerName])</f>
        <v>Obi Bello</v>
      </c>
      <c r="O114" t="str">
        <f>_xlfn.XLOOKUP(Orders[[#This Row],[CustomerID]],Customers[CustomerID],Customers[City])</f>
        <v>Texas</v>
      </c>
      <c r="P114" t="str">
        <f>_xlfn.XLOOKUP(Orders[[#This Row],[CustomerID]],Customers[CustomerID],Customers[Gender])</f>
        <v>Male</v>
      </c>
      <c r="Q114">
        <f>_xlfn.XLOOKUP(Orders[[#This Row],[CustomerID]],Customers[CustomerID],Customers[CustomerAge])</f>
        <v>18</v>
      </c>
      <c r="R114" t="str">
        <f>IF(Orders[[#This Row],[CustomerAge]]&gt;=35, "Older", "Young")</f>
        <v>Young</v>
      </c>
      <c r="S114" t="str">
        <f>_xlfn.XLOOKUP(Orders[[#This Row],[ProductID]],Products[ProductID],Products[ProductName])</f>
        <v>Microwave</v>
      </c>
      <c r="T114" t="str">
        <f>_xlfn.XLOOKUP(Orders[[#This Row],[ProductID]],Products[ProductID],Products[Category])</f>
        <v>Electronics</v>
      </c>
    </row>
    <row r="115" spans="1:20" x14ac:dyDescent="0.25">
      <c r="A115" s="4" t="s">
        <v>231</v>
      </c>
      <c r="B115" s="5">
        <v>45966</v>
      </c>
      <c r="C115" s="15">
        <f>WEEKNUM(Orders[[#This Row],[OrderDate]])</f>
        <v>45</v>
      </c>
      <c r="D115" s="15" t="str">
        <f>TEXT(Orders[[#This Row],[OrderDate]],"mmmm")</f>
        <v>November</v>
      </c>
      <c r="E115" s="4" t="s">
        <v>11</v>
      </c>
      <c r="F115" s="4" t="s">
        <v>232</v>
      </c>
      <c r="G115" s="4">
        <v>7</v>
      </c>
      <c r="H115" s="12">
        <v>16682.900000000001</v>
      </c>
      <c r="I115" s="13">
        <v>14180.465000000002</v>
      </c>
      <c r="J115" s="13">
        <f>Orders[[#This Row],[Quantity]]*Orders[[#This Row],[Selling Price]]</f>
        <v>116780.30000000002</v>
      </c>
      <c r="K115" s="13">
        <f>Orders[[#This Row],[Quantity]]*Orders[[#This Row],[Cost Price]]</f>
        <v>99263.255000000019</v>
      </c>
      <c r="L115" s="13">
        <f>Orders[[#This Row],[Revenue]]-Orders[[#This Row],[Expenses]]</f>
        <v>17517.044999999998</v>
      </c>
      <c r="M115" t="s">
        <v>2193</v>
      </c>
      <c r="N115" t="str">
        <f>_xlfn.XLOOKUP(Orders[[#This Row],[CustomerID]],Customers[CustomerID],Customers[CustomerName])</f>
        <v>Efe Ojo</v>
      </c>
      <c r="O115" t="str">
        <f>_xlfn.XLOOKUP(Orders[[#This Row],[CustomerID]],Customers[CustomerID],Customers[City])</f>
        <v>Texas</v>
      </c>
      <c r="P115" t="str">
        <f>_xlfn.XLOOKUP(Orders[[#This Row],[CustomerID]],Customers[CustomerID],Customers[Gender])</f>
        <v>Female</v>
      </c>
      <c r="Q115">
        <f>_xlfn.XLOOKUP(Orders[[#This Row],[CustomerID]],Customers[CustomerID],Customers[CustomerAge])</f>
        <v>55</v>
      </c>
      <c r="R115" t="str">
        <f>IF(Orders[[#This Row],[CustomerAge]]&gt;=35, "Older", "Young")</f>
        <v>Older</v>
      </c>
      <c r="S115" t="str">
        <f>_xlfn.XLOOKUP(Orders[[#This Row],[ProductID]],Products[ProductID],Products[ProductName])</f>
        <v>Ankara</v>
      </c>
      <c r="T115" t="str">
        <f>_xlfn.XLOOKUP(Orders[[#This Row],[ProductID]],Products[ProductID],Products[Category])</f>
        <v>Clothing</v>
      </c>
    </row>
    <row r="116" spans="1:20" x14ac:dyDescent="0.25">
      <c r="A116" s="4" t="s">
        <v>233</v>
      </c>
      <c r="B116" s="5">
        <v>45959</v>
      </c>
      <c r="C116" s="15">
        <f>WEEKNUM(Orders[[#This Row],[OrderDate]])</f>
        <v>44</v>
      </c>
      <c r="D116" s="15" t="str">
        <f>TEXT(Orders[[#This Row],[OrderDate]],"mmmm")</f>
        <v>October</v>
      </c>
      <c r="E116" s="4" t="s">
        <v>234</v>
      </c>
      <c r="F116" s="4" t="s">
        <v>20</v>
      </c>
      <c r="G116" s="4">
        <v>5</v>
      </c>
      <c r="H116" s="12">
        <v>7715.9000000000005</v>
      </c>
      <c r="I116" s="13">
        <v>6558.5150000000003</v>
      </c>
      <c r="J116" s="13">
        <f>Orders[[#This Row],[Quantity]]*Orders[[#This Row],[Selling Price]]</f>
        <v>38579.5</v>
      </c>
      <c r="K116" s="13">
        <f>Orders[[#This Row],[Quantity]]*Orders[[#This Row],[Cost Price]]</f>
        <v>32792.575000000004</v>
      </c>
      <c r="L116" s="13">
        <f>Orders[[#This Row],[Revenue]]-Orders[[#This Row],[Expenses]]</f>
        <v>5786.9249999999956</v>
      </c>
      <c r="M116" t="s">
        <v>2208</v>
      </c>
      <c r="N116" t="str">
        <f>_xlfn.XLOOKUP(Orders[[#This Row],[CustomerID]],Customers[CustomerID],Customers[CustomerName])</f>
        <v>Adanma Ojo</v>
      </c>
      <c r="O116" t="str">
        <f>_xlfn.XLOOKUP(Orders[[#This Row],[CustomerID]],Customers[CustomerID],Customers[City])</f>
        <v>Texas</v>
      </c>
      <c r="P116" t="str">
        <f>_xlfn.XLOOKUP(Orders[[#This Row],[CustomerID]],Customers[CustomerID],Customers[Gender])</f>
        <v>Female</v>
      </c>
      <c r="Q116">
        <f>_xlfn.XLOOKUP(Orders[[#This Row],[CustomerID]],Customers[CustomerID],Customers[CustomerAge])</f>
        <v>18</v>
      </c>
      <c r="R116" t="str">
        <f>IF(Orders[[#This Row],[CustomerAge]]&gt;=35, "Older", "Young")</f>
        <v>Young</v>
      </c>
      <c r="S116" t="str">
        <f>_xlfn.XLOOKUP(Orders[[#This Row],[ProductID]],Products[ProductID],Products[ProductName])</f>
        <v>Gym Bag</v>
      </c>
      <c r="T116" t="str">
        <f>_xlfn.XLOOKUP(Orders[[#This Row],[ProductID]],Products[ProductID],Products[Category])</f>
        <v>Gym</v>
      </c>
    </row>
    <row r="117" spans="1:20" x14ac:dyDescent="0.25">
      <c r="A117" s="4" t="s">
        <v>235</v>
      </c>
      <c r="B117" s="5">
        <v>46019</v>
      </c>
      <c r="C117" s="15">
        <f>WEEKNUM(Orders[[#This Row],[OrderDate]])</f>
        <v>53</v>
      </c>
      <c r="D117" s="15" t="str">
        <f>TEXT(Orders[[#This Row],[OrderDate]],"mmmm")</f>
        <v>December</v>
      </c>
      <c r="E117" s="4" t="s">
        <v>229</v>
      </c>
      <c r="F117" s="4" t="s">
        <v>25</v>
      </c>
      <c r="G117" s="4">
        <v>2</v>
      </c>
      <c r="H117" s="12">
        <v>16985.8</v>
      </c>
      <c r="I117" s="13">
        <v>14437.93</v>
      </c>
      <c r="J117" s="13">
        <f>Orders[[#This Row],[Quantity]]*Orders[[#This Row],[Selling Price]]</f>
        <v>33971.599999999999</v>
      </c>
      <c r="K117" s="13">
        <f>Orders[[#This Row],[Quantity]]*Orders[[#This Row],[Cost Price]]</f>
        <v>28875.86</v>
      </c>
      <c r="L117" s="13">
        <f>Orders[[#This Row],[Revenue]]-Orders[[#This Row],[Expenses]]</f>
        <v>5095.739999999998</v>
      </c>
      <c r="M117" t="s">
        <v>2217</v>
      </c>
      <c r="N117" t="str">
        <f>_xlfn.XLOOKUP(Orders[[#This Row],[CustomerID]],Customers[CustomerID],Customers[CustomerName])</f>
        <v>Uche Abubakar</v>
      </c>
      <c r="O117" t="str">
        <f>_xlfn.XLOOKUP(Orders[[#This Row],[CustomerID]],Customers[CustomerID],Customers[City])</f>
        <v>Florida</v>
      </c>
      <c r="P117" t="str">
        <f>_xlfn.XLOOKUP(Orders[[#This Row],[CustomerID]],Customers[CustomerID],Customers[Gender])</f>
        <v>Male</v>
      </c>
      <c r="Q117">
        <f>_xlfn.XLOOKUP(Orders[[#This Row],[CustomerID]],Customers[CustomerID],Customers[CustomerAge])</f>
        <v>43</v>
      </c>
      <c r="R117" t="str">
        <f>IF(Orders[[#This Row],[CustomerAge]]&gt;=35, "Older", "Young")</f>
        <v>Older</v>
      </c>
      <c r="S117" t="str">
        <f>_xlfn.XLOOKUP(Orders[[#This Row],[ProductID]],Products[ProductID],Products[ProductName])</f>
        <v>Gold Rings</v>
      </c>
      <c r="T117" t="str">
        <f>_xlfn.XLOOKUP(Orders[[#This Row],[ProductID]],Products[ProductID],Products[Category])</f>
        <v>Accessories</v>
      </c>
    </row>
    <row r="118" spans="1:20" x14ac:dyDescent="0.25">
      <c r="A118" s="4" t="s">
        <v>236</v>
      </c>
      <c r="B118" s="5">
        <v>45972</v>
      </c>
      <c r="C118" s="15">
        <f>WEEKNUM(Orders[[#This Row],[OrderDate]])</f>
        <v>46</v>
      </c>
      <c r="D118" s="15" t="str">
        <f>TEXT(Orders[[#This Row],[OrderDate]],"mmmm")</f>
        <v>November</v>
      </c>
      <c r="E118" s="4" t="s">
        <v>237</v>
      </c>
      <c r="F118" s="4" t="s">
        <v>20</v>
      </c>
      <c r="G118" s="4">
        <v>5</v>
      </c>
      <c r="H118" s="12">
        <v>12898.5</v>
      </c>
      <c r="I118" s="13">
        <v>10963.725</v>
      </c>
      <c r="J118" s="13">
        <f>Orders[[#This Row],[Quantity]]*Orders[[#This Row],[Selling Price]]</f>
        <v>64492.5</v>
      </c>
      <c r="K118" s="13">
        <f>Orders[[#This Row],[Quantity]]*Orders[[#This Row],[Cost Price]]</f>
        <v>54818.625</v>
      </c>
      <c r="L118" s="13">
        <f>Orders[[#This Row],[Revenue]]-Orders[[#This Row],[Expenses]]</f>
        <v>9673.875</v>
      </c>
      <c r="M118" t="s">
        <v>2216</v>
      </c>
      <c r="N118" t="str">
        <f>_xlfn.XLOOKUP(Orders[[#This Row],[CustomerID]],Customers[CustomerID],Customers[CustomerName])</f>
        <v>Ronke Danladi</v>
      </c>
      <c r="O118" t="str">
        <f>_xlfn.XLOOKUP(Orders[[#This Row],[CustomerID]],Customers[CustomerID],Customers[City])</f>
        <v>Florida</v>
      </c>
      <c r="P118" t="str">
        <f>_xlfn.XLOOKUP(Orders[[#This Row],[CustomerID]],Customers[CustomerID],Customers[Gender])</f>
        <v>Female</v>
      </c>
      <c r="Q118">
        <f>_xlfn.XLOOKUP(Orders[[#This Row],[CustomerID]],Customers[CustomerID],Customers[CustomerAge])</f>
        <v>25</v>
      </c>
      <c r="R118" t="str">
        <f>IF(Orders[[#This Row],[CustomerAge]]&gt;=35, "Older", "Young")</f>
        <v>Young</v>
      </c>
      <c r="S118" t="str">
        <f>_xlfn.XLOOKUP(Orders[[#This Row],[ProductID]],Products[ProductID],Products[ProductName])</f>
        <v>Gym Bag</v>
      </c>
      <c r="T118" t="str">
        <f>_xlfn.XLOOKUP(Orders[[#This Row],[ProductID]],Products[ProductID],Products[Category])</f>
        <v>Gym</v>
      </c>
    </row>
    <row r="119" spans="1:20" x14ac:dyDescent="0.25">
      <c r="A119" s="4" t="s">
        <v>238</v>
      </c>
      <c r="B119" s="5">
        <v>45947</v>
      </c>
      <c r="C119" s="15">
        <f>WEEKNUM(Orders[[#This Row],[OrderDate]])</f>
        <v>42</v>
      </c>
      <c r="D119" s="15" t="str">
        <f>TEXT(Orders[[#This Row],[OrderDate]],"mmmm")</f>
        <v>October</v>
      </c>
      <c r="E119" s="4" t="s">
        <v>239</v>
      </c>
      <c r="F119" s="4" t="s">
        <v>63</v>
      </c>
      <c r="G119" s="4">
        <v>8</v>
      </c>
      <c r="H119" s="12">
        <v>15743.199999999999</v>
      </c>
      <c r="I119" s="13">
        <v>13381.72</v>
      </c>
      <c r="J119" s="13">
        <f>Orders[[#This Row],[Quantity]]*Orders[[#This Row],[Selling Price]]</f>
        <v>125945.59999999999</v>
      </c>
      <c r="K119" s="13">
        <f>Orders[[#This Row],[Quantity]]*Orders[[#This Row],[Cost Price]]</f>
        <v>107053.75999999999</v>
      </c>
      <c r="L119" s="13">
        <f>Orders[[#This Row],[Revenue]]-Orders[[#This Row],[Expenses]]</f>
        <v>18891.839999999997</v>
      </c>
      <c r="M119" t="s">
        <v>2193</v>
      </c>
      <c r="N119" t="str">
        <f>_xlfn.XLOOKUP(Orders[[#This Row],[CustomerID]],Customers[CustomerID],Customers[CustomerName])</f>
        <v>Emeka Danladi</v>
      </c>
      <c r="O119" t="str">
        <f>_xlfn.XLOOKUP(Orders[[#This Row],[CustomerID]],Customers[CustomerID],Customers[City])</f>
        <v>Florida</v>
      </c>
      <c r="P119" t="str">
        <f>_xlfn.XLOOKUP(Orders[[#This Row],[CustomerID]],Customers[CustomerID],Customers[Gender])</f>
        <v>Male</v>
      </c>
      <c r="Q119">
        <f>_xlfn.XLOOKUP(Orders[[#This Row],[CustomerID]],Customers[CustomerID],Customers[CustomerAge])</f>
        <v>23</v>
      </c>
      <c r="R119" t="str">
        <f>IF(Orders[[#This Row],[CustomerAge]]&gt;=35, "Older", "Young")</f>
        <v>Young</v>
      </c>
      <c r="S119" t="str">
        <f>_xlfn.XLOOKUP(Orders[[#This Row],[ProductID]],Products[ProductID],Products[ProductName])</f>
        <v>Tennis Bat</v>
      </c>
      <c r="T119" t="str">
        <f>_xlfn.XLOOKUP(Orders[[#This Row],[ProductID]],Products[ProductID],Products[Category])</f>
        <v>Sports</v>
      </c>
    </row>
    <row r="120" spans="1:20" x14ac:dyDescent="0.25">
      <c r="A120" s="4" t="s">
        <v>240</v>
      </c>
      <c r="B120" s="5">
        <v>45947</v>
      </c>
      <c r="C120" s="15">
        <f>WEEKNUM(Orders[[#This Row],[OrderDate]])</f>
        <v>42</v>
      </c>
      <c r="D120" s="15" t="str">
        <f>TEXT(Orders[[#This Row],[OrderDate]],"mmmm")</f>
        <v>October</v>
      </c>
      <c r="E120" s="4" t="s">
        <v>163</v>
      </c>
      <c r="F120" s="4" t="s">
        <v>60</v>
      </c>
      <c r="G120" s="4">
        <v>4</v>
      </c>
      <c r="H120" s="12">
        <v>9601</v>
      </c>
      <c r="I120" s="13">
        <v>8160.85</v>
      </c>
      <c r="J120" s="13">
        <f>Orders[[#This Row],[Quantity]]*Orders[[#This Row],[Selling Price]]</f>
        <v>38404</v>
      </c>
      <c r="K120" s="13">
        <f>Orders[[#This Row],[Quantity]]*Orders[[#This Row],[Cost Price]]</f>
        <v>32643.4</v>
      </c>
      <c r="L120" s="13">
        <f>Orders[[#This Row],[Revenue]]-Orders[[#This Row],[Expenses]]</f>
        <v>5760.5999999999985</v>
      </c>
      <c r="M120" t="s">
        <v>2200</v>
      </c>
      <c r="N120" t="str">
        <f>_xlfn.XLOOKUP(Orders[[#This Row],[CustomerID]],Customers[CustomerID],Customers[CustomerName])</f>
        <v>Folasade Danladi</v>
      </c>
      <c r="O120" t="str">
        <f>_xlfn.XLOOKUP(Orders[[#This Row],[CustomerID]],Customers[CustomerID],Customers[City])</f>
        <v>Texas</v>
      </c>
      <c r="P120" t="str">
        <f>_xlfn.XLOOKUP(Orders[[#This Row],[CustomerID]],Customers[CustomerID],Customers[Gender])</f>
        <v>Female</v>
      </c>
      <c r="Q120">
        <f>_xlfn.XLOOKUP(Orders[[#This Row],[CustomerID]],Customers[CustomerID],Customers[CustomerAge])</f>
        <v>32</v>
      </c>
      <c r="R120" t="str">
        <f>IF(Orders[[#This Row],[CustomerAge]]&gt;=35, "Older", "Young")</f>
        <v>Young</v>
      </c>
      <c r="S120" t="str">
        <f>_xlfn.XLOOKUP(Orders[[#This Row],[ProductID]],Products[ProductID],Products[ProductName])</f>
        <v>Silver Rings</v>
      </c>
      <c r="T120" t="str">
        <f>_xlfn.XLOOKUP(Orders[[#This Row],[ProductID]],Products[ProductID],Products[Category])</f>
        <v>Accessories</v>
      </c>
    </row>
    <row r="121" spans="1:20" x14ac:dyDescent="0.25">
      <c r="A121" s="4" t="s">
        <v>241</v>
      </c>
      <c r="B121" s="5">
        <v>45998</v>
      </c>
      <c r="C121" s="15">
        <f>WEEKNUM(Orders[[#This Row],[OrderDate]])</f>
        <v>50</v>
      </c>
      <c r="D121" s="15" t="str">
        <f>TEXT(Orders[[#This Row],[OrderDate]],"mmmm")</f>
        <v>December</v>
      </c>
      <c r="E121" s="4" t="s">
        <v>33</v>
      </c>
      <c r="F121" s="4" t="s">
        <v>57</v>
      </c>
      <c r="G121" s="4">
        <v>9</v>
      </c>
      <c r="H121" s="12">
        <v>845.69999999999993</v>
      </c>
      <c r="I121" s="13">
        <v>718.84499999999991</v>
      </c>
      <c r="J121" s="13">
        <f>Orders[[#This Row],[Quantity]]*Orders[[#This Row],[Selling Price]]</f>
        <v>7611.2999999999993</v>
      </c>
      <c r="K121" s="13">
        <f>Orders[[#This Row],[Quantity]]*Orders[[#This Row],[Cost Price]]</f>
        <v>6469.6049999999996</v>
      </c>
      <c r="L121" s="13">
        <f>Orders[[#This Row],[Revenue]]-Orders[[#This Row],[Expenses]]</f>
        <v>1141.6949999999997</v>
      </c>
      <c r="M121" t="s">
        <v>2202</v>
      </c>
      <c r="N121" t="str">
        <f>_xlfn.XLOOKUP(Orders[[#This Row],[CustomerID]],Customers[CustomerID],Customers[CustomerName])</f>
        <v>Okon Balogun</v>
      </c>
      <c r="O121" t="str">
        <f>_xlfn.XLOOKUP(Orders[[#This Row],[CustomerID]],Customers[CustomerID],Customers[City])</f>
        <v>Texas</v>
      </c>
      <c r="P121" t="str">
        <f>_xlfn.XLOOKUP(Orders[[#This Row],[CustomerID]],Customers[CustomerID],Customers[Gender])</f>
        <v>Male</v>
      </c>
      <c r="Q121">
        <f>_xlfn.XLOOKUP(Orders[[#This Row],[CustomerID]],Customers[CustomerID],Customers[CustomerAge])</f>
        <v>28</v>
      </c>
      <c r="R121" t="str">
        <f>IF(Orders[[#This Row],[CustomerAge]]&gt;=35, "Older", "Young")</f>
        <v>Young</v>
      </c>
      <c r="S121" t="str">
        <f>_xlfn.XLOOKUP(Orders[[#This Row],[ProductID]],Products[ProductID],Products[ProductName])</f>
        <v>Badminton Racket</v>
      </c>
      <c r="T121" t="str">
        <f>_xlfn.XLOOKUP(Orders[[#This Row],[ProductID]],Products[ProductID],Products[Category])</f>
        <v>Sports</v>
      </c>
    </row>
    <row r="122" spans="1:20" x14ac:dyDescent="0.25">
      <c r="A122" s="4" t="s">
        <v>242</v>
      </c>
      <c r="B122" s="5">
        <v>45992</v>
      </c>
      <c r="C122" s="15">
        <f>WEEKNUM(Orders[[#This Row],[OrderDate]])</f>
        <v>49</v>
      </c>
      <c r="D122" s="15" t="str">
        <f>TEXT(Orders[[#This Row],[OrderDate]],"mmmm")</f>
        <v>December</v>
      </c>
      <c r="E122" s="4" t="s">
        <v>50</v>
      </c>
      <c r="F122" s="4" t="s">
        <v>232</v>
      </c>
      <c r="G122" s="4">
        <v>2</v>
      </c>
      <c r="H122" s="12">
        <v>16608.3</v>
      </c>
      <c r="I122" s="13">
        <v>14117.055</v>
      </c>
      <c r="J122" s="13">
        <f>Orders[[#This Row],[Quantity]]*Orders[[#This Row],[Selling Price]]</f>
        <v>33216.6</v>
      </c>
      <c r="K122" s="13">
        <f>Orders[[#This Row],[Quantity]]*Orders[[#This Row],[Cost Price]]</f>
        <v>28234.11</v>
      </c>
      <c r="L122" s="13">
        <f>Orders[[#This Row],[Revenue]]-Orders[[#This Row],[Expenses]]</f>
        <v>4982.489999999998</v>
      </c>
      <c r="M122" t="s">
        <v>2218</v>
      </c>
      <c r="N122" t="str">
        <f>_xlfn.XLOOKUP(Orders[[#This Row],[CustomerID]],Customers[CustomerID],Customers[CustomerName])</f>
        <v>Funke Danladi</v>
      </c>
      <c r="O122" t="str">
        <f>_xlfn.XLOOKUP(Orders[[#This Row],[CustomerID]],Customers[CustomerID],Customers[City])</f>
        <v>California</v>
      </c>
      <c r="P122" t="str">
        <f>_xlfn.XLOOKUP(Orders[[#This Row],[CustomerID]],Customers[CustomerID],Customers[Gender])</f>
        <v>Female</v>
      </c>
      <c r="Q122">
        <f>_xlfn.XLOOKUP(Orders[[#This Row],[CustomerID]],Customers[CustomerID],Customers[CustomerAge])</f>
        <v>31</v>
      </c>
      <c r="R122" t="str">
        <f>IF(Orders[[#This Row],[CustomerAge]]&gt;=35, "Older", "Young")</f>
        <v>Young</v>
      </c>
      <c r="S122" t="str">
        <f>_xlfn.XLOOKUP(Orders[[#This Row],[ProductID]],Products[ProductID],Products[ProductName])</f>
        <v>Ankara</v>
      </c>
      <c r="T122" t="str">
        <f>_xlfn.XLOOKUP(Orders[[#This Row],[ProductID]],Products[ProductID],Products[Category])</f>
        <v>Clothing</v>
      </c>
    </row>
    <row r="123" spans="1:20" x14ac:dyDescent="0.25">
      <c r="A123" s="4" t="s">
        <v>243</v>
      </c>
      <c r="B123" s="5">
        <v>45983</v>
      </c>
      <c r="C123" s="15">
        <f>WEEKNUM(Orders[[#This Row],[OrderDate]])</f>
        <v>47</v>
      </c>
      <c r="D123" s="15" t="str">
        <f>TEXT(Orders[[#This Row],[OrderDate]],"mmmm")</f>
        <v>November</v>
      </c>
      <c r="E123" s="4" t="s">
        <v>244</v>
      </c>
      <c r="F123" s="4" t="s">
        <v>46</v>
      </c>
      <c r="G123" s="4">
        <v>10</v>
      </c>
      <c r="H123" s="12">
        <v>14140.3</v>
      </c>
      <c r="I123" s="13">
        <v>12019.254999999999</v>
      </c>
      <c r="J123" s="13">
        <f>Orders[[#This Row],[Quantity]]*Orders[[#This Row],[Selling Price]]</f>
        <v>141403</v>
      </c>
      <c r="K123" s="13">
        <f>Orders[[#This Row],[Quantity]]*Orders[[#This Row],[Cost Price]]</f>
        <v>120192.54999999999</v>
      </c>
      <c r="L123" s="13">
        <f>Orders[[#This Row],[Revenue]]-Orders[[#This Row],[Expenses]]</f>
        <v>21210.450000000012</v>
      </c>
      <c r="M123" t="s">
        <v>2210</v>
      </c>
      <c r="N123" t="str">
        <f>_xlfn.XLOOKUP(Orders[[#This Row],[CustomerID]],Customers[CustomerID],Customers[CustomerName])</f>
        <v>Zainab Abubakar</v>
      </c>
      <c r="O123" t="str">
        <f>_xlfn.XLOOKUP(Orders[[#This Row],[CustomerID]],Customers[CustomerID],Customers[City])</f>
        <v>Texas</v>
      </c>
      <c r="P123" t="str">
        <f>_xlfn.XLOOKUP(Orders[[#This Row],[CustomerID]],Customers[CustomerID],Customers[Gender])</f>
        <v>Female</v>
      </c>
      <c r="Q123">
        <f>_xlfn.XLOOKUP(Orders[[#This Row],[CustomerID]],Customers[CustomerID],Customers[CustomerAge])</f>
        <v>33</v>
      </c>
      <c r="R123" t="str">
        <f>IF(Orders[[#This Row],[CustomerAge]]&gt;=35, "Older", "Young")</f>
        <v>Young</v>
      </c>
      <c r="S123" t="str">
        <f>_xlfn.XLOOKUP(Orders[[#This Row],[ProductID]],Products[ProductID],Products[ProductName])</f>
        <v>Turtle Neck</v>
      </c>
      <c r="T123" t="str">
        <f>_xlfn.XLOOKUP(Orders[[#This Row],[ProductID]],Products[ProductID],Products[Category])</f>
        <v>Clothing</v>
      </c>
    </row>
    <row r="124" spans="1:20" x14ac:dyDescent="0.25">
      <c r="A124" s="4" t="s">
        <v>245</v>
      </c>
      <c r="B124" s="5">
        <v>45966</v>
      </c>
      <c r="C124" s="15">
        <f>WEEKNUM(Orders[[#This Row],[OrderDate]])</f>
        <v>45</v>
      </c>
      <c r="D124" s="15" t="str">
        <f>TEXT(Orders[[#This Row],[OrderDate]],"mmmm")</f>
        <v>November</v>
      </c>
      <c r="E124" s="4" t="s">
        <v>246</v>
      </c>
      <c r="F124" s="4" t="s">
        <v>157</v>
      </c>
      <c r="G124" s="4">
        <v>1</v>
      </c>
      <c r="H124" s="12">
        <v>17300.2</v>
      </c>
      <c r="I124" s="13">
        <v>14705.17</v>
      </c>
      <c r="J124" s="13">
        <f>Orders[[#This Row],[Quantity]]*Orders[[#This Row],[Selling Price]]</f>
        <v>17300.2</v>
      </c>
      <c r="K124" s="13">
        <f>Orders[[#This Row],[Quantity]]*Orders[[#This Row],[Cost Price]]</f>
        <v>14705.17</v>
      </c>
      <c r="L124" s="13">
        <f>Orders[[#This Row],[Revenue]]-Orders[[#This Row],[Expenses]]</f>
        <v>2595.0300000000007</v>
      </c>
      <c r="M124" t="s">
        <v>2195</v>
      </c>
      <c r="N124" t="str">
        <f>_xlfn.XLOOKUP(Orders[[#This Row],[CustomerID]],Customers[CustomerID],Customers[CustomerName])</f>
        <v>Emeka Abubakar</v>
      </c>
      <c r="O124" t="str">
        <f>_xlfn.XLOOKUP(Orders[[#This Row],[CustomerID]],Customers[CustomerID],Customers[City])</f>
        <v>Florida</v>
      </c>
      <c r="P124" t="str">
        <f>_xlfn.XLOOKUP(Orders[[#This Row],[CustomerID]],Customers[CustomerID],Customers[Gender])</f>
        <v>Male</v>
      </c>
      <c r="Q124">
        <f>_xlfn.XLOOKUP(Orders[[#This Row],[CustomerID]],Customers[CustomerID],Customers[CustomerAge])</f>
        <v>28</v>
      </c>
      <c r="R124" t="str">
        <f>IF(Orders[[#This Row],[CustomerAge]]&gt;=35, "Older", "Young")</f>
        <v>Young</v>
      </c>
      <c r="S124" t="str">
        <f>_xlfn.XLOOKUP(Orders[[#This Row],[ProductID]],Products[ProductID],Products[ProductName])</f>
        <v>Football</v>
      </c>
      <c r="T124" t="str">
        <f>_xlfn.XLOOKUP(Orders[[#This Row],[ProductID]],Products[ProductID],Products[Category])</f>
        <v>Sports</v>
      </c>
    </row>
    <row r="125" spans="1:20" x14ac:dyDescent="0.25">
      <c r="A125" s="4" t="s">
        <v>247</v>
      </c>
      <c r="B125" s="5">
        <v>45946</v>
      </c>
      <c r="C125" s="15">
        <f>WEEKNUM(Orders[[#This Row],[OrderDate]])</f>
        <v>42</v>
      </c>
      <c r="D125" s="15" t="str">
        <f>TEXT(Orders[[#This Row],[OrderDate]],"mmmm")</f>
        <v>October</v>
      </c>
      <c r="E125" s="4" t="s">
        <v>216</v>
      </c>
      <c r="F125" s="4" t="s">
        <v>25</v>
      </c>
      <c r="G125" s="4">
        <v>4</v>
      </c>
      <c r="H125" s="12">
        <v>15307.1</v>
      </c>
      <c r="I125" s="13">
        <v>13011.035</v>
      </c>
      <c r="J125" s="13">
        <f>Orders[[#This Row],[Quantity]]*Orders[[#This Row],[Selling Price]]</f>
        <v>61228.4</v>
      </c>
      <c r="K125" s="13">
        <f>Orders[[#This Row],[Quantity]]*Orders[[#This Row],[Cost Price]]</f>
        <v>52044.14</v>
      </c>
      <c r="L125" s="13">
        <f>Orders[[#This Row],[Revenue]]-Orders[[#This Row],[Expenses]]</f>
        <v>9184.260000000002</v>
      </c>
      <c r="M125" t="s">
        <v>2202</v>
      </c>
      <c r="N125" t="str">
        <f>_xlfn.XLOOKUP(Orders[[#This Row],[CustomerID]],Customers[CustomerID],Customers[CustomerName])</f>
        <v>Ngozi Obi</v>
      </c>
      <c r="O125" t="str">
        <f>_xlfn.XLOOKUP(Orders[[#This Row],[CustomerID]],Customers[CustomerID],Customers[City])</f>
        <v>California</v>
      </c>
      <c r="P125" t="str">
        <f>_xlfn.XLOOKUP(Orders[[#This Row],[CustomerID]],Customers[CustomerID],Customers[Gender])</f>
        <v>Female</v>
      </c>
      <c r="Q125">
        <f>_xlfn.XLOOKUP(Orders[[#This Row],[CustomerID]],Customers[CustomerID],Customers[CustomerAge])</f>
        <v>54</v>
      </c>
      <c r="R125" t="str">
        <f>IF(Orders[[#This Row],[CustomerAge]]&gt;=35, "Older", "Young")</f>
        <v>Older</v>
      </c>
      <c r="S125" t="str">
        <f>_xlfn.XLOOKUP(Orders[[#This Row],[ProductID]],Products[ProductID],Products[ProductName])</f>
        <v>Gold Rings</v>
      </c>
      <c r="T125" t="str">
        <f>_xlfn.XLOOKUP(Orders[[#This Row],[ProductID]],Products[ProductID],Products[Category])</f>
        <v>Accessories</v>
      </c>
    </row>
    <row r="126" spans="1:20" x14ac:dyDescent="0.25">
      <c r="A126" s="4" t="s">
        <v>248</v>
      </c>
      <c r="B126" s="5">
        <v>45936</v>
      </c>
      <c r="C126" s="15">
        <f>WEEKNUM(Orders[[#This Row],[OrderDate]])</f>
        <v>41</v>
      </c>
      <c r="D126" s="15" t="str">
        <f>TEXT(Orders[[#This Row],[OrderDate]],"mmmm")</f>
        <v>October</v>
      </c>
      <c r="E126" s="4" t="s">
        <v>30</v>
      </c>
      <c r="F126" s="4" t="s">
        <v>63</v>
      </c>
      <c r="G126" s="4">
        <v>5</v>
      </c>
      <c r="H126" s="12">
        <v>5361.5999999999995</v>
      </c>
      <c r="I126" s="13">
        <v>4557.3599999999997</v>
      </c>
      <c r="J126" s="13">
        <f>Orders[[#This Row],[Quantity]]*Orders[[#This Row],[Selling Price]]</f>
        <v>26807.999999999996</v>
      </c>
      <c r="K126" s="13">
        <f>Orders[[#This Row],[Quantity]]*Orders[[#This Row],[Cost Price]]</f>
        <v>22786.799999999999</v>
      </c>
      <c r="L126" s="13">
        <f>Orders[[#This Row],[Revenue]]-Orders[[#This Row],[Expenses]]</f>
        <v>4021.1999999999971</v>
      </c>
      <c r="M126" t="s">
        <v>2194</v>
      </c>
      <c r="N126" t="str">
        <f>_xlfn.XLOOKUP(Orders[[#This Row],[CustomerID]],Customers[CustomerID],Customers[CustomerName])</f>
        <v>Amina Danladi</v>
      </c>
      <c r="O126" t="str">
        <f>_xlfn.XLOOKUP(Orders[[#This Row],[CustomerID]],Customers[CustomerID],Customers[City])</f>
        <v>Florida</v>
      </c>
      <c r="P126" t="str">
        <f>_xlfn.XLOOKUP(Orders[[#This Row],[CustomerID]],Customers[CustomerID],Customers[Gender])</f>
        <v>Female</v>
      </c>
      <c r="Q126">
        <f>_xlfn.XLOOKUP(Orders[[#This Row],[CustomerID]],Customers[CustomerID],Customers[CustomerAge])</f>
        <v>42</v>
      </c>
      <c r="R126" t="str">
        <f>IF(Orders[[#This Row],[CustomerAge]]&gt;=35, "Older", "Young")</f>
        <v>Older</v>
      </c>
      <c r="S126" t="str">
        <f>_xlfn.XLOOKUP(Orders[[#This Row],[ProductID]],Products[ProductID],Products[ProductName])</f>
        <v>Tennis Bat</v>
      </c>
      <c r="T126" t="str">
        <f>_xlfn.XLOOKUP(Orders[[#This Row],[ProductID]],Products[ProductID],Products[Category])</f>
        <v>Sports</v>
      </c>
    </row>
    <row r="127" spans="1:20" x14ac:dyDescent="0.25">
      <c r="A127" s="4" t="s">
        <v>249</v>
      </c>
      <c r="B127" s="5">
        <v>45973</v>
      </c>
      <c r="C127" s="15">
        <f>WEEKNUM(Orders[[#This Row],[OrderDate]])</f>
        <v>46</v>
      </c>
      <c r="D127" s="15" t="str">
        <f>TEXT(Orders[[#This Row],[OrderDate]],"mmmm")</f>
        <v>November</v>
      </c>
      <c r="E127" s="4" t="s">
        <v>8</v>
      </c>
      <c r="F127" s="4" t="s">
        <v>46</v>
      </c>
      <c r="G127" s="4">
        <v>9</v>
      </c>
      <c r="H127" s="12">
        <v>11953.800000000001</v>
      </c>
      <c r="I127" s="13">
        <v>10160.730000000001</v>
      </c>
      <c r="J127" s="13">
        <f>Orders[[#This Row],[Quantity]]*Orders[[#This Row],[Selling Price]]</f>
        <v>107584.20000000001</v>
      </c>
      <c r="K127" s="13">
        <f>Orders[[#This Row],[Quantity]]*Orders[[#This Row],[Cost Price]]</f>
        <v>91446.57</v>
      </c>
      <c r="L127" s="13">
        <f>Orders[[#This Row],[Revenue]]-Orders[[#This Row],[Expenses]]</f>
        <v>16137.630000000005</v>
      </c>
      <c r="M127" t="s">
        <v>2200</v>
      </c>
      <c r="N127" t="str">
        <f>_xlfn.XLOOKUP(Orders[[#This Row],[CustomerID]],Customers[CustomerID],Customers[CustomerName])</f>
        <v>Bi si Bello</v>
      </c>
      <c r="O127" t="str">
        <f>_xlfn.XLOOKUP(Orders[[#This Row],[CustomerID]],Customers[CustomerID],Customers[City])</f>
        <v>Washington</v>
      </c>
      <c r="P127" t="str">
        <f>_xlfn.XLOOKUP(Orders[[#This Row],[CustomerID]],Customers[CustomerID],Customers[Gender])</f>
        <v>Female</v>
      </c>
      <c r="Q127">
        <f>_xlfn.XLOOKUP(Orders[[#This Row],[CustomerID]],Customers[CustomerID],Customers[CustomerAge])</f>
        <v>38</v>
      </c>
      <c r="R127" t="str">
        <f>IF(Orders[[#This Row],[CustomerAge]]&gt;=35, "Older", "Young")</f>
        <v>Older</v>
      </c>
      <c r="S127" t="str">
        <f>_xlfn.XLOOKUP(Orders[[#This Row],[ProductID]],Products[ProductID],Products[ProductName])</f>
        <v>Turtle Neck</v>
      </c>
      <c r="T127" t="str">
        <f>_xlfn.XLOOKUP(Orders[[#This Row],[ProductID]],Products[ProductID],Products[Category])</f>
        <v>Clothing</v>
      </c>
    </row>
    <row r="128" spans="1:20" x14ac:dyDescent="0.25">
      <c r="A128" s="4" t="s">
        <v>250</v>
      </c>
      <c r="B128" s="5">
        <v>45976</v>
      </c>
      <c r="C128" s="15">
        <f>WEEKNUM(Orders[[#This Row],[OrderDate]])</f>
        <v>46</v>
      </c>
      <c r="D128" s="15" t="str">
        <f>TEXT(Orders[[#This Row],[OrderDate]],"mmmm")</f>
        <v>November</v>
      </c>
      <c r="E128" s="4" t="s">
        <v>68</v>
      </c>
      <c r="F128" s="4" t="s">
        <v>66</v>
      </c>
      <c r="G128" s="4">
        <v>5</v>
      </c>
      <c r="H128" s="12">
        <v>2489.1999999999998</v>
      </c>
      <c r="I128" s="13">
        <v>2115.8199999999997</v>
      </c>
      <c r="J128" s="13">
        <f>Orders[[#This Row],[Quantity]]*Orders[[#This Row],[Selling Price]]</f>
        <v>12446</v>
      </c>
      <c r="K128" s="13">
        <f>Orders[[#This Row],[Quantity]]*Orders[[#This Row],[Cost Price]]</f>
        <v>10579.099999999999</v>
      </c>
      <c r="L128" s="13">
        <f>Orders[[#This Row],[Revenue]]-Orders[[#This Row],[Expenses]]</f>
        <v>1866.9000000000015</v>
      </c>
      <c r="M128" t="s">
        <v>2211</v>
      </c>
      <c r="N128" t="str">
        <f>_xlfn.XLOOKUP(Orders[[#This Row],[CustomerID]],Customers[CustomerID],Customers[CustomerName])</f>
        <v>Abiola Balogun</v>
      </c>
      <c r="O128" t="str">
        <f>_xlfn.XLOOKUP(Orders[[#This Row],[CustomerID]],Customers[CustomerID],Customers[City])</f>
        <v>Texas</v>
      </c>
      <c r="P128" t="str">
        <f>_xlfn.XLOOKUP(Orders[[#This Row],[CustomerID]],Customers[CustomerID],Customers[Gender])</f>
        <v>Male</v>
      </c>
      <c r="Q128">
        <f>_xlfn.XLOOKUP(Orders[[#This Row],[CustomerID]],Customers[CustomerID],Customers[CustomerAge])</f>
        <v>29</v>
      </c>
      <c r="R128" t="str">
        <f>IF(Orders[[#This Row],[CustomerAge]]&gt;=35, "Older", "Young")</f>
        <v>Young</v>
      </c>
      <c r="S128" t="str">
        <f>_xlfn.XLOOKUP(Orders[[#This Row],[ProductID]],Products[ProductID],Products[ProductName])</f>
        <v>Microwave</v>
      </c>
      <c r="T128" t="str">
        <f>_xlfn.XLOOKUP(Orders[[#This Row],[ProductID]],Products[ProductID],Products[Category])</f>
        <v>Electronics</v>
      </c>
    </row>
    <row r="129" spans="1:20" x14ac:dyDescent="0.25">
      <c r="A129" s="4" t="s">
        <v>251</v>
      </c>
      <c r="B129" s="5">
        <v>46011</v>
      </c>
      <c r="C129" s="15">
        <f>WEEKNUM(Orders[[#This Row],[OrderDate]])</f>
        <v>51</v>
      </c>
      <c r="D129" s="15" t="str">
        <f>TEXT(Orders[[#This Row],[OrderDate]],"mmmm")</f>
        <v>December</v>
      </c>
      <c r="E129" s="4" t="s">
        <v>252</v>
      </c>
      <c r="F129" s="4" t="s">
        <v>253</v>
      </c>
      <c r="G129" s="4">
        <v>5</v>
      </c>
      <c r="H129" s="12">
        <v>16639.900000000001</v>
      </c>
      <c r="I129" s="13">
        <v>14143.915000000001</v>
      </c>
      <c r="J129" s="13">
        <f>Orders[[#This Row],[Quantity]]*Orders[[#This Row],[Selling Price]]</f>
        <v>83199.5</v>
      </c>
      <c r="K129" s="13">
        <f>Orders[[#This Row],[Quantity]]*Orders[[#This Row],[Cost Price]]</f>
        <v>70719.575000000012</v>
      </c>
      <c r="L129" s="13">
        <f>Orders[[#This Row],[Revenue]]-Orders[[#This Row],[Expenses]]</f>
        <v>12479.924999999988</v>
      </c>
      <c r="M129" t="s">
        <v>2192</v>
      </c>
      <c r="N129" t="str">
        <f>_xlfn.XLOOKUP(Orders[[#This Row],[CustomerID]],Customers[CustomerID],Customers[CustomerName])</f>
        <v>Chioma Adeyemi</v>
      </c>
      <c r="O129" t="str">
        <f>_xlfn.XLOOKUP(Orders[[#This Row],[CustomerID]],Customers[CustomerID],Customers[City])</f>
        <v>Texas</v>
      </c>
      <c r="P129" t="str">
        <f>_xlfn.XLOOKUP(Orders[[#This Row],[CustomerID]],Customers[CustomerID],Customers[Gender])</f>
        <v>Female</v>
      </c>
      <c r="Q129">
        <f>_xlfn.XLOOKUP(Orders[[#This Row],[CustomerID]],Customers[CustomerID],Customers[CustomerAge])</f>
        <v>20</v>
      </c>
      <c r="R129" t="str">
        <f>IF(Orders[[#This Row],[CustomerAge]]&gt;=35, "Older", "Young")</f>
        <v>Young</v>
      </c>
      <c r="S129" t="str">
        <f>_xlfn.XLOOKUP(Orders[[#This Row],[ProductID]],Products[ProductID],Products[ProductName])</f>
        <v>Nose Rings</v>
      </c>
      <c r="T129" t="str">
        <f>_xlfn.XLOOKUP(Orders[[#This Row],[ProductID]],Products[ProductID],Products[Category])</f>
        <v>Accessories</v>
      </c>
    </row>
    <row r="130" spans="1:20" x14ac:dyDescent="0.25">
      <c r="A130" s="4" t="s">
        <v>254</v>
      </c>
      <c r="B130" s="5">
        <v>45990</v>
      </c>
      <c r="C130" s="15">
        <f>WEEKNUM(Orders[[#This Row],[OrderDate]])</f>
        <v>48</v>
      </c>
      <c r="D130" s="15" t="str">
        <f>TEXT(Orders[[#This Row],[OrderDate]],"mmmm")</f>
        <v>November</v>
      </c>
      <c r="E130" s="4" t="s">
        <v>225</v>
      </c>
      <c r="F130" s="4" t="s">
        <v>168</v>
      </c>
      <c r="G130" s="4">
        <v>8</v>
      </c>
      <c r="H130" s="12">
        <v>6649.7000000000007</v>
      </c>
      <c r="I130" s="13">
        <v>5652.2450000000008</v>
      </c>
      <c r="J130" s="13">
        <f>Orders[[#This Row],[Quantity]]*Orders[[#This Row],[Selling Price]]</f>
        <v>53197.600000000006</v>
      </c>
      <c r="K130" s="13">
        <f>Orders[[#This Row],[Quantity]]*Orders[[#This Row],[Cost Price]]</f>
        <v>45217.960000000006</v>
      </c>
      <c r="L130" s="13">
        <f>Orders[[#This Row],[Revenue]]-Orders[[#This Row],[Expenses]]</f>
        <v>7979.6399999999994</v>
      </c>
      <c r="M130" t="s">
        <v>2197</v>
      </c>
      <c r="N130" t="str">
        <f>_xlfn.XLOOKUP(Orders[[#This Row],[CustomerID]],Customers[CustomerID],Customers[CustomerName])</f>
        <v>Uche Danladi</v>
      </c>
      <c r="O130" t="str">
        <f>_xlfn.XLOOKUP(Orders[[#This Row],[CustomerID]],Customers[CustomerID],Customers[City])</f>
        <v>Texas</v>
      </c>
      <c r="P130" t="str">
        <f>_xlfn.XLOOKUP(Orders[[#This Row],[CustomerID]],Customers[CustomerID],Customers[Gender])</f>
        <v>Male</v>
      </c>
      <c r="Q130">
        <f>_xlfn.XLOOKUP(Orders[[#This Row],[CustomerID]],Customers[CustomerID],Customers[CustomerAge])</f>
        <v>45</v>
      </c>
      <c r="R130" t="str">
        <f>IF(Orders[[#This Row],[CustomerAge]]&gt;=35, "Older", "Young")</f>
        <v>Older</v>
      </c>
      <c r="S130" t="str">
        <f>_xlfn.XLOOKUP(Orders[[#This Row],[ProductID]],Products[ProductID],Products[ProductName])</f>
        <v>Dumb Bells</v>
      </c>
      <c r="T130" t="str">
        <f>_xlfn.XLOOKUP(Orders[[#This Row],[ProductID]],Products[ProductID],Products[Category])</f>
        <v>Gym</v>
      </c>
    </row>
    <row r="131" spans="1:20" x14ac:dyDescent="0.25">
      <c r="A131" s="4" t="s">
        <v>255</v>
      </c>
      <c r="B131" s="5">
        <v>45938</v>
      </c>
      <c r="C131" s="15">
        <f>WEEKNUM(Orders[[#This Row],[OrderDate]])</f>
        <v>41</v>
      </c>
      <c r="D131" s="15" t="str">
        <f>TEXT(Orders[[#This Row],[OrderDate]],"mmmm")</f>
        <v>October</v>
      </c>
      <c r="E131" s="4" t="s">
        <v>256</v>
      </c>
      <c r="F131" s="4" t="s">
        <v>28</v>
      </c>
      <c r="G131" s="4">
        <v>6</v>
      </c>
      <c r="H131" s="12">
        <v>16556.300000000003</v>
      </c>
      <c r="I131" s="13">
        <v>14072.855000000003</v>
      </c>
      <c r="J131" s="13">
        <f>Orders[[#This Row],[Quantity]]*Orders[[#This Row],[Selling Price]]</f>
        <v>99337.800000000017</v>
      </c>
      <c r="K131" s="13">
        <f>Orders[[#This Row],[Quantity]]*Orders[[#This Row],[Cost Price]]</f>
        <v>84437.130000000019</v>
      </c>
      <c r="L131" s="13">
        <f>Orders[[#This Row],[Revenue]]-Orders[[#This Row],[Expenses]]</f>
        <v>14900.669999999998</v>
      </c>
      <c r="M131" t="s">
        <v>2211</v>
      </c>
      <c r="N131" t="str">
        <f>_xlfn.XLOOKUP(Orders[[#This Row],[CustomerID]],Customers[CustomerID],Customers[CustomerName])</f>
        <v>Efe Ojo</v>
      </c>
      <c r="O131" t="str">
        <f>_xlfn.XLOOKUP(Orders[[#This Row],[CustomerID]],Customers[CustomerID],Customers[City])</f>
        <v>Georgia</v>
      </c>
      <c r="P131" t="str">
        <f>_xlfn.XLOOKUP(Orders[[#This Row],[CustomerID]],Customers[CustomerID],Customers[Gender])</f>
        <v>Female</v>
      </c>
      <c r="Q131">
        <f>_xlfn.XLOOKUP(Orders[[#This Row],[CustomerID]],Customers[CustomerID],Customers[CustomerAge])</f>
        <v>23</v>
      </c>
      <c r="R131" t="str">
        <f>IF(Orders[[#This Row],[CustomerAge]]&gt;=35, "Older", "Young")</f>
        <v>Young</v>
      </c>
      <c r="S131" t="str">
        <f>_xlfn.XLOOKUP(Orders[[#This Row],[ProductID]],Products[ProductID],Products[ProductName])</f>
        <v>Sneakers</v>
      </c>
      <c r="T131" t="str">
        <f>_xlfn.XLOOKUP(Orders[[#This Row],[ProductID]],Products[ProductID],Products[Category])</f>
        <v>Sports</v>
      </c>
    </row>
    <row r="132" spans="1:20" x14ac:dyDescent="0.25">
      <c r="A132" s="4" t="s">
        <v>257</v>
      </c>
      <c r="B132" s="5">
        <v>45976</v>
      </c>
      <c r="C132" s="15">
        <f>WEEKNUM(Orders[[#This Row],[OrderDate]])</f>
        <v>46</v>
      </c>
      <c r="D132" s="15" t="str">
        <f>TEXT(Orders[[#This Row],[OrderDate]],"mmmm")</f>
        <v>November</v>
      </c>
      <c r="E132" s="4" t="s">
        <v>258</v>
      </c>
      <c r="F132" s="4" t="s">
        <v>151</v>
      </c>
      <c r="G132" s="4">
        <v>10</v>
      </c>
      <c r="H132" s="12">
        <v>10361.199999999999</v>
      </c>
      <c r="I132" s="13">
        <v>8807.0199999999986</v>
      </c>
      <c r="J132" s="13">
        <f>Orders[[#This Row],[Quantity]]*Orders[[#This Row],[Selling Price]]</f>
        <v>103611.99999999999</v>
      </c>
      <c r="K132" s="13">
        <f>Orders[[#This Row],[Quantity]]*Orders[[#This Row],[Cost Price]]</f>
        <v>88070.199999999983</v>
      </c>
      <c r="L132" s="13">
        <f>Orders[[#This Row],[Revenue]]-Orders[[#This Row],[Expenses]]</f>
        <v>15541.800000000003</v>
      </c>
      <c r="M132" t="s">
        <v>2211</v>
      </c>
      <c r="N132" t="str">
        <f>_xlfn.XLOOKUP(Orders[[#This Row],[CustomerID]],Customers[CustomerID],Customers[CustomerName])</f>
        <v>Sani Abubakar</v>
      </c>
      <c r="O132" t="str">
        <f>_xlfn.XLOOKUP(Orders[[#This Row],[CustomerID]],Customers[CustomerID],Customers[City])</f>
        <v>Washington</v>
      </c>
      <c r="P132" t="str">
        <f>_xlfn.XLOOKUP(Orders[[#This Row],[CustomerID]],Customers[CustomerID],Customers[Gender])</f>
        <v>Male</v>
      </c>
      <c r="Q132">
        <f>_xlfn.XLOOKUP(Orders[[#This Row],[CustomerID]],Customers[CustomerID],Customers[CustomerAge])</f>
        <v>37</v>
      </c>
      <c r="R132" t="str">
        <f>IF(Orders[[#This Row],[CustomerAge]]&gt;=35, "Older", "Young")</f>
        <v>Older</v>
      </c>
      <c r="S132" t="str">
        <f>_xlfn.XLOOKUP(Orders[[#This Row],[ProductID]],Products[ProductID],Products[ProductName])</f>
        <v>Checkers</v>
      </c>
      <c r="T132" t="str">
        <f>_xlfn.XLOOKUP(Orders[[#This Row],[ProductID]],Products[ProductID],Products[Category])</f>
        <v>Games</v>
      </c>
    </row>
    <row r="133" spans="1:20" x14ac:dyDescent="0.25">
      <c r="A133" s="4" t="s">
        <v>259</v>
      </c>
      <c r="B133" s="5">
        <v>45978</v>
      </c>
      <c r="C133" s="15">
        <f>WEEKNUM(Orders[[#This Row],[OrderDate]])</f>
        <v>47</v>
      </c>
      <c r="D133" s="15" t="str">
        <f>TEXT(Orders[[#This Row],[OrderDate]],"mmmm")</f>
        <v>November</v>
      </c>
      <c r="E133" s="4" t="s">
        <v>260</v>
      </c>
      <c r="F133" s="4" t="s">
        <v>189</v>
      </c>
      <c r="G133" s="4">
        <v>2</v>
      </c>
      <c r="H133" s="12">
        <v>7295.1</v>
      </c>
      <c r="I133" s="13">
        <v>6200.835</v>
      </c>
      <c r="J133" s="13">
        <f>Orders[[#This Row],[Quantity]]*Orders[[#This Row],[Selling Price]]</f>
        <v>14590.2</v>
      </c>
      <c r="K133" s="13">
        <f>Orders[[#This Row],[Quantity]]*Orders[[#This Row],[Cost Price]]</f>
        <v>12401.67</v>
      </c>
      <c r="L133" s="13">
        <f>Orders[[#This Row],[Revenue]]-Orders[[#This Row],[Expenses]]</f>
        <v>2188.5300000000007</v>
      </c>
      <c r="M133" t="s">
        <v>2209</v>
      </c>
      <c r="N133" t="str">
        <f>_xlfn.XLOOKUP(Orders[[#This Row],[CustomerID]],Customers[CustomerID],Customers[CustomerName])</f>
        <v>Amina Obi</v>
      </c>
      <c r="O133" t="str">
        <f>_xlfn.XLOOKUP(Orders[[#This Row],[CustomerID]],Customers[CustomerID],Customers[City])</f>
        <v>Florida</v>
      </c>
      <c r="P133" t="str">
        <f>_xlfn.XLOOKUP(Orders[[#This Row],[CustomerID]],Customers[CustomerID],Customers[Gender])</f>
        <v>Female</v>
      </c>
      <c r="Q133">
        <f>_xlfn.XLOOKUP(Orders[[#This Row],[CustomerID]],Customers[CustomerID],Customers[CustomerAge])</f>
        <v>29</v>
      </c>
      <c r="R133" t="str">
        <f>IF(Orders[[#This Row],[CustomerAge]]&gt;=35, "Older", "Young")</f>
        <v>Young</v>
      </c>
      <c r="S133" t="str">
        <f>_xlfn.XLOOKUP(Orders[[#This Row],[ProductID]],Products[ProductID],Products[ProductName])</f>
        <v>Scrabble</v>
      </c>
      <c r="T133" t="str">
        <f>_xlfn.XLOOKUP(Orders[[#This Row],[ProductID]],Products[ProductID],Products[Category])</f>
        <v>Games</v>
      </c>
    </row>
    <row r="134" spans="1:20" x14ac:dyDescent="0.25">
      <c r="A134" s="4" t="s">
        <v>261</v>
      </c>
      <c r="B134" s="5">
        <v>46019</v>
      </c>
      <c r="C134" s="15">
        <f>WEEKNUM(Orders[[#This Row],[OrderDate]])</f>
        <v>53</v>
      </c>
      <c r="D134" s="15" t="str">
        <f>TEXT(Orders[[#This Row],[OrderDate]],"mmmm")</f>
        <v>December</v>
      </c>
      <c r="E134" s="4" t="s">
        <v>89</v>
      </c>
      <c r="F134" s="4" t="s">
        <v>208</v>
      </c>
      <c r="G134" s="4">
        <v>9</v>
      </c>
      <c r="H134" s="12">
        <v>5387.5</v>
      </c>
      <c r="I134" s="13">
        <v>4579.375</v>
      </c>
      <c r="J134" s="13">
        <f>Orders[[#This Row],[Quantity]]*Orders[[#This Row],[Selling Price]]</f>
        <v>48487.5</v>
      </c>
      <c r="K134" s="13">
        <f>Orders[[#This Row],[Quantity]]*Orders[[#This Row],[Cost Price]]</f>
        <v>41214.375</v>
      </c>
      <c r="L134" s="13">
        <f>Orders[[#This Row],[Revenue]]-Orders[[#This Row],[Expenses]]</f>
        <v>7273.125</v>
      </c>
      <c r="M134" t="s">
        <v>2215</v>
      </c>
      <c r="N134" t="str">
        <f>_xlfn.XLOOKUP(Orders[[#This Row],[CustomerID]],Customers[CustomerID],Customers[CustomerName])</f>
        <v>Blessing Balogun</v>
      </c>
      <c r="O134" t="str">
        <f>_xlfn.XLOOKUP(Orders[[#This Row],[CustomerID]],Customers[CustomerID],Customers[City])</f>
        <v>Washington</v>
      </c>
      <c r="P134" t="str">
        <f>_xlfn.XLOOKUP(Orders[[#This Row],[CustomerID]],Customers[CustomerID],Customers[Gender])</f>
        <v>Female</v>
      </c>
      <c r="Q134">
        <f>_xlfn.XLOOKUP(Orders[[#This Row],[CustomerID]],Customers[CustomerID],Customers[CustomerAge])</f>
        <v>19</v>
      </c>
      <c r="R134" t="str">
        <f>IF(Orders[[#This Row],[CustomerAge]]&gt;=35, "Older", "Young")</f>
        <v>Young</v>
      </c>
      <c r="S134" t="str">
        <f>_xlfn.XLOOKUP(Orders[[#This Row],[ProductID]],Products[ProductID],Products[ProductName])</f>
        <v>Skipping Rope</v>
      </c>
      <c r="T134" t="str">
        <f>_xlfn.XLOOKUP(Orders[[#This Row],[ProductID]],Products[ProductID],Products[Category])</f>
        <v>Sports</v>
      </c>
    </row>
    <row r="135" spans="1:20" x14ac:dyDescent="0.25">
      <c r="A135" s="4" t="s">
        <v>262</v>
      </c>
      <c r="B135" s="5">
        <v>46003</v>
      </c>
      <c r="C135" s="15">
        <f>WEEKNUM(Orders[[#This Row],[OrderDate]])</f>
        <v>50</v>
      </c>
      <c r="D135" s="15" t="str">
        <f>TEXT(Orders[[#This Row],[OrderDate]],"mmmm")</f>
        <v>December</v>
      </c>
      <c r="E135" s="4" t="s">
        <v>30</v>
      </c>
      <c r="F135" s="4" t="s">
        <v>25</v>
      </c>
      <c r="G135" s="4">
        <v>3</v>
      </c>
      <c r="H135" s="12">
        <v>851.1</v>
      </c>
      <c r="I135" s="13">
        <v>723.43500000000006</v>
      </c>
      <c r="J135" s="13">
        <f>Orders[[#This Row],[Quantity]]*Orders[[#This Row],[Selling Price]]</f>
        <v>2553.3000000000002</v>
      </c>
      <c r="K135" s="13">
        <f>Orders[[#This Row],[Quantity]]*Orders[[#This Row],[Cost Price]]</f>
        <v>2170.3050000000003</v>
      </c>
      <c r="L135" s="13">
        <f>Orders[[#This Row],[Revenue]]-Orders[[#This Row],[Expenses]]</f>
        <v>382.99499999999989</v>
      </c>
      <c r="M135" t="s">
        <v>2194</v>
      </c>
      <c r="N135" t="str">
        <f>_xlfn.XLOOKUP(Orders[[#This Row],[CustomerID]],Customers[CustomerID],Customers[CustomerName])</f>
        <v>Amina Danladi</v>
      </c>
      <c r="O135" t="str">
        <f>_xlfn.XLOOKUP(Orders[[#This Row],[CustomerID]],Customers[CustomerID],Customers[City])</f>
        <v>Florida</v>
      </c>
      <c r="P135" t="str">
        <f>_xlfn.XLOOKUP(Orders[[#This Row],[CustomerID]],Customers[CustomerID],Customers[Gender])</f>
        <v>Female</v>
      </c>
      <c r="Q135">
        <f>_xlfn.XLOOKUP(Orders[[#This Row],[CustomerID]],Customers[CustomerID],Customers[CustomerAge])</f>
        <v>42</v>
      </c>
      <c r="R135" t="str">
        <f>IF(Orders[[#This Row],[CustomerAge]]&gt;=35, "Older", "Young")</f>
        <v>Older</v>
      </c>
      <c r="S135" t="str">
        <f>_xlfn.XLOOKUP(Orders[[#This Row],[ProductID]],Products[ProductID],Products[ProductName])</f>
        <v>Gold Rings</v>
      </c>
      <c r="T135" t="str">
        <f>_xlfn.XLOOKUP(Orders[[#This Row],[ProductID]],Products[ProductID],Products[Category])</f>
        <v>Accessories</v>
      </c>
    </row>
    <row r="136" spans="1:20" x14ac:dyDescent="0.25">
      <c r="A136" s="4" t="s">
        <v>263</v>
      </c>
      <c r="B136" s="5">
        <v>45978</v>
      </c>
      <c r="C136" s="15">
        <f>WEEKNUM(Orders[[#This Row],[OrderDate]])</f>
        <v>47</v>
      </c>
      <c r="D136" s="15" t="str">
        <f>TEXT(Orders[[#This Row],[OrderDate]],"mmmm")</f>
        <v>November</v>
      </c>
      <c r="E136" s="4" t="s">
        <v>264</v>
      </c>
      <c r="F136" s="4" t="s">
        <v>189</v>
      </c>
      <c r="G136" s="4">
        <v>6</v>
      </c>
      <c r="H136" s="12">
        <v>7519.8</v>
      </c>
      <c r="I136" s="13">
        <v>6391.83</v>
      </c>
      <c r="J136" s="13">
        <f>Orders[[#This Row],[Quantity]]*Orders[[#This Row],[Selling Price]]</f>
        <v>45118.8</v>
      </c>
      <c r="K136" s="13">
        <f>Orders[[#This Row],[Quantity]]*Orders[[#This Row],[Cost Price]]</f>
        <v>38350.979999999996</v>
      </c>
      <c r="L136" s="13">
        <f>Orders[[#This Row],[Revenue]]-Orders[[#This Row],[Expenses]]</f>
        <v>6767.820000000007</v>
      </c>
      <c r="M136" t="s">
        <v>2217</v>
      </c>
      <c r="N136" t="str">
        <f>_xlfn.XLOOKUP(Orders[[#This Row],[CustomerID]],Customers[CustomerID],Customers[CustomerName])</f>
        <v>Ronke Adeyemi</v>
      </c>
      <c r="O136" t="str">
        <f>_xlfn.XLOOKUP(Orders[[#This Row],[CustomerID]],Customers[CustomerID],Customers[City])</f>
        <v>Georgia</v>
      </c>
      <c r="P136" t="str">
        <f>_xlfn.XLOOKUP(Orders[[#This Row],[CustomerID]],Customers[CustomerID],Customers[Gender])</f>
        <v>Female</v>
      </c>
      <c r="Q136">
        <f>_xlfn.XLOOKUP(Orders[[#This Row],[CustomerID]],Customers[CustomerID],Customers[CustomerAge])</f>
        <v>19</v>
      </c>
      <c r="R136" t="str">
        <f>IF(Orders[[#This Row],[CustomerAge]]&gt;=35, "Older", "Young")</f>
        <v>Young</v>
      </c>
      <c r="S136" t="str">
        <f>_xlfn.XLOOKUP(Orders[[#This Row],[ProductID]],Products[ProductID],Products[ProductName])</f>
        <v>Scrabble</v>
      </c>
      <c r="T136" t="str">
        <f>_xlfn.XLOOKUP(Orders[[#This Row],[ProductID]],Products[ProductID],Products[Category])</f>
        <v>Games</v>
      </c>
    </row>
    <row r="137" spans="1:20" x14ac:dyDescent="0.25">
      <c r="A137" s="4" t="s">
        <v>265</v>
      </c>
      <c r="B137" s="5">
        <v>45995</v>
      </c>
      <c r="C137" s="15">
        <f>WEEKNUM(Orders[[#This Row],[OrderDate]])</f>
        <v>49</v>
      </c>
      <c r="D137" s="15" t="str">
        <f>TEXT(Orders[[#This Row],[OrderDate]],"mmmm")</f>
        <v>December</v>
      </c>
      <c r="E137" s="4" t="s">
        <v>239</v>
      </c>
      <c r="F137" s="4" t="s">
        <v>168</v>
      </c>
      <c r="G137" s="4">
        <v>2</v>
      </c>
      <c r="H137" s="12">
        <v>4957</v>
      </c>
      <c r="I137" s="13">
        <v>4213.45</v>
      </c>
      <c r="J137" s="13">
        <f>Orders[[#This Row],[Quantity]]*Orders[[#This Row],[Selling Price]]</f>
        <v>9914</v>
      </c>
      <c r="K137" s="13">
        <f>Orders[[#This Row],[Quantity]]*Orders[[#This Row],[Cost Price]]</f>
        <v>8426.9</v>
      </c>
      <c r="L137" s="13">
        <f>Orders[[#This Row],[Revenue]]-Orders[[#This Row],[Expenses]]</f>
        <v>1487.1000000000004</v>
      </c>
      <c r="M137" t="s">
        <v>2193</v>
      </c>
      <c r="N137" t="str">
        <f>_xlfn.XLOOKUP(Orders[[#This Row],[CustomerID]],Customers[CustomerID],Customers[CustomerName])</f>
        <v>Emeka Danladi</v>
      </c>
      <c r="O137" t="str">
        <f>_xlfn.XLOOKUP(Orders[[#This Row],[CustomerID]],Customers[CustomerID],Customers[City])</f>
        <v>Florida</v>
      </c>
      <c r="P137" t="str">
        <f>_xlfn.XLOOKUP(Orders[[#This Row],[CustomerID]],Customers[CustomerID],Customers[Gender])</f>
        <v>Male</v>
      </c>
      <c r="Q137">
        <f>_xlfn.XLOOKUP(Orders[[#This Row],[CustomerID]],Customers[CustomerID],Customers[CustomerAge])</f>
        <v>23</v>
      </c>
      <c r="R137" t="str">
        <f>IF(Orders[[#This Row],[CustomerAge]]&gt;=35, "Older", "Young")</f>
        <v>Young</v>
      </c>
      <c r="S137" t="str">
        <f>_xlfn.XLOOKUP(Orders[[#This Row],[ProductID]],Products[ProductID],Products[ProductName])</f>
        <v>Dumb Bells</v>
      </c>
      <c r="T137" t="str">
        <f>_xlfn.XLOOKUP(Orders[[#This Row],[ProductID]],Products[ProductID],Products[Category])</f>
        <v>Gym</v>
      </c>
    </row>
    <row r="138" spans="1:20" x14ac:dyDescent="0.25">
      <c r="A138" s="4" t="s">
        <v>266</v>
      </c>
      <c r="B138" s="5">
        <v>45997</v>
      </c>
      <c r="C138" s="15">
        <f>WEEKNUM(Orders[[#This Row],[OrderDate]])</f>
        <v>49</v>
      </c>
      <c r="D138" s="15" t="str">
        <f>TEXT(Orders[[#This Row],[OrderDate]],"mmmm")</f>
        <v>December</v>
      </c>
      <c r="E138" s="4" t="s">
        <v>227</v>
      </c>
      <c r="F138" s="4" t="s">
        <v>70</v>
      </c>
      <c r="G138" s="4">
        <v>4</v>
      </c>
      <c r="H138" s="12">
        <v>6845.5</v>
      </c>
      <c r="I138" s="13">
        <v>5818.6750000000002</v>
      </c>
      <c r="J138" s="13">
        <f>Orders[[#This Row],[Quantity]]*Orders[[#This Row],[Selling Price]]</f>
        <v>27382</v>
      </c>
      <c r="K138" s="13">
        <f>Orders[[#This Row],[Quantity]]*Orders[[#This Row],[Cost Price]]</f>
        <v>23274.7</v>
      </c>
      <c r="L138" s="13">
        <f>Orders[[#This Row],[Revenue]]-Orders[[#This Row],[Expenses]]</f>
        <v>4107.2999999999993</v>
      </c>
      <c r="M138" t="s">
        <v>2202</v>
      </c>
      <c r="N138" t="str">
        <f>_xlfn.XLOOKUP(Orders[[#This Row],[CustomerID]],Customers[CustomerID],Customers[CustomerName])</f>
        <v>Emmanuel Victor</v>
      </c>
      <c r="O138" t="str">
        <f>_xlfn.XLOOKUP(Orders[[#This Row],[CustomerID]],Customers[CustomerID],Customers[City])</f>
        <v>Washington</v>
      </c>
      <c r="P138" t="str">
        <f>_xlfn.XLOOKUP(Orders[[#This Row],[CustomerID]],Customers[CustomerID],Customers[Gender])</f>
        <v>Male</v>
      </c>
      <c r="Q138">
        <f>_xlfn.XLOOKUP(Orders[[#This Row],[CustomerID]],Customers[CustomerID],Customers[CustomerAge])</f>
        <v>35</v>
      </c>
      <c r="R138" t="str">
        <f>IF(Orders[[#This Row],[CustomerAge]]&gt;=35, "Older", "Young")</f>
        <v>Older</v>
      </c>
      <c r="S138" t="str">
        <f>_xlfn.XLOOKUP(Orders[[#This Row],[ProductID]],Products[ProductID],Products[ProductName])</f>
        <v>Yoga Mat</v>
      </c>
      <c r="T138" t="str">
        <f>_xlfn.XLOOKUP(Orders[[#This Row],[ProductID]],Products[ProductID],Products[Category])</f>
        <v>Gym</v>
      </c>
    </row>
    <row r="139" spans="1:20" x14ac:dyDescent="0.25">
      <c r="A139" s="4" t="s">
        <v>267</v>
      </c>
      <c r="B139" s="5">
        <v>45985</v>
      </c>
      <c r="C139" s="15">
        <f>WEEKNUM(Orders[[#This Row],[OrderDate]])</f>
        <v>48</v>
      </c>
      <c r="D139" s="15" t="str">
        <f>TEXT(Orders[[#This Row],[OrderDate]],"mmmm")</f>
        <v>November</v>
      </c>
      <c r="E139" s="4" t="s">
        <v>48</v>
      </c>
      <c r="F139" s="4" t="s">
        <v>20</v>
      </c>
      <c r="G139" s="4">
        <v>7</v>
      </c>
      <c r="H139" s="12">
        <v>12488.699999999999</v>
      </c>
      <c r="I139" s="13">
        <v>10615.394999999999</v>
      </c>
      <c r="J139" s="13">
        <f>Orders[[#This Row],[Quantity]]*Orders[[#This Row],[Selling Price]]</f>
        <v>87420.9</v>
      </c>
      <c r="K139" s="13">
        <f>Orders[[#This Row],[Quantity]]*Orders[[#This Row],[Cost Price]]</f>
        <v>74307.764999999985</v>
      </c>
      <c r="L139" s="13">
        <f>Orders[[#This Row],[Revenue]]-Orders[[#This Row],[Expenses]]</f>
        <v>13113.135000000009</v>
      </c>
      <c r="M139" t="s">
        <v>2219</v>
      </c>
      <c r="N139" t="str">
        <f>_xlfn.XLOOKUP(Orders[[#This Row],[CustomerID]],Customers[CustomerID],Customers[CustomerName])</f>
        <v>Mustafa Obi</v>
      </c>
      <c r="O139" t="str">
        <f>_xlfn.XLOOKUP(Orders[[#This Row],[CustomerID]],Customers[CustomerID],Customers[City])</f>
        <v>California</v>
      </c>
      <c r="P139" t="str">
        <f>_xlfn.XLOOKUP(Orders[[#This Row],[CustomerID]],Customers[CustomerID],Customers[Gender])</f>
        <v>Male</v>
      </c>
      <c r="Q139">
        <f>_xlfn.XLOOKUP(Orders[[#This Row],[CustomerID]],Customers[CustomerID],Customers[CustomerAge])</f>
        <v>23</v>
      </c>
      <c r="R139" t="str">
        <f>IF(Orders[[#This Row],[CustomerAge]]&gt;=35, "Older", "Young")</f>
        <v>Young</v>
      </c>
      <c r="S139" t="str">
        <f>_xlfn.XLOOKUP(Orders[[#This Row],[ProductID]],Products[ProductID],Products[ProductName])</f>
        <v>Gym Bag</v>
      </c>
      <c r="T139" t="str">
        <f>_xlfn.XLOOKUP(Orders[[#This Row],[ProductID]],Products[ProductID],Products[Category])</f>
        <v>Gym</v>
      </c>
    </row>
    <row r="140" spans="1:20" x14ac:dyDescent="0.25">
      <c r="A140" s="4" t="s">
        <v>268</v>
      </c>
      <c r="B140" s="5">
        <v>45983</v>
      </c>
      <c r="C140" s="15">
        <f>WEEKNUM(Orders[[#This Row],[OrderDate]])</f>
        <v>47</v>
      </c>
      <c r="D140" s="15" t="str">
        <f>TEXT(Orders[[#This Row],[OrderDate]],"mmmm")</f>
        <v>November</v>
      </c>
      <c r="E140" s="4" t="s">
        <v>101</v>
      </c>
      <c r="F140" s="4" t="s">
        <v>31</v>
      </c>
      <c r="G140" s="4">
        <v>4</v>
      </c>
      <c r="H140" s="12">
        <v>1448.3000000000002</v>
      </c>
      <c r="I140" s="13">
        <v>1231.0550000000001</v>
      </c>
      <c r="J140" s="13">
        <f>Orders[[#This Row],[Quantity]]*Orders[[#This Row],[Selling Price]]</f>
        <v>5793.2000000000007</v>
      </c>
      <c r="K140" s="13">
        <f>Orders[[#This Row],[Quantity]]*Orders[[#This Row],[Cost Price]]</f>
        <v>4924.22</v>
      </c>
      <c r="L140" s="13">
        <f>Orders[[#This Row],[Revenue]]-Orders[[#This Row],[Expenses]]</f>
        <v>868.98000000000047</v>
      </c>
      <c r="M140" t="s">
        <v>2193</v>
      </c>
      <c r="N140" t="str">
        <f>_xlfn.XLOOKUP(Orders[[#This Row],[CustomerID]],Customers[CustomerID],Customers[CustomerName])</f>
        <v>Blessing Eze</v>
      </c>
      <c r="O140" t="str">
        <f>_xlfn.XLOOKUP(Orders[[#This Row],[CustomerID]],Customers[CustomerID],Customers[City])</f>
        <v>Texas</v>
      </c>
      <c r="P140" t="str">
        <f>_xlfn.XLOOKUP(Orders[[#This Row],[CustomerID]],Customers[CustomerID],Customers[Gender])</f>
        <v>Female</v>
      </c>
      <c r="Q140">
        <f>_xlfn.XLOOKUP(Orders[[#This Row],[CustomerID]],Customers[CustomerID],Customers[CustomerAge])</f>
        <v>55</v>
      </c>
      <c r="R140" t="str">
        <f>IF(Orders[[#This Row],[CustomerAge]]&gt;=35, "Older", "Young")</f>
        <v>Older</v>
      </c>
      <c r="S140" t="str">
        <f>_xlfn.XLOOKUP(Orders[[#This Row],[ProductID]],Products[ProductID],Products[ProductName])</f>
        <v>Kids Games</v>
      </c>
      <c r="T140" t="str">
        <f>_xlfn.XLOOKUP(Orders[[#This Row],[ProductID]],Products[ProductID],Products[Category])</f>
        <v>Games</v>
      </c>
    </row>
    <row r="141" spans="1:20" x14ac:dyDescent="0.25">
      <c r="A141" s="4" t="s">
        <v>269</v>
      </c>
      <c r="B141" s="5">
        <v>45984</v>
      </c>
      <c r="C141" s="15">
        <f>WEEKNUM(Orders[[#This Row],[OrderDate]])</f>
        <v>48</v>
      </c>
      <c r="D141" s="15" t="str">
        <f>TEXT(Orders[[#This Row],[OrderDate]],"mmmm")</f>
        <v>November</v>
      </c>
      <c r="E141" s="4" t="s">
        <v>122</v>
      </c>
      <c r="F141" s="4" t="s">
        <v>57</v>
      </c>
      <c r="G141" s="4">
        <v>6</v>
      </c>
      <c r="H141" s="12">
        <v>18254</v>
      </c>
      <c r="I141" s="13">
        <v>15515.9</v>
      </c>
      <c r="J141" s="13">
        <f>Orders[[#This Row],[Quantity]]*Orders[[#This Row],[Selling Price]]</f>
        <v>109524</v>
      </c>
      <c r="K141" s="13">
        <f>Orders[[#This Row],[Quantity]]*Orders[[#This Row],[Cost Price]]</f>
        <v>93095.4</v>
      </c>
      <c r="L141" s="13">
        <f>Orders[[#This Row],[Revenue]]-Orders[[#This Row],[Expenses]]</f>
        <v>16428.600000000006</v>
      </c>
      <c r="M141" t="s">
        <v>2194</v>
      </c>
      <c r="N141" t="str">
        <f>_xlfn.XLOOKUP(Orders[[#This Row],[CustomerID]],Customers[CustomerID],Customers[CustomerName])</f>
        <v>Ibrahim Eze</v>
      </c>
      <c r="O141" t="str">
        <f>_xlfn.XLOOKUP(Orders[[#This Row],[CustomerID]],Customers[CustomerID],Customers[City])</f>
        <v>Texas</v>
      </c>
      <c r="P141" t="str">
        <f>_xlfn.XLOOKUP(Orders[[#This Row],[CustomerID]],Customers[CustomerID],Customers[Gender])</f>
        <v>Male</v>
      </c>
      <c r="Q141">
        <f>_xlfn.XLOOKUP(Orders[[#This Row],[CustomerID]],Customers[CustomerID],Customers[CustomerAge])</f>
        <v>52</v>
      </c>
      <c r="R141" t="str">
        <f>IF(Orders[[#This Row],[CustomerAge]]&gt;=35, "Older", "Young")</f>
        <v>Older</v>
      </c>
      <c r="S141" t="str">
        <f>_xlfn.XLOOKUP(Orders[[#This Row],[ProductID]],Products[ProductID],Products[ProductName])</f>
        <v>Badminton Racket</v>
      </c>
      <c r="T141" t="str">
        <f>_xlfn.XLOOKUP(Orders[[#This Row],[ProductID]],Products[ProductID],Products[Category])</f>
        <v>Sports</v>
      </c>
    </row>
    <row r="142" spans="1:20" x14ac:dyDescent="0.25">
      <c r="A142" s="4" t="s">
        <v>270</v>
      </c>
      <c r="B142" s="5">
        <v>45946</v>
      </c>
      <c r="C142" s="15">
        <f>WEEKNUM(Orders[[#This Row],[OrderDate]])</f>
        <v>42</v>
      </c>
      <c r="D142" s="15" t="str">
        <f>TEXT(Orders[[#This Row],[OrderDate]],"mmmm")</f>
        <v>October</v>
      </c>
      <c r="E142" s="4" t="s">
        <v>96</v>
      </c>
      <c r="F142" s="4" t="s">
        <v>189</v>
      </c>
      <c r="G142" s="4">
        <v>4</v>
      </c>
      <c r="H142" s="12">
        <v>18942</v>
      </c>
      <c r="I142" s="13">
        <v>16100.7</v>
      </c>
      <c r="J142" s="13">
        <f>Orders[[#This Row],[Quantity]]*Orders[[#This Row],[Selling Price]]</f>
        <v>75768</v>
      </c>
      <c r="K142" s="13">
        <f>Orders[[#This Row],[Quantity]]*Orders[[#This Row],[Cost Price]]</f>
        <v>64402.8</v>
      </c>
      <c r="L142" s="13">
        <f>Orders[[#This Row],[Revenue]]-Orders[[#This Row],[Expenses]]</f>
        <v>11365.199999999997</v>
      </c>
      <c r="M142" t="s">
        <v>2216</v>
      </c>
      <c r="N142" t="str">
        <f>_xlfn.XLOOKUP(Orders[[#This Row],[CustomerID]],Customers[CustomerID],Customers[CustomerName])</f>
        <v>Amina Abubakar</v>
      </c>
      <c r="O142" t="str">
        <f>_xlfn.XLOOKUP(Orders[[#This Row],[CustomerID]],Customers[CustomerID],Customers[City])</f>
        <v>Texas</v>
      </c>
      <c r="P142" t="str">
        <f>_xlfn.XLOOKUP(Orders[[#This Row],[CustomerID]],Customers[CustomerID],Customers[Gender])</f>
        <v>Female</v>
      </c>
      <c r="Q142">
        <f>_xlfn.XLOOKUP(Orders[[#This Row],[CustomerID]],Customers[CustomerID],Customers[CustomerAge])</f>
        <v>35</v>
      </c>
      <c r="R142" t="str">
        <f>IF(Orders[[#This Row],[CustomerAge]]&gt;=35, "Older", "Young")</f>
        <v>Older</v>
      </c>
      <c r="S142" t="str">
        <f>_xlfn.XLOOKUP(Orders[[#This Row],[ProductID]],Products[ProductID],Products[ProductName])</f>
        <v>Scrabble</v>
      </c>
      <c r="T142" t="str">
        <f>_xlfn.XLOOKUP(Orders[[#This Row],[ProductID]],Products[ProductID],Products[Category])</f>
        <v>Games</v>
      </c>
    </row>
    <row r="143" spans="1:20" x14ac:dyDescent="0.25">
      <c r="A143" s="4" t="s">
        <v>271</v>
      </c>
      <c r="B143" s="5">
        <v>45992</v>
      </c>
      <c r="C143" s="15">
        <f>WEEKNUM(Orders[[#This Row],[OrderDate]])</f>
        <v>49</v>
      </c>
      <c r="D143" s="15" t="str">
        <f>TEXT(Orders[[#This Row],[OrderDate]],"mmmm")</f>
        <v>December</v>
      </c>
      <c r="E143" s="4" t="s">
        <v>272</v>
      </c>
      <c r="F143" s="4" t="s">
        <v>15</v>
      </c>
      <c r="G143" s="4">
        <v>5</v>
      </c>
      <c r="H143" s="12">
        <v>14403.3</v>
      </c>
      <c r="I143" s="13">
        <v>12242.805</v>
      </c>
      <c r="J143" s="13">
        <f>Orders[[#This Row],[Quantity]]*Orders[[#This Row],[Selling Price]]</f>
        <v>72016.5</v>
      </c>
      <c r="K143" s="13">
        <f>Orders[[#This Row],[Quantity]]*Orders[[#This Row],[Cost Price]]</f>
        <v>61214.025000000001</v>
      </c>
      <c r="L143" s="13">
        <f>Orders[[#This Row],[Revenue]]-Orders[[#This Row],[Expenses]]</f>
        <v>10802.474999999999</v>
      </c>
      <c r="M143" t="s">
        <v>2214</v>
      </c>
      <c r="N143" t="str">
        <f>_xlfn.XLOOKUP(Orders[[#This Row],[CustomerID]],Customers[CustomerID],Customers[CustomerName])</f>
        <v>Blessing Bello</v>
      </c>
      <c r="O143" t="str">
        <f>_xlfn.XLOOKUP(Orders[[#This Row],[CustomerID]],Customers[CustomerID],Customers[City])</f>
        <v>Florida</v>
      </c>
      <c r="P143" t="str">
        <f>_xlfn.XLOOKUP(Orders[[#This Row],[CustomerID]],Customers[CustomerID],Customers[Gender])</f>
        <v>Female</v>
      </c>
      <c r="Q143">
        <f>_xlfn.XLOOKUP(Orders[[#This Row],[CustomerID]],Customers[CustomerID],Customers[CustomerAge])</f>
        <v>38</v>
      </c>
      <c r="R143" t="str">
        <f>IF(Orders[[#This Row],[CustomerAge]]&gt;=35, "Older", "Young")</f>
        <v>Older</v>
      </c>
      <c r="S143" t="str">
        <f>_xlfn.XLOOKUP(Orders[[#This Row],[ProductID]],Products[ProductID],Products[ProductName])</f>
        <v>Monopoly</v>
      </c>
      <c r="T143" t="str">
        <f>_xlfn.XLOOKUP(Orders[[#This Row],[ProductID]],Products[ProductID],Products[Category])</f>
        <v>Games</v>
      </c>
    </row>
    <row r="144" spans="1:20" x14ac:dyDescent="0.25">
      <c r="A144" s="4" t="s">
        <v>273</v>
      </c>
      <c r="B144" s="5">
        <v>46009</v>
      </c>
      <c r="C144" s="15">
        <f>WEEKNUM(Orders[[#This Row],[OrderDate]])</f>
        <v>51</v>
      </c>
      <c r="D144" s="15" t="str">
        <f>TEXT(Orders[[#This Row],[OrderDate]],"mmmm")</f>
        <v>December</v>
      </c>
      <c r="E144" s="4" t="s">
        <v>33</v>
      </c>
      <c r="F144" s="4" t="s">
        <v>23</v>
      </c>
      <c r="G144" s="4">
        <v>3</v>
      </c>
      <c r="H144" s="12">
        <v>11874.1</v>
      </c>
      <c r="I144" s="13">
        <v>10092.985000000001</v>
      </c>
      <c r="J144" s="13">
        <f>Orders[[#This Row],[Quantity]]*Orders[[#This Row],[Selling Price]]</f>
        <v>35622.300000000003</v>
      </c>
      <c r="K144" s="13">
        <f>Orders[[#This Row],[Quantity]]*Orders[[#This Row],[Cost Price]]</f>
        <v>30278.955000000002</v>
      </c>
      <c r="L144" s="13">
        <f>Orders[[#This Row],[Revenue]]-Orders[[#This Row],[Expenses]]</f>
        <v>5343.3450000000012</v>
      </c>
      <c r="M144" t="s">
        <v>2215</v>
      </c>
      <c r="N144" t="str">
        <f>_xlfn.XLOOKUP(Orders[[#This Row],[CustomerID]],Customers[CustomerID],Customers[CustomerName])</f>
        <v>Okon Balogun</v>
      </c>
      <c r="O144" t="str">
        <f>_xlfn.XLOOKUP(Orders[[#This Row],[CustomerID]],Customers[CustomerID],Customers[City])</f>
        <v>Texas</v>
      </c>
      <c r="P144" t="str">
        <f>_xlfn.XLOOKUP(Orders[[#This Row],[CustomerID]],Customers[CustomerID],Customers[Gender])</f>
        <v>Male</v>
      </c>
      <c r="Q144">
        <f>_xlfn.XLOOKUP(Orders[[#This Row],[CustomerID]],Customers[CustomerID],Customers[CustomerAge])</f>
        <v>28</v>
      </c>
      <c r="R144" t="str">
        <f>IF(Orders[[#This Row],[CustomerAge]]&gt;=35, "Older", "Young")</f>
        <v>Young</v>
      </c>
      <c r="S144" t="str">
        <f>_xlfn.XLOOKUP(Orders[[#This Row],[ProductID]],Products[ProductID],Products[ProductName])</f>
        <v>Gym Gloves</v>
      </c>
      <c r="T144" t="str">
        <f>_xlfn.XLOOKUP(Orders[[#This Row],[ProductID]],Products[ProductID],Products[Category])</f>
        <v>Gym</v>
      </c>
    </row>
    <row r="145" spans="1:20" x14ac:dyDescent="0.25">
      <c r="A145" s="4" t="s">
        <v>274</v>
      </c>
      <c r="B145" s="5">
        <v>45946</v>
      </c>
      <c r="C145" s="15">
        <f>WEEKNUM(Orders[[#This Row],[OrderDate]])</f>
        <v>42</v>
      </c>
      <c r="D145" s="15" t="str">
        <f>TEXT(Orders[[#This Row],[OrderDate]],"mmmm")</f>
        <v>October</v>
      </c>
      <c r="E145" s="4" t="s">
        <v>275</v>
      </c>
      <c r="F145" s="4" t="s">
        <v>25</v>
      </c>
      <c r="G145" s="4">
        <v>2</v>
      </c>
      <c r="H145" s="12">
        <v>10376.099999999999</v>
      </c>
      <c r="I145" s="13">
        <v>8819.6849999999995</v>
      </c>
      <c r="J145" s="13">
        <f>Orders[[#This Row],[Quantity]]*Orders[[#This Row],[Selling Price]]</f>
        <v>20752.199999999997</v>
      </c>
      <c r="K145" s="13">
        <f>Orders[[#This Row],[Quantity]]*Orders[[#This Row],[Cost Price]]</f>
        <v>17639.37</v>
      </c>
      <c r="L145" s="13">
        <f>Orders[[#This Row],[Revenue]]-Orders[[#This Row],[Expenses]]</f>
        <v>3112.8299999999981</v>
      </c>
      <c r="M145" t="s">
        <v>2205</v>
      </c>
      <c r="N145" t="str">
        <f>_xlfn.XLOOKUP(Orders[[#This Row],[CustomerID]],Customers[CustomerID],Customers[CustomerName])</f>
        <v>Ngozi Danladi</v>
      </c>
      <c r="O145" t="str">
        <f>_xlfn.XLOOKUP(Orders[[#This Row],[CustomerID]],Customers[CustomerID],Customers[City])</f>
        <v>Texas</v>
      </c>
      <c r="P145" t="str">
        <f>_xlfn.XLOOKUP(Orders[[#This Row],[CustomerID]],Customers[CustomerID],Customers[Gender])</f>
        <v>Female</v>
      </c>
      <c r="Q145">
        <f>_xlfn.XLOOKUP(Orders[[#This Row],[CustomerID]],Customers[CustomerID],Customers[CustomerAge])</f>
        <v>25</v>
      </c>
      <c r="R145" t="str">
        <f>IF(Orders[[#This Row],[CustomerAge]]&gt;=35, "Older", "Young")</f>
        <v>Young</v>
      </c>
      <c r="S145" t="str">
        <f>_xlfn.XLOOKUP(Orders[[#This Row],[ProductID]],Products[ProductID],Products[ProductName])</f>
        <v>Gold Rings</v>
      </c>
      <c r="T145" t="str">
        <f>_xlfn.XLOOKUP(Orders[[#This Row],[ProductID]],Products[ProductID],Products[Category])</f>
        <v>Accessories</v>
      </c>
    </row>
    <row r="146" spans="1:20" x14ac:dyDescent="0.25">
      <c r="A146" s="4" t="s">
        <v>276</v>
      </c>
      <c r="B146" s="5">
        <v>45971</v>
      </c>
      <c r="C146" s="15">
        <f>WEEKNUM(Orders[[#This Row],[OrderDate]])</f>
        <v>46</v>
      </c>
      <c r="D146" s="15" t="str">
        <f>TEXT(Orders[[#This Row],[OrderDate]],"mmmm")</f>
        <v>November</v>
      </c>
      <c r="E146" s="4" t="s">
        <v>205</v>
      </c>
      <c r="F146" s="4" t="s">
        <v>92</v>
      </c>
      <c r="G146" s="4">
        <v>9</v>
      </c>
      <c r="H146" s="12">
        <v>7100</v>
      </c>
      <c r="I146" s="13">
        <v>6035</v>
      </c>
      <c r="J146" s="13">
        <f>Orders[[#This Row],[Quantity]]*Orders[[#This Row],[Selling Price]]</f>
        <v>63900</v>
      </c>
      <c r="K146" s="13">
        <f>Orders[[#This Row],[Quantity]]*Orders[[#This Row],[Cost Price]]</f>
        <v>54315</v>
      </c>
      <c r="L146" s="13">
        <f>Orders[[#This Row],[Revenue]]-Orders[[#This Row],[Expenses]]</f>
        <v>9585</v>
      </c>
      <c r="M146" t="s">
        <v>2197</v>
      </c>
      <c r="N146" t="str">
        <f>_xlfn.XLOOKUP(Orders[[#This Row],[CustomerID]],Customers[CustomerID],Customers[CustomerName])</f>
        <v>Jide Adeyemi</v>
      </c>
      <c r="O146" t="str">
        <f>_xlfn.XLOOKUP(Orders[[#This Row],[CustomerID]],Customers[CustomerID],Customers[City])</f>
        <v>Washington</v>
      </c>
      <c r="P146" t="str">
        <f>_xlfn.XLOOKUP(Orders[[#This Row],[CustomerID]],Customers[CustomerID],Customers[Gender])</f>
        <v>Male</v>
      </c>
      <c r="Q146">
        <f>_xlfn.XLOOKUP(Orders[[#This Row],[CustomerID]],Customers[CustomerID],Customers[CustomerAge])</f>
        <v>19</v>
      </c>
      <c r="R146" t="str">
        <f>IF(Orders[[#This Row],[CustomerAge]]&gt;=35, "Older", "Young")</f>
        <v>Young</v>
      </c>
      <c r="S146" t="str">
        <f>_xlfn.XLOOKUP(Orders[[#This Row],[ProductID]],Products[ProductID],Products[ProductName])</f>
        <v>Chest Expander</v>
      </c>
      <c r="T146" t="str">
        <f>_xlfn.XLOOKUP(Orders[[#This Row],[ProductID]],Products[ProductID],Products[Category])</f>
        <v>Gym</v>
      </c>
    </row>
    <row r="147" spans="1:20" x14ac:dyDescent="0.25">
      <c r="A147" s="4" t="s">
        <v>277</v>
      </c>
      <c r="B147" s="5">
        <v>45981</v>
      </c>
      <c r="C147" s="15">
        <f>WEEKNUM(Orders[[#This Row],[OrderDate]])</f>
        <v>47</v>
      </c>
      <c r="D147" s="15" t="str">
        <f>TEXT(Orders[[#This Row],[OrderDate]],"mmmm")</f>
        <v>November</v>
      </c>
      <c r="E147" s="4" t="s">
        <v>207</v>
      </c>
      <c r="F147" s="4" t="s">
        <v>151</v>
      </c>
      <c r="G147" s="4">
        <v>5</v>
      </c>
      <c r="H147" s="12">
        <v>12556.199999999999</v>
      </c>
      <c r="I147" s="13">
        <v>10672.769999999999</v>
      </c>
      <c r="J147" s="13">
        <f>Orders[[#This Row],[Quantity]]*Orders[[#This Row],[Selling Price]]</f>
        <v>62780.999999999993</v>
      </c>
      <c r="K147" s="13">
        <f>Orders[[#This Row],[Quantity]]*Orders[[#This Row],[Cost Price]]</f>
        <v>53363.849999999991</v>
      </c>
      <c r="L147" s="13">
        <f>Orders[[#This Row],[Revenue]]-Orders[[#This Row],[Expenses]]</f>
        <v>9417.1500000000015</v>
      </c>
      <c r="M147" t="s">
        <v>2207</v>
      </c>
      <c r="N147" t="str">
        <f>_xlfn.XLOOKUP(Orders[[#This Row],[CustomerID]],Customers[CustomerID],Customers[CustomerName])</f>
        <v>Bisi Eze</v>
      </c>
      <c r="O147" t="str">
        <f>_xlfn.XLOOKUP(Orders[[#This Row],[CustomerID]],Customers[CustomerID],Customers[City])</f>
        <v>Florida</v>
      </c>
      <c r="P147" t="str">
        <f>_xlfn.XLOOKUP(Orders[[#This Row],[CustomerID]],Customers[CustomerID],Customers[Gender])</f>
        <v>Female</v>
      </c>
      <c r="Q147">
        <f>_xlfn.XLOOKUP(Orders[[#This Row],[CustomerID]],Customers[CustomerID],Customers[CustomerAge])</f>
        <v>37</v>
      </c>
      <c r="R147" t="str">
        <f>IF(Orders[[#This Row],[CustomerAge]]&gt;=35, "Older", "Young")</f>
        <v>Older</v>
      </c>
      <c r="S147" t="str">
        <f>_xlfn.XLOOKUP(Orders[[#This Row],[ProductID]],Products[ProductID],Products[ProductName])</f>
        <v>Checkers</v>
      </c>
      <c r="T147" t="str">
        <f>_xlfn.XLOOKUP(Orders[[#This Row],[ProductID]],Products[ProductID],Products[Category])</f>
        <v>Games</v>
      </c>
    </row>
    <row r="148" spans="1:20" x14ac:dyDescent="0.25">
      <c r="A148" s="4" t="s">
        <v>278</v>
      </c>
      <c r="B148" s="5">
        <v>45974</v>
      </c>
      <c r="C148" s="15">
        <f>WEEKNUM(Orders[[#This Row],[OrderDate]])</f>
        <v>46</v>
      </c>
      <c r="D148" s="15" t="str">
        <f>TEXT(Orders[[#This Row],[OrderDate]],"mmmm")</f>
        <v>November</v>
      </c>
      <c r="E148" s="4" t="s">
        <v>98</v>
      </c>
      <c r="F148" s="4" t="s">
        <v>46</v>
      </c>
      <c r="G148" s="4">
        <v>3</v>
      </c>
      <c r="H148" s="12">
        <v>8828.2000000000007</v>
      </c>
      <c r="I148" s="13">
        <v>7503.9700000000012</v>
      </c>
      <c r="J148" s="13">
        <f>Orders[[#This Row],[Quantity]]*Orders[[#This Row],[Selling Price]]</f>
        <v>26484.600000000002</v>
      </c>
      <c r="K148" s="13">
        <f>Orders[[#This Row],[Quantity]]*Orders[[#This Row],[Cost Price]]</f>
        <v>22511.910000000003</v>
      </c>
      <c r="L148" s="13">
        <f>Orders[[#This Row],[Revenue]]-Orders[[#This Row],[Expenses]]</f>
        <v>3972.6899999999987</v>
      </c>
      <c r="M148" t="s">
        <v>2194</v>
      </c>
      <c r="N148" t="str">
        <f>_xlfn.XLOOKUP(Orders[[#This Row],[CustomerID]],Customers[CustomerID],Customers[CustomerName])</f>
        <v>Chioma Adeyemi</v>
      </c>
      <c r="O148" t="str">
        <f>_xlfn.XLOOKUP(Orders[[#This Row],[CustomerID]],Customers[CustomerID],Customers[City])</f>
        <v>Illinois</v>
      </c>
      <c r="P148" t="str">
        <f>_xlfn.XLOOKUP(Orders[[#This Row],[CustomerID]],Customers[CustomerID],Customers[Gender])</f>
        <v>Female</v>
      </c>
      <c r="Q148">
        <f>_xlfn.XLOOKUP(Orders[[#This Row],[CustomerID]],Customers[CustomerID],Customers[CustomerAge])</f>
        <v>23</v>
      </c>
      <c r="R148" t="str">
        <f>IF(Orders[[#This Row],[CustomerAge]]&gt;=35, "Older", "Young")</f>
        <v>Young</v>
      </c>
      <c r="S148" t="str">
        <f>_xlfn.XLOOKUP(Orders[[#This Row],[ProductID]],Products[ProductID],Products[ProductName])</f>
        <v>Turtle Neck</v>
      </c>
      <c r="T148" t="str">
        <f>_xlfn.XLOOKUP(Orders[[#This Row],[ProductID]],Products[ProductID],Products[Category])</f>
        <v>Clothing</v>
      </c>
    </row>
    <row r="149" spans="1:20" x14ac:dyDescent="0.25">
      <c r="A149" s="4" t="s">
        <v>279</v>
      </c>
      <c r="B149" s="5">
        <v>46015</v>
      </c>
      <c r="C149" s="15">
        <f>WEEKNUM(Orders[[#This Row],[OrderDate]])</f>
        <v>52</v>
      </c>
      <c r="D149" s="15" t="str">
        <f>TEXT(Orders[[#This Row],[OrderDate]],"mmmm")</f>
        <v>December</v>
      </c>
      <c r="E149" s="4" t="s">
        <v>280</v>
      </c>
      <c r="F149" s="4" t="s">
        <v>31</v>
      </c>
      <c r="G149" s="4">
        <v>9</v>
      </c>
      <c r="H149" s="12">
        <v>18070.400000000001</v>
      </c>
      <c r="I149" s="13">
        <v>15359.840000000002</v>
      </c>
      <c r="J149" s="13">
        <f>Orders[[#This Row],[Quantity]]*Orders[[#This Row],[Selling Price]]</f>
        <v>162633.60000000001</v>
      </c>
      <c r="K149" s="13">
        <f>Orders[[#This Row],[Quantity]]*Orders[[#This Row],[Cost Price]]</f>
        <v>138238.56000000003</v>
      </c>
      <c r="L149" s="13">
        <f>Orders[[#This Row],[Revenue]]-Orders[[#This Row],[Expenses]]</f>
        <v>24395.039999999979</v>
      </c>
      <c r="M149" t="s">
        <v>2194</v>
      </c>
      <c r="N149" t="str">
        <f>_xlfn.XLOOKUP(Orders[[#This Row],[CustomerID]],Customers[CustomerID],Customers[CustomerName])</f>
        <v>Folasade Okonkwo</v>
      </c>
      <c r="O149" t="str">
        <f>_xlfn.XLOOKUP(Orders[[#This Row],[CustomerID]],Customers[CustomerID],Customers[City])</f>
        <v>Texas</v>
      </c>
      <c r="P149" t="str">
        <f>_xlfn.XLOOKUP(Orders[[#This Row],[CustomerID]],Customers[CustomerID],Customers[Gender])</f>
        <v>Female</v>
      </c>
      <c r="Q149">
        <f>_xlfn.XLOOKUP(Orders[[#This Row],[CustomerID]],Customers[CustomerID],Customers[CustomerAge])</f>
        <v>21</v>
      </c>
      <c r="R149" t="str">
        <f>IF(Orders[[#This Row],[CustomerAge]]&gt;=35, "Older", "Young")</f>
        <v>Young</v>
      </c>
      <c r="S149" t="str">
        <f>_xlfn.XLOOKUP(Orders[[#This Row],[ProductID]],Products[ProductID],Products[ProductName])</f>
        <v>Kids Games</v>
      </c>
      <c r="T149" t="str">
        <f>_xlfn.XLOOKUP(Orders[[#This Row],[ProductID]],Products[ProductID],Products[Category])</f>
        <v>Games</v>
      </c>
    </row>
    <row r="150" spans="1:20" x14ac:dyDescent="0.25">
      <c r="A150" s="4" t="s">
        <v>281</v>
      </c>
      <c r="B150" s="5">
        <v>45942</v>
      </c>
      <c r="C150" s="15">
        <f>WEEKNUM(Orders[[#This Row],[OrderDate]])</f>
        <v>42</v>
      </c>
      <c r="D150" s="15" t="str">
        <f>TEXT(Orders[[#This Row],[OrderDate]],"mmmm")</f>
        <v>October</v>
      </c>
      <c r="E150" s="4" t="s">
        <v>282</v>
      </c>
      <c r="F150" s="4" t="s">
        <v>76</v>
      </c>
      <c r="G150" s="4">
        <v>4</v>
      </c>
      <c r="H150" s="12">
        <v>4979.5</v>
      </c>
      <c r="I150" s="13">
        <v>4232.5749999999998</v>
      </c>
      <c r="J150" s="13">
        <f>Orders[[#This Row],[Quantity]]*Orders[[#This Row],[Selling Price]]</f>
        <v>19918</v>
      </c>
      <c r="K150" s="13">
        <f>Orders[[#This Row],[Quantity]]*Orders[[#This Row],[Cost Price]]</f>
        <v>16930.3</v>
      </c>
      <c r="L150" s="13">
        <f>Orders[[#This Row],[Revenue]]-Orders[[#This Row],[Expenses]]</f>
        <v>2987.7000000000007</v>
      </c>
      <c r="M150" t="s">
        <v>2204</v>
      </c>
      <c r="N150" t="str">
        <f>_xlfn.XLOOKUP(Orders[[#This Row],[CustomerID]],Customers[CustomerID],Customers[CustomerName])</f>
        <v>Bisi Ojo</v>
      </c>
      <c r="O150" t="str">
        <f>_xlfn.XLOOKUP(Orders[[#This Row],[CustomerID]],Customers[CustomerID],Customers[City])</f>
        <v>Texas</v>
      </c>
      <c r="P150" t="str">
        <f>_xlfn.XLOOKUP(Orders[[#This Row],[CustomerID]],Customers[CustomerID],Customers[Gender])</f>
        <v>Female</v>
      </c>
      <c r="Q150">
        <f>_xlfn.XLOOKUP(Orders[[#This Row],[CustomerID]],Customers[CustomerID],Customers[CustomerAge])</f>
        <v>26</v>
      </c>
      <c r="R150" t="str">
        <f>IF(Orders[[#This Row],[CustomerAge]]&gt;=35, "Older", "Young")</f>
        <v>Young</v>
      </c>
      <c r="S150" t="str">
        <f>_xlfn.XLOOKUP(Orders[[#This Row],[ProductID]],Products[ProductID],Products[ProductName])</f>
        <v>Blender</v>
      </c>
      <c r="T150" t="str">
        <f>_xlfn.XLOOKUP(Orders[[#This Row],[ProductID]],Products[ProductID],Products[Category])</f>
        <v>Electronics</v>
      </c>
    </row>
    <row r="151" spans="1:20" x14ac:dyDescent="0.25">
      <c r="A151" s="4" t="s">
        <v>283</v>
      </c>
      <c r="B151" s="5">
        <v>46008</v>
      </c>
      <c r="C151" s="15">
        <f>WEEKNUM(Orders[[#This Row],[OrderDate]])</f>
        <v>51</v>
      </c>
      <c r="D151" s="15" t="str">
        <f>TEXT(Orders[[#This Row],[OrderDate]],"mmmm")</f>
        <v>December</v>
      </c>
      <c r="E151" s="4" t="s">
        <v>239</v>
      </c>
      <c r="F151" s="4" t="s">
        <v>23</v>
      </c>
      <c r="G151" s="4">
        <v>6</v>
      </c>
      <c r="H151" s="12">
        <v>12767.6</v>
      </c>
      <c r="I151" s="13">
        <v>10852.460000000001</v>
      </c>
      <c r="J151" s="13">
        <f>Orders[[#This Row],[Quantity]]*Orders[[#This Row],[Selling Price]]</f>
        <v>76605.600000000006</v>
      </c>
      <c r="K151" s="13">
        <f>Orders[[#This Row],[Quantity]]*Orders[[#This Row],[Cost Price]]</f>
        <v>65114.760000000009</v>
      </c>
      <c r="L151" s="13">
        <f>Orders[[#This Row],[Revenue]]-Orders[[#This Row],[Expenses]]</f>
        <v>11490.839999999997</v>
      </c>
      <c r="M151" t="s">
        <v>2192</v>
      </c>
      <c r="N151" t="str">
        <f>_xlfn.XLOOKUP(Orders[[#This Row],[CustomerID]],Customers[CustomerID],Customers[CustomerName])</f>
        <v>Emeka Danladi</v>
      </c>
      <c r="O151" t="str">
        <f>_xlfn.XLOOKUP(Orders[[#This Row],[CustomerID]],Customers[CustomerID],Customers[City])</f>
        <v>Florida</v>
      </c>
      <c r="P151" t="str">
        <f>_xlfn.XLOOKUP(Orders[[#This Row],[CustomerID]],Customers[CustomerID],Customers[Gender])</f>
        <v>Male</v>
      </c>
      <c r="Q151">
        <f>_xlfn.XLOOKUP(Orders[[#This Row],[CustomerID]],Customers[CustomerID],Customers[CustomerAge])</f>
        <v>23</v>
      </c>
      <c r="R151" t="str">
        <f>IF(Orders[[#This Row],[CustomerAge]]&gt;=35, "Older", "Young")</f>
        <v>Young</v>
      </c>
      <c r="S151" t="str">
        <f>_xlfn.XLOOKUP(Orders[[#This Row],[ProductID]],Products[ProductID],Products[ProductName])</f>
        <v>Gym Gloves</v>
      </c>
      <c r="T151" t="str">
        <f>_xlfn.XLOOKUP(Orders[[#This Row],[ProductID]],Products[ProductID],Products[Category])</f>
        <v>Gym</v>
      </c>
    </row>
    <row r="152" spans="1:20" x14ac:dyDescent="0.25">
      <c r="A152" s="4" t="s">
        <v>284</v>
      </c>
      <c r="B152" s="5">
        <v>45976</v>
      </c>
      <c r="C152" s="15">
        <f>WEEKNUM(Orders[[#This Row],[OrderDate]])</f>
        <v>46</v>
      </c>
      <c r="D152" s="15" t="str">
        <f>TEXT(Orders[[#This Row],[OrderDate]],"mmmm")</f>
        <v>November</v>
      </c>
      <c r="E152" s="4" t="s">
        <v>285</v>
      </c>
      <c r="F152" s="4" t="s">
        <v>70</v>
      </c>
      <c r="G152" s="4">
        <v>9</v>
      </c>
      <c r="H152" s="12">
        <v>15305.4</v>
      </c>
      <c r="I152" s="13">
        <v>13009.59</v>
      </c>
      <c r="J152" s="13">
        <f>Orders[[#This Row],[Quantity]]*Orders[[#This Row],[Selling Price]]</f>
        <v>137748.6</v>
      </c>
      <c r="K152" s="13">
        <f>Orders[[#This Row],[Quantity]]*Orders[[#This Row],[Cost Price]]</f>
        <v>117086.31</v>
      </c>
      <c r="L152" s="13">
        <f>Orders[[#This Row],[Revenue]]-Orders[[#This Row],[Expenses]]</f>
        <v>20662.290000000008</v>
      </c>
      <c r="M152" t="s">
        <v>2218</v>
      </c>
      <c r="N152" t="str">
        <f>_xlfn.XLOOKUP(Orders[[#This Row],[CustomerID]],Customers[CustomerID],Customers[CustomerName])</f>
        <v>Sani Balogun</v>
      </c>
      <c r="O152" t="str">
        <f>_xlfn.XLOOKUP(Orders[[#This Row],[CustomerID]],Customers[CustomerID],Customers[City])</f>
        <v>California</v>
      </c>
      <c r="P152" t="str">
        <f>_xlfn.XLOOKUP(Orders[[#This Row],[CustomerID]],Customers[CustomerID],Customers[Gender])</f>
        <v>Male</v>
      </c>
      <c r="Q152">
        <f>_xlfn.XLOOKUP(Orders[[#This Row],[CustomerID]],Customers[CustomerID],Customers[CustomerAge])</f>
        <v>27</v>
      </c>
      <c r="R152" t="str">
        <f>IF(Orders[[#This Row],[CustomerAge]]&gt;=35, "Older", "Young")</f>
        <v>Young</v>
      </c>
      <c r="S152" t="str">
        <f>_xlfn.XLOOKUP(Orders[[#This Row],[ProductID]],Products[ProductID],Products[ProductName])</f>
        <v>Yoga Mat</v>
      </c>
      <c r="T152" t="str">
        <f>_xlfn.XLOOKUP(Orders[[#This Row],[ProductID]],Products[ProductID],Products[Category])</f>
        <v>Gym</v>
      </c>
    </row>
    <row r="153" spans="1:20" x14ac:dyDescent="0.25">
      <c r="A153" s="4" t="s">
        <v>286</v>
      </c>
      <c r="B153" s="5">
        <v>46000</v>
      </c>
      <c r="C153" s="15">
        <f>WEEKNUM(Orders[[#This Row],[OrderDate]])</f>
        <v>50</v>
      </c>
      <c r="D153" s="15" t="str">
        <f>TEXT(Orders[[#This Row],[OrderDate]],"mmmm")</f>
        <v>December</v>
      </c>
      <c r="E153" s="4" t="s">
        <v>287</v>
      </c>
      <c r="F153" s="4" t="s">
        <v>76</v>
      </c>
      <c r="G153" s="4">
        <v>1</v>
      </c>
      <c r="H153" s="12">
        <v>1249</v>
      </c>
      <c r="I153" s="13">
        <v>1061.6500000000001</v>
      </c>
      <c r="J153" s="13">
        <f>Orders[[#This Row],[Quantity]]*Orders[[#This Row],[Selling Price]]</f>
        <v>1249</v>
      </c>
      <c r="K153" s="13">
        <f>Orders[[#This Row],[Quantity]]*Orders[[#This Row],[Cost Price]]</f>
        <v>1061.6500000000001</v>
      </c>
      <c r="L153" s="13">
        <f>Orders[[#This Row],[Revenue]]-Orders[[#This Row],[Expenses]]</f>
        <v>187.34999999999991</v>
      </c>
      <c r="M153" t="s">
        <v>2208</v>
      </c>
      <c r="N153" t="str">
        <f>_xlfn.XLOOKUP(Orders[[#This Row],[CustomerID]],Customers[CustomerID],Customers[CustomerName])</f>
        <v>Okon Obi</v>
      </c>
      <c r="O153" t="str">
        <f>_xlfn.XLOOKUP(Orders[[#This Row],[CustomerID]],Customers[CustomerID],Customers[City])</f>
        <v>Texas</v>
      </c>
      <c r="P153" t="str">
        <f>_xlfn.XLOOKUP(Orders[[#This Row],[CustomerID]],Customers[CustomerID],Customers[Gender])</f>
        <v>Male</v>
      </c>
      <c r="Q153">
        <f>_xlfn.XLOOKUP(Orders[[#This Row],[CustomerID]],Customers[CustomerID],Customers[CustomerAge])</f>
        <v>55</v>
      </c>
      <c r="R153" t="str">
        <f>IF(Orders[[#This Row],[CustomerAge]]&gt;=35, "Older", "Young")</f>
        <v>Older</v>
      </c>
      <c r="S153" t="str">
        <f>_xlfn.XLOOKUP(Orders[[#This Row],[ProductID]],Products[ProductID],Products[ProductName])</f>
        <v>Blender</v>
      </c>
      <c r="T153" t="str">
        <f>_xlfn.XLOOKUP(Orders[[#This Row],[ProductID]],Products[ProductID],Products[Category])</f>
        <v>Electronics</v>
      </c>
    </row>
    <row r="154" spans="1:20" x14ac:dyDescent="0.25">
      <c r="A154" s="4" t="s">
        <v>288</v>
      </c>
      <c r="B154" s="5">
        <v>45941</v>
      </c>
      <c r="C154" s="15">
        <f>WEEKNUM(Orders[[#This Row],[OrderDate]])</f>
        <v>41</v>
      </c>
      <c r="D154" s="15" t="str">
        <f>TEXT(Orders[[#This Row],[OrderDate]],"mmmm")</f>
        <v>October</v>
      </c>
      <c r="E154" s="4" t="s">
        <v>41</v>
      </c>
      <c r="F154" s="4" t="s">
        <v>60</v>
      </c>
      <c r="G154" s="4">
        <v>5</v>
      </c>
      <c r="H154" s="12">
        <v>15483</v>
      </c>
      <c r="I154" s="13">
        <v>13160.55</v>
      </c>
      <c r="J154" s="13">
        <f>Orders[[#This Row],[Quantity]]*Orders[[#This Row],[Selling Price]]</f>
        <v>77415</v>
      </c>
      <c r="K154" s="13">
        <f>Orders[[#This Row],[Quantity]]*Orders[[#This Row],[Cost Price]]</f>
        <v>65802.75</v>
      </c>
      <c r="L154" s="13">
        <f>Orders[[#This Row],[Revenue]]-Orders[[#This Row],[Expenses]]</f>
        <v>11612.25</v>
      </c>
      <c r="M154" t="s">
        <v>2206</v>
      </c>
      <c r="N154" t="str">
        <f>_xlfn.XLOOKUP(Orders[[#This Row],[CustomerID]],Customers[CustomerID],Customers[CustomerName])</f>
        <v>Mustafa Balogun</v>
      </c>
      <c r="O154" t="str">
        <f>_xlfn.XLOOKUP(Orders[[#This Row],[CustomerID]],Customers[CustomerID],Customers[City])</f>
        <v>Texas</v>
      </c>
      <c r="P154" t="str">
        <f>_xlfn.XLOOKUP(Orders[[#This Row],[CustomerID]],Customers[CustomerID],Customers[Gender])</f>
        <v>Male</v>
      </c>
      <c r="Q154">
        <f>_xlfn.XLOOKUP(Orders[[#This Row],[CustomerID]],Customers[CustomerID],Customers[CustomerAge])</f>
        <v>40</v>
      </c>
      <c r="R154" t="str">
        <f>IF(Orders[[#This Row],[CustomerAge]]&gt;=35, "Older", "Young")</f>
        <v>Older</v>
      </c>
      <c r="S154" t="str">
        <f>_xlfn.XLOOKUP(Orders[[#This Row],[ProductID]],Products[ProductID],Products[ProductName])</f>
        <v>Silver Rings</v>
      </c>
      <c r="T154" t="str">
        <f>_xlfn.XLOOKUP(Orders[[#This Row],[ProductID]],Products[ProductID],Products[Category])</f>
        <v>Accessories</v>
      </c>
    </row>
    <row r="155" spans="1:20" x14ac:dyDescent="0.25">
      <c r="A155" s="4" t="s">
        <v>289</v>
      </c>
      <c r="B155" s="5">
        <v>45968</v>
      </c>
      <c r="C155" s="15">
        <f>WEEKNUM(Orders[[#This Row],[OrderDate]])</f>
        <v>45</v>
      </c>
      <c r="D155" s="15" t="str">
        <f>TEXT(Orders[[#This Row],[OrderDate]],"mmmm")</f>
        <v>November</v>
      </c>
      <c r="E155" s="4" t="s">
        <v>113</v>
      </c>
      <c r="F155" s="4" t="s">
        <v>92</v>
      </c>
      <c r="G155" s="4">
        <v>9</v>
      </c>
      <c r="H155" s="12">
        <v>13406.7</v>
      </c>
      <c r="I155" s="13">
        <v>11395.695</v>
      </c>
      <c r="J155" s="13">
        <f>Orders[[#This Row],[Quantity]]*Orders[[#This Row],[Selling Price]]</f>
        <v>120660.3</v>
      </c>
      <c r="K155" s="13">
        <f>Orders[[#This Row],[Quantity]]*Orders[[#This Row],[Cost Price]]</f>
        <v>102561.255</v>
      </c>
      <c r="L155" s="13">
        <f>Orders[[#This Row],[Revenue]]-Orders[[#This Row],[Expenses]]</f>
        <v>18099.044999999998</v>
      </c>
      <c r="M155" t="s">
        <v>2202</v>
      </c>
      <c r="N155" t="str">
        <f>_xlfn.XLOOKUP(Orders[[#This Row],[CustomerID]],Customers[CustomerID],Customers[CustomerName])</f>
        <v>Uche Igwe</v>
      </c>
      <c r="O155" t="str">
        <f>_xlfn.XLOOKUP(Orders[[#This Row],[CustomerID]],Customers[CustomerID],Customers[City])</f>
        <v>Texas</v>
      </c>
      <c r="P155" t="str">
        <f>_xlfn.XLOOKUP(Orders[[#This Row],[CustomerID]],Customers[CustomerID],Customers[Gender])</f>
        <v>Male</v>
      </c>
      <c r="Q155">
        <f>_xlfn.XLOOKUP(Orders[[#This Row],[CustomerID]],Customers[CustomerID],Customers[CustomerAge])</f>
        <v>35</v>
      </c>
      <c r="R155" t="str">
        <f>IF(Orders[[#This Row],[CustomerAge]]&gt;=35, "Older", "Young")</f>
        <v>Older</v>
      </c>
      <c r="S155" t="str">
        <f>_xlfn.XLOOKUP(Orders[[#This Row],[ProductID]],Products[ProductID],Products[ProductName])</f>
        <v>Chest Expander</v>
      </c>
      <c r="T155" t="str">
        <f>_xlfn.XLOOKUP(Orders[[#This Row],[ProductID]],Products[ProductID],Products[Category])</f>
        <v>Gym</v>
      </c>
    </row>
    <row r="156" spans="1:20" x14ac:dyDescent="0.25">
      <c r="A156" s="4" t="s">
        <v>290</v>
      </c>
      <c r="B156" s="5">
        <v>45976</v>
      </c>
      <c r="C156" s="15">
        <f>WEEKNUM(Orders[[#This Row],[OrderDate]])</f>
        <v>46</v>
      </c>
      <c r="D156" s="15" t="str">
        <f>TEXT(Orders[[#This Row],[OrderDate]],"mmmm")</f>
        <v>November</v>
      </c>
      <c r="E156" s="4" t="s">
        <v>291</v>
      </c>
      <c r="F156" s="4" t="s">
        <v>57</v>
      </c>
      <c r="G156" s="4">
        <v>8</v>
      </c>
      <c r="H156" s="12">
        <v>14047</v>
      </c>
      <c r="I156" s="13">
        <v>11939.95</v>
      </c>
      <c r="J156" s="13">
        <f>Orders[[#This Row],[Quantity]]*Orders[[#This Row],[Selling Price]]</f>
        <v>112376</v>
      </c>
      <c r="K156" s="13">
        <f>Orders[[#This Row],[Quantity]]*Orders[[#This Row],[Cost Price]]</f>
        <v>95519.6</v>
      </c>
      <c r="L156" s="13">
        <f>Orders[[#This Row],[Revenue]]-Orders[[#This Row],[Expenses]]</f>
        <v>16856.399999999994</v>
      </c>
      <c r="M156" t="s">
        <v>2211</v>
      </c>
      <c r="N156" t="str">
        <f>_xlfn.XLOOKUP(Orders[[#This Row],[CustomerID]],Customers[CustomerID],Customers[CustomerName])</f>
        <v>Okon Igwe</v>
      </c>
      <c r="O156" t="str">
        <f>_xlfn.XLOOKUP(Orders[[#This Row],[CustomerID]],Customers[CustomerID],Customers[City])</f>
        <v>Texas</v>
      </c>
      <c r="P156" t="str">
        <f>_xlfn.XLOOKUP(Orders[[#This Row],[CustomerID]],Customers[CustomerID],Customers[Gender])</f>
        <v>Male</v>
      </c>
      <c r="Q156">
        <f>_xlfn.XLOOKUP(Orders[[#This Row],[CustomerID]],Customers[CustomerID],Customers[CustomerAge])</f>
        <v>33</v>
      </c>
      <c r="R156" t="str">
        <f>IF(Orders[[#This Row],[CustomerAge]]&gt;=35, "Older", "Young")</f>
        <v>Young</v>
      </c>
      <c r="S156" t="str">
        <f>_xlfn.XLOOKUP(Orders[[#This Row],[ProductID]],Products[ProductID],Products[ProductName])</f>
        <v>Badminton Racket</v>
      </c>
      <c r="T156" t="str">
        <f>_xlfn.XLOOKUP(Orders[[#This Row],[ProductID]],Products[ProductID],Products[Category])</f>
        <v>Sports</v>
      </c>
    </row>
    <row r="157" spans="1:20" x14ac:dyDescent="0.25">
      <c r="A157" s="4" t="s">
        <v>292</v>
      </c>
      <c r="B157" s="5">
        <v>45945</v>
      </c>
      <c r="C157" s="15">
        <f>WEEKNUM(Orders[[#This Row],[OrderDate]])</f>
        <v>42</v>
      </c>
      <c r="D157" s="15" t="str">
        <f>TEXT(Orders[[#This Row],[OrderDate]],"mmmm")</f>
        <v>October</v>
      </c>
      <c r="E157" s="4" t="s">
        <v>293</v>
      </c>
      <c r="F157" s="4" t="s">
        <v>76</v>
      </c>
      <c r="G157" s="4">
        <v>10</v>
      </c>
      <c r="H157" s="12">
        <v>9542.2999999999993</v>
      </c>
      <c r="I157" s="13">
        <v>8110.9549999999999</v>
      </c>
      <c r="J157" s="13">
        <f>Orders[[#This Row],[Quantity]]*Orders[[#This Row],[Selling Price]]</f>
        <v>95423</v>
      </c>
      <c r="K157" s="13">
        <f>Orders[[#This Row],[Quantity]]*Orders[[#This Row],[Cost Price]]</f>
        <v>81109.55</v>
      </c>
      <c r="L157" s="13">
        <f>Orders[[#This Row],[Revenue]]-Orders[[#This Row],[Expenses]]</f>
        <v>14313.449999999997</v>
      </c>
      <c r="M157" t="s">
        <v>2194</v>
      </c>
      <c r="N157" t="str">
        <f>_xlfn.XLOOKUP(Orders[[#This Row],[CustomerID]],Customers[CustomerID],Customers[CustomerName])</f>
        <v>Tunde Eze</v>
      </c>
      <c r="O157" t="str">
        <f>_xlfn.XLOOKUP(Orders[[#This Row],[CustomerID]],Customers[CustomerID],Customers[City])</f>
        <v>Florida</v>
      </c>
      <c r="P157" t="str">
        <f>_xlfn.XLOOKUP(Orders[[#This Row],[CustomerID]],Customers[CustomerID],Customers[Gender])</f>
        <v>Male</v>
      </c>
      <c r="Q157">
        <f>_xlfn.XLOOKUP(Orders[[#This Row],[CustomerID]],Customers[CustomerID],Customers[CustomerAge])</f>
        <v>46</v>
      </c>
      <c r="R157" t="str">
        <f>IF(Orders[[#This Row],[CustomerAge]]&gt;=35, "Older", "Young")</f>
        <v>Older</v>
      </c>
      <c r="S157" t="str">
        <f>_xlfn.XLOOKUP(Orders[[#This Row],[ProductID]],Products[ProductID],Products[ProductName])</f>
        <v>Blender</v>
      </c>
      <c r="T157" t="str">
        <f>_xlfn.XLOOKUP(Orders[[#This Row],[ProductID]],Products[ProductID],Products[Category])</f>
        <v>Electronics</v>
      </c>
    </row>
    <row r="158" spans="1:20" x14ac:dyDescent="0.25">
      <c r="A158" s="4" t="s">
        <v>294</v>
      </c>
      <c r="B158" s="5">
        <v>45952</v>
      </c>
      <c r="C158" s="15">
        <f>WEEKNUM(Orders[[#This Row],[OrderDate]])</f>
        <v>43</v>
      </c>
      <c r="D158" s="15" t="str">
        <f>TEXT(Orders[[#This Row],[OrderDate]],"mmmm")</f>
        <v>October</v>
      </c>
      <c r="E158" s="4" t="s">
        <v>295</v>
      </c>
      <c r="F158" s="4" t="s">
        <v>92</v>
      </c>
      <c r="G158" s="4">
        <v>6</v>
      </c>
      <c r="H158" s="12">
        <v>12706.6</v>
      </c>
      <c r="I158" s="13">
        <v>10800.61</v>
      </c>
      <c r="J158" s="13">
        <f>Orders[[#This Row],[Quantity]]*Orders[[#This Row],[Selling Price]]</f>
        <v>76239.600000000006</v>
      </c>
      <c r="K158" s="13">
        <f>Orders[[#This Row],[Quantity]]*Orders[[#This Row],[Cost Price]]</f>
        <v>64803.66</v>
      </c>
      <c r="L158" s="13">
        <f>Orders[[#This Row],[Revenue]]-Orders[[#This Row],[Expenses]]</f>
        <v>11435.940000000002</v>
      </c>
      <c r="M158" t="s">
        <v>2202</v>
      </c>
      <c r="N158" t="str">
        <f>_xlfn.XLOOKUP(Orders[[#This Row],[CustomerID]],Customers[CustomerID],Customers[CustomerName])</f>
        <v>Sani Obi</v>
      </c>
      <c r="O158" t="str">
        <f>_xlfn.XLOOKUP(Orders[[#This Row],[CustomerID]],Customers[CustomerID],Customers[City])</f>
        <v>Texas</v>
      </c>
      <c r="P158" t="str">
        <f>_xlfn.XLOOKUP(Orders[[#This Row],[CustomerID]],Customers[CustomerID],Customers[Gender])</f>
        <v>Male</v>
      </c>
      <c r="Q158">
        <f>_xlfn.XLOOKUP(Orders[[#This Row],[CustomerID]],Customers[CustomerID],Customers[CustomerAge])</f>
        <v>31</v>
      </c>
      <c r="R158" t="str">
        <f>IF(Orders[[#This Row],[CustomerAge]]&gt;=35, "Older", "Young")</f>
        <v>Young</v>
      </c>
      <c r="S158" t="str">
        <f>_xlfn.XLOOKUP(Orders[[#This Row],[ProductID]],Products[ProductID],Products[ProductName])</f>
        <v>Chest Expander</v>
      </c>
      <c r="T158" t="str">
        <f>_xlfn.XLOOKUP(Orders[[#This Row],[ProductID]],Products[ProductID],Products[Category])</f>
        <v>Gym</v>
      </c>
    </row>
    <row r="159" spans="1:20" x14ac:dyDescent="0.25">
      <c r="A159" s="4" t="s">
        <v>296</v>
      </c>
      <c r="B159" s="5">
        <v>46003</v>
      </c>
      <c r="C159" s="15">
        <f>WEEKNUM(Orders[[#This Row],[OrderDate]])</f>
        <v>50</v>
      </c>
      <c r="D159" s="15" t="str">
        <f>TEXT(Orders[[#This Row],[OrderDate]],"mmmm")</f>
        <v>December</v>
      </c>
      <c r="E159" s="4" t="s">
        <v>282</v>
      </c>
      <c r="F159" s="4" t="s">
        <v>208</v>
      </c>
      <c r="G159" s="4">
        <v>3</v>
      </c>
      <c r="H159" s="12">
        <v>17094.7</v>
      </c>
      <c r="I159" s="13">
        <v>14530.495000000001</v>
      </c>
      <c r="J159" s="13">
        <f>Orders[[#This Row],[Quantity]]*Orders[[#This Row],[Selling Price]]</f>
        <v>51284.100000000006</v>
      </c>
      <c r="K159" s="13">
        <f>Orders[[#This Row],[Quantity]]*Orders[[#This Row],[Cost Price]]</f>
        <v>43591.485000000001</v>
      </c>
      <c r="L159" s="13">
        <f>Orders[[#This Row],[Revenue]]-Orders[[#This Row],[Expenses]]</f>
        <v>7692.6150000000052</v>
      </c>
      <c r="M159" t="s">
        <v>2200</v>
      </c>
      <c r="N159" t="str">
        <f>_xlfn.XLOOKUP(Orders[[#This Row],[CustomerID]],Customers[CustomerID],Customers[CustomerName])</f>
        <v>Bisi Ojo</v>
      </c>
      <c r="O159" t="str">
        <f>_xlfn.XLOOKUP(Orders[[#This Row],[CustomerID]],Customers[CustomerID],Customers[City])</f>
        <v>Texas</v>
      </c>
      <c r="P159" t="str">
        <f>_xlfn.XLOOKUP(Orders[[#This Row],[CustomerID]],Customers[CustomerID],Customers[Gender])</f>
        <v>Female</v>
      </c>
      <c r="Q159">
        <f>_xlfn.XLOOKUP(Orders[[#This Row],[CustomerID]],Customers[CustomerID],Customers[CustomerAge])</f>
        <v>26</v>
      </c>
      <c r="R159" t="str">
        <f>IF(Orders[[#This Row],[CustomerAge]]&gt;=35, "Older", "Young")</f>
        <v>Young</v>
      </c>
      <c r="S159" t="str">
        <f>_xlfn.XLOOKUP(Orders[[#This Row],[ProductID]],Products[ProductID],Products[ProductName])</f>
        <v>Skipping Rope</v>
      </c>
      <c r="T159" t="str">
        <f>_xlfn.XLOOKUP(Orders[[#This Row],[ProductID]],Products[ProductID],Products[Category])</f>
        <v>Sports</v>
      </c>
    </row>
    <row r="160" spans="1:20" x14ac:dyDescent="0.25">
      <c r="A160" s="4" t="s">
        <v>297</v>
      </c>
      <c r="B160" s="5">
        <v>45968</v>
      </c>
      <c r="C160" s="15">
        <f>WEEKNUM(Orders[[#This Row],[OrderDate]])</f>
        <v>45</v>
      </c>
      <c r="D160" s="15" t="str">
        <f>TEXT(Orders[[#This Row],[OrderDate]],"mmmm")</f>
        <v>November</v>
      </c>
      <c r="E160" s="4" t="s">
        <v>298</v>
      </c>
      <c r="F160" s="4" t="s">
        <v>12</v>
      </c>
      <c r="G160" s="4">
        <v>6</v>
      </c>
      <c r="H160" s="12">
        <v>14928.5</v>
      </c>
      <c r="I160" s="13">
        <v>12689.225</v>
      </c>
      <c r="J160" s="13">
        <f>Orders[[#This Row],[Quantity]]*Orders[[#This Row],[Selling Price]]</f>
        <v>89571</v>
      </c>
      <c r="K160" s="13">
        <f>Orders[[#This Row],[Quantity]]*Orders[[#This Row],[Cost Price]]</f>
        <v>76135.350000000006</v>
      </c>
      <c r="L160" s="13">
        <f>Orders[[#This Row],[Revenue]]-Orders[[#This Row],[Expenses]]</f>
        <v>13435.649999999994</v>
      </c>
      <c r="M160" t="s">
        <v>2220</v>
      </c>
      <c r="N160" t="str">
        <f>_xlfn.XLOOKUP(Orders[[#This Row],[CustomerID]],Customers[CustomerID],Customers[CustomerName])</f>
        <v>Amina Obi</v>
      </c>
      <c r="O160" t="str">
        <f>_xlfn.XLOOKUP(Orders[[#This Row],[CustomerID]],Customers[CustomerID],Customers[City])</f>
        <v>Florida</v>
      </c>
      <c r="P160" t="str">
        <f>_xlfn.XLOOKUP(Orders[[#This Row],[CustomerID]],Customers[CustomerID],Customers[Gender])</f>
        <v>Female</v>
      </c>
      <c r="Q160">
        <f>_xlfn.XLOOKUP(Orders[[#This Row],[CustomerID]],Customers[CustomerID],Customers[CustomerAge])</f>
        <v>19</v>
      </c>
      <c r="R160" t="str">
        <f>IF(Orders[[#This Row],[CustomerAge]]&gt;=35, "Older", "Young")</f>
        <v>Young</v>
      </c>
      <c r="S160" t="str">
        <f>_xlfn.XLOOKUP(Orders[[#This Row],[ProductID]],Products[ProductID],Products[ProductName])</f>
        <v>Boubou</v>
      </c>
      <c r="T160" t="str">
        <f>_xlfn.XLOOKUP(Orders[[#This Row],[ProductID]],Products[ProductID],Products[Category])</f>
        <v>Clothing</v>
      </c>
    </row>
    <row r="161" spans="1:20" x14ac:dyDescent="0.25">
      <c r="A161" s="4" t="s">
        <v>299</v>
      </c>
      <c r="B161" s="5">
        <v>46014</v>
      </c>
      <c r="C161" s="15">
        <f>WEEKNUM(Orders[[#This Row],[OrderDate]])</f>
        <v>52</v>
      </c>
      <c r="D161" s="15" t="str">
        <f>TEXT(Orders[[#This Row],[OrderDate]],"mmmm")</f>
        <v>December</v>
      </c>
      <c r="E161" s="4" t="s">
        <v>105</v>
      </c>
      <c r="F161" s="4" t="s">
        <v>53</v>
      </c>
      <c r="G161" s="4">
        <v>4</v>
      </c>
      <c r="H161" s="12">
        <v>17026.199999999997</v>
      </c>
      <c r="I161" s="13">
        <v>14472.269999999997</v>
      </c>
      <c r="J161" s="13">
        <f>Orders[[#This Row],[Quantity]]*Orders[[#This Row],[Selling Price]]</f>
        <v>68104.799999999988</v>
      </c>
      <c r="K161" s="13">
        <f>Orders[[#This Row],[Quantity]]*Orders[[#This Row],[Cost Price]]</f>
        <v>57889.079999999987</v>
      </c>
      <c r="L161" s="13">
        <f>Orders[[#This Row],[Revenue]]-Orders[[#This Row],[Expenses]]</f>
        <v>10215.720000000001</v>
      </c>
      <c r="M161" t="s">
        <v>2214</v>
      </c>
      <c r="N161" t="str">
        <f>_xlfn.XLOOKUP(Orders[[#This Row],[CustomerID]],Customers[CustomerID],Customers[CustomerName])</f>
        <v>Folasade Adeyemi</v>
      </c>
      <c r="O161" t="str">
        <f>_xlfn.XLOOKUP(Orders[[#This Row],[CustomerID]],Customers[CustomerID],Customers[City])</f>
        <v>Georgia</v>
      </c>
      <c r="P161" t="str">
        <f>_xlfn.XLOOKUP(Orders[[#This Row],[CustomerID]],Customers[CustomerID],Customers[Gender])</f>
        <v>Female</v>
      </c>
      <c r="Q161">
        <f>_xlfn.XLOOKUP(Orders[[#This Row],[CustomerID]],Customers[CustomerID],Customers[CustomerAge])</f>
        <v>42</v>
      </c>
      <c r="R161" t="str">
        <f>IF(Orders[[#This Row],[CustomerAge]]&gt;=35, "Older", "Young")</f>
        <v>Older</v>
      </c>
      <c r="S161" t="str">
        <f>_xlfn.XLOOKUP(Orders[[#This Row],[ProductID]],Products[ProductID],Products[ProductName])</f>
        <v>Silver Bangles</v>
      </c>
      <c r="T161" t="str">
        <f>_xlfn.XLOOKUP(Orders[[#This Row],[ProductID]],Products[ProductID],Products[Category])</f>
        <v>Accessories</v>
      </c>
    </row>
    <row r="162" spans="1:20" x14ac:dyDescent="0.25">
      <c r="A162" s="4" t="s">
        <v>300</v>
      </c>
      <c r="B162" s="5">
        <v>46017</v>
      </c>
      <c r="C162" s="15">
        <f>WEEKNUM(Orders[[#This Row],[OrderDate]])</f>
        <v>52</v>
      </c>
      <c r="D162" s="15" t="str">
        <f>TEXT(Orders[[#This Row],[OrderDate]],"mmmm")</f>
        <v>December</v>
      </c>
      <c r="E162" s="4" t="s">
        <v>223</v>
      </c>
      <c r="F162" s="4" t="s">
        <v>253</v>
      </c>
      <c r="G162" s="4">
        <v>4</v>
      </c>
      <c r="H162" s="12">
        <v>4102.9000000000005</v>
      </c>
      <c r="I162" s="13">
        <v>3487.4650000000006</v>
      </c>
      <c r="J162" s="13">
        <f>Orders[[#This Row],[Quantity]]*Orders[[#This Row],[Selling Price]]</f>
        <v>16411.600000000002</v>
      </c>
      <c r="K162" s="13">
        <f>Orders[[#This Row],[Quantity]]*Orders[[#This Row],[Cost Price]]</f>
        <v>13949.860000000002</v>
      </c>
      <c r="L162" s="13">
        <f>Orders[[#This Row],[Revenue]]-Orders[[#This Row],[Expenses]]</f>
        <v>2461.7399999999998</v>
      </c>
      <c r="M162" t="s">
        <v>2215</v>
      </c>
      <c r="N162" t="str">
        <f>_xlfn.XLOOKUP(Orders[[#This Row],[CustomerID]],Customers[CustomerID],Customers[CustomerName])</f>
        <v>Blessing Danladi</v>
      </c>
      <c r="O162" t="str">
        <f>_xlfn.XLOOKUP(Orders[[#This Row],[CustomerID]],Customers[CustomerID],Customers[City])</f>
        <v>Washington</v>
      </c>
      <c r="P162" t="str">
        <f>_xlfn.XLOOKUP(Orders[[#This Row],[CustomerID]],Customers[CustomerID],Customers[Gender])</f>
        <v>Female</v>
      </c>
      <c r="Q162">
        <f>_xlfn.XLOOKUP(Orders[[#This Row],[CustomerID]],Customers[CustomerID],Customers[CustomerAge])</f>
        <v>20</v>
      </c>
      <c r="R162" t="str">
        <f>IF(Orders[[#This Row],[CustomerAge]]&gt;=35, "Older", "Young")</f>
        <v>Young</v>
      </c>
      <c r="S162" t="str">
        <f>_xlfn.XLOOKUP(Orders[[#This Row],[ProductID]],Products[ProductID],Products[ProductName])</f>
        <v>Nose Rings</v>
      </c>
      <c r="T162" t="str">
        <f>_xlfn.XLOOKUP(Orders[[#This Row],[ProductID]],Products[ProductID],Products[Category])</f>
        <v>Accessories</v>
      </c>
    </row>
    <row r="163" spans="1:20" x14ac:dyDescent="0.25">
      <c r="A163" s="4" t="s">
        <v>301</v>
      </c>
      <c r="B163" s="5">
        <v>45992</v>
      </c>
      <c r="C163" s="15">
        <f>WEEKNUM(Orders[[#This Row],[OrderDate]])</f>
        <v>49</v>
      </c>
      <c r="D163" s="15" t="str">
        <f>TEXT(Orders[[#This Row],[OrderDate]],"mmmm")</f>
        <v>December</v>
      </c>
      <c r="E163" s="4" t="s">
        <v>302</v>
      </c>
      <c r="F163" s="4" t="s">
        <v>66</v>
      </c>
      <c r="G163" s="4">
        <v>5</v>
      </c>
      <c r="H163" s="12">
        <v>1207</v>
      </c>
      <c r="I163" s="13">
        <v>1025.95</v>
      </c>
      <c r="J163" s="13">
        <f>Orders[[#This Row],[Quantity]]*Orders[[#This Row],[Selling Price]]</f>
        <v>6035</v>
      </c>
      <c r="K163" s="13">
        <f>Orders[[#This Row],[Quantity]]*Orders[[#This Row],[Cost Price]]</f>
        <v>5129.75</v>
      </c>
      <c r="L163" s="13">
        <f>Orders[[#This Row],[Revenue]]-Orders[[#This Row],[Expenses]]</f>
        <v>905.25</v>
      </c>
      <c r="M163" t="s">
        <v>2214</v>
      </c>
      <c r="N163" t="str">
        <f>_xlfn.XLOOKUP(Orders[[#This Row],[CustomerID]],Customers[CustomerID],Customers[CustomerName])</f>
        <v>Sani Bello</v>
      </c>
      <c r="O163" t="str">
        <f>_xlfn.XLOOKUP(Orders[[#This Row],[CustomerID]],Customers[CustomerID],Customers[City])</f>
        <v>Washington</v>
      </c>
      <c r="P163" t="str">
        <f>_xlfn.XLOOKUP(Orders[[#This Row],[CustomerID]],Customers[CustomerID],Customers[Gender])</f>
        <v>Male</v>
      </c>
      <c r="Q163">
        <f>_xlfn.XLOOKUP(Orders[[#This Row],[CustomerID]],Customers[CustomerID],Customers[CustomerAge])</f>
        <v>23</v>
      </c>
      <c r="R163" t="str">
        <f>IF(Orders[[#This Row],[CustomerAge]]&gt;=35, "Older", "Young")</f>
        <v>Young</v>
      </c>
      <c r="S163" t="str">
        <f>_xlfn.XLOOKUP(Orders[[#This Row],[ProductID]],Products[ProductID],Products[ProductName])</f>
        <v>Microwave</v>
      </c>
      <c r="T163" t="str">
        <f>_xlfn.XLOOKUP(Orders[[#This Row],[ProductID]],Products[ProductID],Products[Category])</f>
        <v>Electronics</v>
      </c>
    </row>
    <row r="164" spans="1:20" x14ac:dyDescent="0.25">
      <c r="A164" s="4" t="s">
        <v>303</v>
      </c>
      <c r="B164" s="5">
        <v>46020</v>
      </c>
      <c r="C164" s="15">
        <f>WEEKNUM(Orders[[#This Row],[OrderDate]])</f>
        <v>53</v>
      </c>
      <c r="D164" s="15" t="str">
        <f>TEXT(Orders[[#This Row],[OrderDate]],"mmmm")</f>
        <v>December</v>
      </c>
      <c r="E164" s="4" t="s">
        <v>244</v>
      </c>
      <c r="F164" s="4" t="s">
        <v>57</v>
      </c>
      <c r="G164" s="4">
        <v>6</v>
      </c>
      <c r="H164" s="12">
        <v>6985.8</v>
      </c>
      <c r="I164" s="13">
        <v>5937.93</v>
      </c>
      <c r="J164" s="13">
        <f>Orders[[#This Row],[Quantity]]*Orders[[#This Row],[Selling Price]]</f>
        <v>41914.800000000003</v>
      </c>
      <c r="K164" s="13">
        <f>Orders[[#This Row],[Quantity]]*Orders[[#This Row],[Cost Price]]</f>
        <v>35627.58</v>
      </c>
      <c r="L164" s="13">
        <f>Orders[[#This Row],[Revenue]]-Orders[[#This Row],[Expenses]]</f>
        <v>6287.2200000000012</v>
      </c>
      <c r="M164" t="s">
        <v>2211</v>
      </c>
      <c r="N164" t="str">
        <f>_xlfn.XLOOKUP(Orders[[#This Row],[CustomerID]],Customers[CustomerID],Customers[CustomerName])</f>
        <v>Zainab Abubakar</v>
      </c>
      <c r="O164" t="str">
        <f>_xlfn.XLOOKUP(Orders[[#This Row],[CustomerID]],Customers[CustomerID],Customers[City])</f>
        <v>Texas</v>
      </c>
      <c r="P164" t="str">
        <f>_xlfn.XLOOKUP(Orders[[#This Row],[CustomerID]],Customers[CustomerID],Customers[Gender])</f>
        <v>Female</v>
      </c>
      <c r="Q164">
        <f>_xlfn.XLOOKUP(Orders[[#This Row],[CustomerID]],Customers[CustomerID],Customers[CustomerAge])</f>
        <v>33</v>
      </c>
      <c r="R164" t="str">
        <f>IF(Orders[[#This Row],[CustomerAge]]&gt;=35, "Older", "Young")</f>
        <v>Young</v>
      </c>
      <c r="S164" t="str">
        <f>_xlfn.XLOOKUP(Orders[[#This Row],[ProductID]],Products[ProductID],Products[ProductName])</f>
        <v>Badminton Racket</v>
      </c>
      <c r="T164" t="str">
        <f>_xlfn.XLOOKUP(Orders[[#This Row],[ProductID]],Products[ProductID],Products[Category])</f>
        <v>Sports</v>
      </c>
    </row>
    <row r="165" spans="1:20" x14ac:dyDescent="0.25">
      <c r="A165" s="4" t="s">
        <v>304</v>
      </c>
      <c r="B165" s="5">
        <v>45988</v>
      </c>
      <c r="C165" s="15">
        <f>WEEKNUM(Orders[[#This Row],[OrderDate]])</f>
        <v>48</v>
      </c>
      <c r="D165" s="15" t="str">
        <f>TEXT(Orders[[#This Row],[OrderDate]],"mmmm")</f>
        <v>November</v>
      </c>
      <c r="E165" s="4" t="s">
        <v>305</v>
      </c>
      <c r="F165" s="4" t="s">
        <v>157</v>
      </c>
      <c r="G165" s="4">
        <v>8</v>
      </c>
      <c r="H165" s="12">
        <v>5136.7</v>
      </c>
      <c r="I165" s="13">
        <v>4366.1949999999997</v>
      </c>
      <c r="J165" s="13">
        <f>Orders[[#This Row],[Quantity]]*Orders[[#This Row],[Selling Price]]</f>
        <v>41093.599999999999</v>
      </c>
      <c r="K165" s="13">
        <f>Orders[[#This Row],[Quantity]]*Orders[[#This Row],[Cost Price]]</f>
        <v>34929.56</v>
      </c>
      <c r="L165" s="13">
        <f>Orders[[#This Row],[Revenue]]-Orders[[#This Row],[Expenses]]</f>
        <v>6164.0400000000009</v>
      </c>
      <c r="M165" t="s">
        <v>2193</v>
      </c>
      <c r="N165" t="str">
        <f>_xlfn.XLOOKUP(Orders[[#This Row],[CustomerID]],Customers[CustomerID],Customers[CustomerName])</f>
        <v>Tunde Danladi</v>
      </c>
      <c r="O165" t="str">
        <f>_xlfn.XLOOKUP(Orders[[#This Row],[CustomerID]],Customers[CustomerID],Customers[City])</f>
        <v>California</v>
      </c>
      <c r="P165" t="str">
        <f>_xlfn.XLOOKUP(Orders[[#This Row],[CustomerID]],Customers[CustomerID],Customers[Gender])</f>
        <v>Male</v>
      </c>
      <c r="Q165">
        <f>_xlfn.XLOOKUP(Orders[[#This Row],[CustomerID]],Customers[CustomerID],Customers[CustomerAge])</f>
        <v>40</v>
      </c>
      <c r="R165" t="str">
        <f>IF(Orders[[#This Row],[CustomerAge]]&gt;=35, "Older", "Young")</f>
        <v>Older</v>
      </c>
      <c r="S165" t="str">
        <f>_xlfn.XLOOKUP(Orders[[#This Row],[ProductID]],Products[ProductID],Products[ProductName])</f>
        <v>Football</v>
      </c>
      <c r="T165" t="str">
        <f>_xlfn.XLOOKUP(Orders[[#This Row],[ProductID]],Products[ProductID],Products[Category])</f>
        <v>Sports</v>
      </c>
    </row>
    <row r="166" spans="1:20" x14ac:dyDescent="0.25">
      <c r="A166" s="4" t="s">
        <v>306</v>
      </c>
      <c r="B166" s="5">
        <v>45998</v>
      </c>
      <c r="C166" s="15">
        <f>WEEKNUM(Orders[[#This Row],[OrderDate]])</f>
        <v>50</v>
      </c>
      <c r="D166" s="15" t="str">
        <f>TEXT(Orders[[#This Row],[OrderDate]],"mmmm")</f>
        <v>December</v>
      </c>
      <c r="E166" s="4" t="s">
        <v>307</v>
      </c>
      <c r="F166" s="4" t="s">
        <v>111</v>
      </c>
      <c r="G166" s="4">
        <v>3</v>
      </c>
      <c r="H166" s="12">
        <v>11310.1</v>
      </c>
      <c r="I166" s="13">
        <v>9613.5850000000009</v>
      </c>
      <c r="J166" s="13">
        <f>Orders[[#This Row],[Quantity]]*Orders[[#This Row],[Selling Price]]</f>
        <v>33930.300000000003</v>
      </c>
      <c r="K166" s="13">
        <f>Orders[[#This Row],[Quantity]]*Orders[[#This Row],[Cost Price]]</f>
        <v>28840.755000000005</v>
      </c>
      <c r="L166" s="13">
        <f>Orders[[#This Row],[Revenue]]-Orders[[#This Row],[Expenses]]</f>
        <v>5089.5449999999983</v>
      </c>
      <c r="M166" t="s">
        <v>2192</v>
      </c>
      <c r="N166" t="str">
        <f>_xlfn.XLOOKUP(Orders[[#This Row],[CustomerID]],Customers[CustomerID],Customers[CustomerName])</f>
        <v>Adanma Bello</v>
      </c>
      <c r="O166" t="str">
        <f>_xlfn.XLOOKUP(Orders[[#This Row],[CustomerID]],Customers[CustomerID],Customers[City])</f>
        <v>Illinois</v>
      </c>
      <c r="P166" t="str">
        <f>_xlfn.XLOOKUP(Orders[[#This Row],[CustomerID]],Customers[CustomerID],Customers[Gender])</f>
        <v>Female</v>
      </c>
      <c r="Q166">
        <f>_xlfn.XLOOKUP(Orders[[#This Row],[CustomerID]],Customers[CustomerID],Customers[CustomerAge])</f>
        <v>51</v>
      </c>
      <c r="R166" t="str">
        <f>IF(Orders[[#This Row],[CustomerAge]]&gt;=35, "Older", "Young")</f>
        <v>Older</v>
      </c>
      <c r="S166" t="str">
        <f>_xlfn.XLOOKUP(Orders[[#This Row],[ProductID]],Products[ProductID],Products[ProductName])</f>
        <v>Refrigerator</v>
      </c>
      <c r="T166" t="str">
        <f>_xlfn.XLOOKUP(Orders[[#This Row],[ProductID]],Products[ProductID],Products[Category])</f>
        <v>Electronics</v>
      </c>
    </row>
    <row r="167" spans="1:20" x14ac:dyDescent="0.25">
      <c r="A167" s="4" t="s">
        <v>308</v>
      </c>
      <c r="B167" s="5">
        <v>45954</v>
      </c>
      <c r="C167" s="15">
        <f>WEEKNUM(Orders[[#This Row],[OrderDate]])</f>
        <v>43</v>
      </c>
      <c r="D167" s="15" t="str">
        <f>TEXT(Orders[[#This Row],[OrderDate]],"mmmm")</f>
        <v>October</v>
      </c>
      <c r="E167" s="4" t="s">
        <v>309</v>
      </c>
      <c r="F167" s="4" t="s">
        <v>151</v>
      </c>
      <c r="G167" s="4">
        <v>7</v>
      </c>
      <c r="H167" s="12">
        <v>9256.4</v>
      </c>
      <c r="I167" s="13">
        <v>7867.94</v>
      </c>
      <c r="J167" s="13">
        <f>Orders[[#This Row],[Quantity]]*Orders[[#This Row],[Selling Price]]</f>
        <v>64794.799999999996</v>
      </c>
      <c r="K167" s="13">
        <f>Orders[[#This Row],[Quantity]]*Orders[[#This Row],[Cost Price]]</f>
        <v>55075.579999999994</v>
      </c>
      <c r="L167" s="13">
        <f>Orders[[#This Row],[Revenue]]-Orders[[#This Row],[Expenses]]</f>
        <v>9719.2200000000012</v>
      </c>
      <c r="M167" t="s">
        <v>2214</v>
      </c>
      <c r="N167" t="str">
        <f>_xlfn.XLOOKUP(Orders[[#This Row],[CustomerID]],Customers[CustomerID],Customers[CustomerName])</f>
        <v>Temi Ojo</v>
      </c>
      <c r="O167" t="str">
        <f>_xlfn.XLOOKUP(Orders[[#This Row],[CustomerID]],Customers[CustomerID],Customers[City])</f>
        <v>Washington</v>
      </c>
      <c r="P167" t="str">
        <f>_xlfn.XLOOKUP(Orders[[#This Row],[CustomerID]],Customers[CustomerID],Customers[Gender])</f>
        <v>Female</v>
      </c>
      <c r="Q167">
        <f>_xlfn.XLOOKUP(Orders[[#This Row],[CustomerID]],Customers[CustomerID],Customers[CustomerAge])</f>
        <v>36</v>
      </c>
      <c r="R167" t="str">
        <f>IF(Orders[[#This Row],[CustomerAge]]&gt;=35, "Older", "Young")</f>
        <v>Older</v>
      </c>
      <c r="S167" t="str">
        <f>_xlfn.XLOOKUP(Orders[[#This Row],[ProductID]],Products[ProductID],Products[ProductName])</f>
        <v>Checkers</v>
      </c>
      <c r="T167" t="str">
        <f>_xlfn.XLOOKUP(Orders[[#This Row],[ProductID]],Products[ProductID],Products[Category])</f>
        <v>Games</v>
      </c>
    </row>
    <row r="168" spans="1:20" x14ac:dyDescent="0.25">
      <c r="A168" s="4" t="s">
        <v>310</v>
      </c>
      <c r="B168" s="5">
        <v>45964</v>
      </c>
      <c r="C168" s="15">
        <f>WEEKNUM(Orders[[#This Row],[OrderDate]])</f>
        <v>45</v>
      </c>
      <c r="D168" s="15" t="str">
        <f>TEXT(Orders[[#This Row],[OrderDate]],"mmmm")</f>
        <v>November</v>
      </c>
      <c r="E168" s="4" t="s">
        <v>311</v>
      </c>
      <c r="F168" s="4" t="s">
        <v>37</v>
      </c>
      <c r="G168" s="4">
        <v>8</v>
      </c>
      <c r="H168" s="12">
        <v>12148.800000000001</v>
      </c>
      <c r="I168" s="13">
        <v>10326.480000000001</v>
      </c>
      <c r="J168" s="13">
        <f>Orders[[#This Row],[Quantity]]*Orders[[#This Row],[Selling Price]]</f>
        <v>97190.400000000009</v>
      </c>
      <c r="K168" s="13">
        <f>Orders[[#This Row],[Quantity]]*Orders[[#This Row],[Cost Price]]</f>
        <v>82611.840000000011</v>
      </c>
      <c r="L168" s="13">
        <f>Orders[[#This Row],[Revenue]]-Orders[[#This Row],[Expenses]]</f>
        <v>14578.559999999998</v>
      </c>
      <c r="M168" t="s">
        <v>2197</v>
      </c>
      <c r="N168" t="str">
        <f>_xlfn.XLOOKUP(Orders[[#This Row],[CustomerID]],Customers[CustomerID],Customers[CustomerName])</f>
        <v>Bisi Bello</v>
      </c>
      <c r="O168" t="str">
        <f>_xlfn.XLOOKUP(Orders[[#This Row],[CustomerID]],Customers[CustomerID],Customers[City])</f>
        <v>Georgia</v>
      </c>
      <c r="P168" t="str">
        <f>_xlfn.XLOOKUP(Orders[[#This Row],[CustomerID]],Customers[CustomerID],Customers[Gender])</f>
        <v>Female</v>
      </c>
      <c r="Q168">
        <f>_xlfn.XLOOKUP(Orders[[#This Row],[CustomerID]],Customers[CustomerID],Customers[CustomerAge])</f>
        <v>31</v>
      </c>
      <c r="R168" t="str">
        <f>IF(Orders[[#This Row],[CustomerAge]]&gt;=35, "Older", "Young")</f>
        <v>Young</v>
      </c>
      <c r="S168" t="str">
        <f>_xlfn.XLOOKUP(Orders[[#This Row],[ProductID]],Products[ProductID],Products[ProductName])</f>
        <v>Iron</v>
      </c>
      <c r="T168" t="str">
        <f>_xlfn.XLOOKUP(Orders[[#This Row],[ProductID]],Products[ProductID],Products[Category])</f>
        <v>Electronics</v>
      </c>
    </row>
    <row r="169" spans="1:20" x14ac:dyDescent="0.25">
      <c r="A169" s="4" t="s">
        <v>312</v>
      </c>
      <c r="B169" s="5">
        <v>45933</v>
      </c>
      <c r="C169" s="15">
        <f>WEEKNUM(Orders[[#This Row],[OrderDate]])</f>
        <v>40</v>
      </c>
      <c r="D169" s="15" t="str">
        <f>TEXT(Orders[[#This Row],[OrderDate]],"mmmm")</f>
        <v>October</v>
      </c>
      <c r="E169" s="4" t="s">
        <v>45</v>
      </c>
      <c r="F169" s="4" t="s">
        <v>37</v>
      </c>
      <c r="G169" s="4">
        <v>9</v>
      </c>
      <c r="H169" s="12">
        <v>2133.8000000000002</v>
      </c>
      <c r="I169" s="13">
        <v>1813.7300000000002</v>
      </c>
      <c r="J169" s="13">
        <f>Orders[[#This Row],[Quantity]]*Orders[[#This Row],[Selling Price]]</f>
        <v>19204.2</v>
      </c>
      <c r="K169" s="13">
        <f>Orders[[#This Row],[Quantity]]*Orders[[#This Row],[Cost Price]]</f>
        <v>16323.570000000002</v>
      </c>
      <c r="L169" s="13">
        <f>Orders[[#This Row],[Revenue]]-Orders[[#This Row],[Expenses]]</f>
        <v>2880.6299999999992</v>
      </c>
      <c r="M169" t="s">
        <v>2216</v>
      </c>
      <c r="N169" t="str">
        <f>_xlfn.XLOOKUP(Orders[[#This Row],[CustomerID]],Customers[CustomerID],Customers[CustomerName])</f>
        <v>Abiola Abubakar</v>
      </c>
      <c r="O169" t="str">
        <f>_xlfn.XLOOKUP(Orders[[#This Row],[CustomerID]],Customers[CustomerID],Customers[City])</f>
        <v>Florida</v>
      </c>
      <c r="P169" t="str">
        <f>_xlfn.XLOOKUP(Orders[[#This Row],[CustomerID]],Customers[CustomerID],Customers[Gender])</f>
        <v>Male</v>
      </c>
      <c r="Q169">
        <f>_xlfn.XLOOKUP(Orders[[#This Row],[CustomerID]],Customers[CustomerID],Customers[CustomerAge])</f>
        <v>26</v>
      </c>
      <c r="R169" t="str">
        <f>IF(Orders[[#This Row],[CustomerAge]]&gt;=35, "Older", "Young")</f>
        <v>Young</v>
      </c>
      <c r="S169" t="str">
        <f>_xlfn.XLOOKUP(Orders[[#This Row],[ProductID]],Products[ProductID],Products[ProductName])</f>
        <v>Iron</v>
      </c>
      <c r="T169" t="str">
        <f>_xlfn.XLOOKUP(Orders[[#This Row],[ProductID]],Products[ProductID],Products[Category])</f>
        <v>Electronics</v>
      </c>
    </row>
    <row r="170" spans="1:20" x14ac:dyDescent="0.25">
      <c r="A170" s="4" t="s">
        <v>313</v>
      </c>
      <c r="B170" s="5">
        <v>45983</v>
      </c>
      <c r="C170" s="15">
        <f>WEEKNUM(Orders[[#This Row],[OrderDate]])</f>
        <v>47</v>
      </c>
      <c r="D170" s="15" t="str">
        <f>TEXT(Orders[[#This Row],[OrderDate]],"mmmm")</f>
        <v>November</v>
      </c>
      <c r="E170" s="4" t="s">
        <v>314</v>
      </c>
      <c r="F170" s="4" t="s">
        <v>60</v>
      </c>
      <c r="G170" s="4">
        <v>1</v>
      </c>
      <c r="H170" s="12">
        <v>14000.2</v>
      </c>
      <c r="I170" s="13">
        <v>11900.17</v>
      </c>
      <c r="J170" s="13">
        <f>Orders[[#This Row],[Quantity]]*Orders[[#This Row],[Selling Price]]</f>
        <v>14000.2</v>
      </c>
      <c r="K170" s="13">
        <f>Orders[[#This Row],[Quantity]]*Orders[[#This Row],[Cost Price]]</f>
        <v>11900.17</v>
      </c>
      <c r="L170" s="13">
        <f>Orders[[#This Row],[Revenue]]-Orders[[#This Row],[Expenses]]</f>
        <v>2100.0300000000007</v>
      </c>
      <c r="M170" t="s">
        <v>2212</v>
      </c>
      <c r="N170" t="str">
        <f>_xlfn.XLOOKUP(Orders[[#This Row],[CustomerID]],Customers[CustomerID],Customers[CustomerName])</f>
        <v>Bisi Ojo</v>
      </c>
      <c r="O170" t="str">
        <f>_xlfn.XLOOKUP(Orders[[#This Row],[CustomerID]],Customers[CustomerID],Customers[City])</f>
        <v>Washington</v>
      </c>
      <c r="P170" t="str">
        <f>_xlfn.XLOOKUP(Orders[[#This Row],[CustomerID]],Customers[CustomerID],Customers[Gender])</f>
        <v>Female</v>
      </c>
      <c r="Q170">
        <f>_xlfn.XLOOKUP(Orders[[#This Row],[CustomerID]],Customers[CustomerID],Customers[CustomerAge])</f>
        <v>18</v>
      </c>
      <c r="R170" t="str">
        <f>IF(Orders[[#This Row],[CustomerAge]]&gt;=35, "Older", "Young")</f>
        <v>Young</v>
      </c>
      <c r="S170" t="str">
        <f>_xlfn.XLOOKUP(Orders[[#This Row],[ProductID]],Products[ProductID],Products[ProductName])</f>
        <v>Silver Rings</v>
      </c>
      <c r="T170" t="str">
        <f>_xlfn.XLOOKUP(Orders[[#This Row],[ProductID]],Products[ProductID],Products[Category])</f>
        <v>Accessories</v>
      </c>
    </row>
    <row r="171" spans="1:20" x14ac:dyDescent="0.25">
      <c r="A171" s="4" t="s">
        <v>315</v>
      </c>
      <c r="B171" s="5">
        <v>46009</v>
      </c>
      <c r="C171" s="15">
        <f>WEEKNUM(Orders[[#This Row],[OrderDate]])</f>
        <v>51</v>
      </c>
      <c r="D171" s="15" t="str">
        <f>TEXT(Orders[[#This Row],[OrderDate]],"mmmm")</f>
        <v>December</v>
      </c>
      <c r="E171" s="4" t="s">
        <v>27</v>
      </c>
      <c r="F171" s="4" t="s">
        <v>23</v>
      </c>
      <c r="G171" s="4">
        <v>2</v>
      </c>
      <c r="H171" s="12">
        <v>10903.599999999999</v>
      </c>
      <c r="I171" s="13">
        <v>9268.06</v>
      </c>
      <c r="J171" s="13">
        <f>Orders[[#This Row],[Quantity]]*Orders[[#This Row],[Selling Price]]</f>
        <v>21807.199999999997</v>
      </c>
      <c r="K171" s="13">
        <f>Orders[[#This Row],[Quantity]]*Orders[[#This Row],[Cost Price]]</f>
        <v>18536.12</v>
      </c>
      <c r="L171" s="13">
        <f>Orders[[#This Row],[Revenue]]-Orders[[#This Row],[Expenses]]</f>
        <v>3271.0799999999981</v>
      </c>
      <c r="M171" t="s">
        <v>2195</v>
      </c>
      <c r="N171" t="str">
        <f>_xlfn.XLOOKUP(Orders[[#This Row],[CustomerID]],Customers[CustomerID],Customers[CustomerName])</f>
        <v>Okon Ojo</v>
      </c>
      <c r="O171" t="str">
        <f>_xlfn.XLOOKUP(Orders[[#This Row],[CustomerID]],Customers[CustomerID],Customers[City])</f>
        <v>Illinois</v>
      </c>
      <c r="P171" t="str">
        <f>_xlfn.XLOOKUP(Orders[[#This Row],[CustomerID]],Customers[CustomerID],Customers[Gender])</f>
        <v>Male</v>
      </c>
      <c r="Q171">
        <f>_xlfn.XLOOKUP(Orders[[#This Row],[CustomerID]],Customers[CustomerID],Customers[CustomerAge])</f>
        <v>32</v>
      </c>
      <c r="R171" t="str">
        <f>IF(Orders[[#This Row],[CustomerAge]]&gt;=35, "Older", "Young")</f>
        <v>Young</v>
      </c>
      <c r="S171" t="str">
        <f>_xlfn.XLOOKUP(Orders[[#This Row],[ProductID]],Products[ProductID],Products[ProductName])</f>
        <v>Gym Gloves</v>
      </c>
      <c r="T171" t="str">
        <f>_xlfn.XLOOKUP(Orders[[#This Row],[ProductID]],Products[ProductID],Products[Category])</f>
        <v>Gym</v>
      </c>
    </row>
    <row r="172" spans="1:20" x14ac:dyDescent="0.25">
      <c r="A172" s="4" t="s">
        <v>316</v>
      </c>
      <c r="B172" s="5">
        <v>45955</v>
      </c>
      <c r="C172" s="15">
        <f>WEEKNUM(Orders[[#This Row],[OrderDate]])</f>
        <v>43</v>
      </c>
      <c r="D172" s="15" t="str">
        <f>TEXT(Orders[[#This Row],[OrderDate]],"mmmm")</f>
        <v>October</v>
      </c>
      <c r="E172" s="4" t="s">
        <v>317</v>
      </c>
      <c r="F172" s="4" t="s">
        <v>253</v>
      </c>
      <c r="G172" s="4">
        <v>5</v>
      </c>
      <c r="H172" s="12">
        <v>2775.7</v>
      </c>
      <c r="I172" s="13">
        <v>2359.3449999999998</v>
      </c>
      <c r="J172" s="13">
        <f>Orders[[#This Row],[Quantity]]*Orders[[#This Row],[Selling Price]]</f>
        <v>13878.5</v>
      </c>
      <c r="K172" s="13">
        <f>Orders[[#This Row],[Quantity]]*Orders[[#This Row],[Cost Price]]</f>
        <v>11796.724999999999</v>
      </c>
      <c r="L172" s="13">
        <f>Orders[[#This Row],[Revenue]]-Orders[[#This Row],[Expenses]]</f>
        <v>2081.7750000000015</v>
      </c>
      <c r="M172" t="s">
        <v>2203</v>
      </c>
      <c r="N172" t="str">
        <f>_xlfn.XLOOKUP(Orders[[#This Row],[CustomerID]],Customers[CustomerID],Customers[CustomerName])</f>
        <v>Folasade Danladi</v>
      </c>
      <c r="O172" t="str">
        <f>_xlfn.XLOOKUP(Orders[[#This Row],[CustomerID]],Customers[CustomerID],Customers[City])</f>
        <v>Texas</v>
      </c>
      <c r="P172" t="str">
        <f>_xlfn.XLOOKUP(Orders[[#This Row],[CustomerID]],Customers[CustomerID],Customers[Gender])</f>
        <v>Female</v>
      </c>
      <c r="Q172">
        <f>_xlfn.XLOOKUP(Orders[[#This Row],[CustomerID]],Customers[CustomerID],Customers[CustomerAge])</f>
        <v>28</v>
      </c>
      <c r="R172" t="str">
        <f>IF(Orders[[#This Row],[CustomerAge]]&gt;=35, "Older", "Young")</f>
        <v>Young</v>
      </c>
      <c r="S172" t="str">
        <f>_xlfn.XLOOKUP(Orders[[#This Row],[ProductID]],Products[ProductID],Products[ProductName])</f>
        <v>Nose Rings</v>
      </c>
      <c r="T172" t="str">
        <f>_xlfn.XLOOKUP(Orders[[#This Row],[ProductID]],Products[ProductID],Products[Category])</f>
        <v>Accessories</v>
      </c>
    </row>
    <row r="173" spans="1:20" x14ac:dyDescent="0.25">
      <c r="A173" s="4" t="s">
        <v>318</v>
      </c>
      <c r="B173" s="5">
        <v>45935</v>
      </c>
      <c r="C173" s="15">
        <f>WEEKNUM(Orders[[#This Row],[OrderDate]])</f>
        <v>41</v>
      </c>
      <c r="D173" s="15" t="str">
        <f>TEXT(Orders[[#This Row],[OrderDate]],"mmmm")</f>
        <v>October</v>
      </c>
      <c r="E173" s="4" t="s">
        <v>198</v>
      </c>
      <c r="F173" s="4" t="s">
        <v>111</v>
      </c>
      <c r="G173" s="4">
        <v>8</v>
      </c>
      <c r="H173" s="12">
        <v>4035.6</v>
      </c>
      <c r="I173" s="13">
        <v>3430.26</v>
      </c>
      <c r="J173" s="13">
        <f>Orders[[#This Row],[Quantity]]*Orders[[#This Row],[Selling Price]]</f>
        <v>32284.799999999999</v>
      </c>
      <c r="K173" s="13">
        <f>Orders[[#This Row],[Quantity]]*Orders[[#This Row],[Cost Price]]</f>
        <v>27442.080000000002</v>
      </c>
      <c r="L173" s="13">
        <f>Orders[[#This Row],[Revenue]]-Orders[[#This Row],[Expenses]]</f>
        <v>4842.7199999999975</v>
      </c>
      <c r="M173" t="s">
        <v>2196</v>
      </c>
      <c r="N173" t="str">
        <f>_xlfn.XLOOKUP(Orders[[#This Row],[CustomerID]],Customers[CustomerID],Customers[CustomerName])</f>
        <v>Blessing Danladi</v>
      </c>
      <c r="O173" t="str">
        <f>_xlfn.XLOOKUP(Orders[[#This Row],[CustomerID]],Customers[CustomerID],Customers[City])</f>
        <v>Texas</v>
      </c>
      <c r="P173" t="str">
        <f>_xlfn.XLOOKUP(Orders[[#This Row],[CustomerID]],Customers[CustomerID],Customers[Gender])</f>
        <v>Female</v>
      </c>
      <c r="Q173">
        <f>_xlfn.XLOOKUP(Orders[[#This Row],[CustomerID]],Customers[CustomerID],Customers[CustomerAge])</f>
        <v>19</v>
      </c>
      <c r="R173" t="str">
        <f>IF(Orders[[#This Row],[CustomerAge]]&gt;=35, "Older", "Young")</f>
        <v>Young</v>
      </c>
      <c r="S173" t="str">
        <f>_xlfn.XLOOKUP(Orders[[#This Row],[ProductID]],Products[ProductID],Products[ProductName])</f>
        <v>Refrigerator</v>
      </c>
      <c r="T173" t="str">
        <f>_xlfn.XLOOKUP(Orders[[#This Row],[ProductID]],Products[ProductID],Products[Category])</f>
        <v>Electronics</v>
      </c>
    </row>
    <row r="174" spans="1:20" x14ac:dyDescent="0.25">
      <c r="A174" s="4" t="s">
        <v>319</v>
      </c>
      <c r="B174" s="5">
        <v>45940</v>
      </c>
      <c r="C174" s="15">
        <f>WEEKNUM(Orders[[#This Row],[OrderDate]])</f>
        <v>41</v>
      </c>
      <c r="D174" s="15" t="str">
        <f>TEXT(Orders[[#This Row],[OrderDate]],"mmmm")</f>
        <v>October</v>
      </c>
      <c r="E174" s="4" t="s">
        <v>320</v>
      </c>
      <c r="F174" s="4" t="s">
        <v>20</v>
      </c>
      <c r="G174" s="4">
        <v>1</v>
      </c>
      <c r="H174" s="12">
        <v>4471.3999999999996</v>
      </c>
      <c r="I174" s="13">
        <v>3800.6899999999996</v>
      </c>
      <c r="J174" s="13">
        <f>Orders[[#This Row],[Quantity]]*Orders[[#This Row],[Selling Price]]</f>
        <v>4471.3999999999996</v>
      </c>
      <c r="K174" s="13">
        <f>Orders[[#This Row],[Quantity]]*Orders[[#This Row],[Cost Price]]</f>
        <v>3800.6899999999996</v>
      </c>
      <c r="L174" s="13">
        <f>Orders[[#This Row],[Revenue]]-Orders[[#This Row],[Expenses]]</f>
        <v>670.71</v>
      </c>
      <c r="M174" t="s">
        <v>2198</v>
      </c>
      <c r="N174" t="str">
        <f>_xlfn.XLOOKUP(Orders[[#This Row],[CustomerID]],Customers[CustomerID],Customers[CustomerName])</f>
        <v>Temi Okonkwo</v>
      </c>
      <c r="O174" t="str">
        <f>_xlfn.XLOOKUP(Orders[[#This Row],[CustomerID]],Customers[CustomerID],Customers[City])</f>
        <v>Texas</v>
      </c>
      <c r="P174" t="str">
        <f>_xlfn.XLOOKUP(Orders[[#This Row],[CustomerID]],Customers[CustomerID],Customers[Gender])</f>
        <v>Female</v>
      </c>
      <c r="Q174">
        <f>_xlfn.XLOOKUP(Orders[[#This Row],[CustomerID]],Customers[CustomerID],Customers[CustomerAge])</f>
        <v>31</v>
      </c>
      <c r="R174" t="str">
        <f>IF(Orders[[#This Row],[CustomerAge]]&gt;=35, "Older", "Young")</f>
        <v>Young</v>
      </c>
      <c r="S174" t="str">
        <f>_xlfn.XLOOKUP(Orders[[#This Row],[ProductID]],Products[ProductID],Products[ProductName])</f>
        <v>Gym Bag</v>
      </c>
      <c r="T174" t="str">
        <f>_xlfn.XLOOKUP(Orders[[#This Row],[ProductID]],Products[ProductID],Products[Category])</f>
        <v>Gym</v>
      </c>
    </row>
    <row r="175" spans="1:20" x14ac:dyDescent="0.25">
      <c r="A175" s="4" t="s">
        <v>321</v>
      </c>
      <c r="B175" s="5">
        <v>45972</v>
      </c>
      <c r="C175" s="15">
        <f>WEEKNUM(Orders[[#This Row],[OrderDate]])</f>
        <v>46</v>
      </c>
      <c r="D175" s="15" t="str">
        <f>TEXT(Orders[[#This Row],[OrderDate]],"mmmm")</f>
        <v>November</v>
      </c>
      <c r="E175" s="4" t="s">
        <v>322</v>
      </c>
      <c r="F175" s="4" t="s">
        <v>31</v>
      </c>
      <c r="G175" s="4">
        <v>7</v>
      </c>
      <c r="H175" s="12">
        <v>2442.5</v>
      </c>
      <c r="I175" s="13">
        <v>2076.125</v>
      </c>
      <c r="J175" s="13">
        <f>Orders[[#This Row],[Quantity]]*Orders[[#This Row],[Selling Price]]</f>
        <v>17097.5</v>
      </c>
      <c r="K175" s="13">
        <f>Orders[[#This Row],[Quantity]]*Orders[[#This Row],[Cost Price]]</f>
        <v>14532.875</v>
      </c>
      <c r="L175" s="13">
        <f>Orders[[#This Row],[Revenue]]-Orders[[#This Row],[Expenses]]</f>
        <v>2564.625</v>
      </c>
      <c r="M175" t="s">
        <v>2205</v>
      </c>
      <c r="N175" t="str">
        <f>_xlfn.XLOOKUP(Orders[[#This Row],[CustomerID]],Customers[CustomerID],Customers[CustomerName])</f>
        <v>Ngozi Bello</v>
      </c>
      <c r="O175" t="str">
        <f>_xlfn.XLOOKUP(Orders[[#This Row],[CustomerID]],Customers[CustomerID],Customers[City])</f>
        <v>Washington</v>
      </c>
      <c r="P175" t="str">
        <f>_xlfn.XLOOKUP(Orders[[#This Row],[CustomerID]],Customers[CustomerID],Customers[Gender])</f>
        <v>Female</v>
      </c>
      <c r="Q175">
        <f>_xlfn.XLOOKUP(Orders[[#This Row],[CustomerID]],Customers[CustomerID],Customers[CustomerAge])</f>
        <v>32</v>
      </c>
      <c r="R175" t="str">
        <f>IF(Orders[[#This Row],[CustomerAge]]&gt;=35, "Older", "Young")</f>
        <v>Young</v>
      </c>
      <c r="S175" t="str">
        <f>_xlfn.XLOOKUP(Orders[[#This Row],[ProductID]],Products[ProductID],Products[ProductName])</f>
        <v>Kids Games</v>
      </c>
      <c r="T175" t="str">
        <f>_xlfn.XLOOKUP(Orders[[#This Row],[ProductID]],Products[ProductID],Products[Category])</f>
        <v>Games</v>
      </c>
    </row>
    <row r="176" spans="1:20" x14ac:dyDescent="0.25">
      <c r="A176" s="4" t="s">
        <v>323</v>
      </c>
      <c r="B176" s="5">
        <v>46010</v>
      </c>
      <c r="C176" s="15">
        <f>WEEKNUM(Orders[[#This Row],[OrderDate]])</f>
        <v>51</v>
      </c>
      <c r="D176" s="15" t="str">
        <f>TEXT(Orders[[#This Row],[OrderDate]],"mmmm")</f>
        <v>December</v>
      </c>
      <c r="E176" s="4" t="s">
        <v>324</v>
      </c>
      <c r="F176" s="4" t="s">
        <v>34</v>
      </c>
      <c r="G176" s="4">
        <v>8</v>
      </c>
      <c r="H176" s="12">
        <v>6491.7999999999993</v>
      </c>
      <c r="I176" s="13">
        <v>5518.03</v>
      </c>
      <c r="J176" s="13">
        <f>Orders[[#This Row],[Quantity]]*Orders[[#This Row],[Selling Price]]</f>
        <v>51934.399999999994</v>
      </c>
      <c r="K176" s="13">
        <f>Orders[[#This Row],[Quantity]]*Orders[[#This Row],[Cost Price]]</f>
        <v>44144.24</v>
      </c>
      <c r="L176" s="13">
        <f>Orders[[#This Row],[Revenue]]-Orders[[#This Row],[Expenses]]</f>
        <v>7790.1599999999962</v>
      </c>
      <c r="M176" t="s">
        <v>2218</v>
      </c>
      <c r="N176" t="str">
        <f>_xlfn.XLOOKUP(Orders[[#This Row],[CustomerID]],Customers[CustomerID],Customers[CustomerName])</f>
        <v>Tunde Okonkwo</v>
      </c>
      <c r="O176" t="str">
        <f>_xlfn.XLOOKUP(Orders[[#This Row],[CustomerID]],Customers[CustomerID],Customers[City])</f>
        <v>Texas</v>
      </c>
      <c r="P176" t="str">
        <f>_xlfn.XLOOKUP(Orders[[#This Row],[CustomerID]],Customers[CustomerID],Customers[Gender])</f>
        <v>Male</v>
      </c>
      <c r="Q176">
        <f>_xlfn.XLOOKUP(Orders[[#This Row],[CustomerID]],Customers[CustomerID],Customers[CustomerAge])</f>
        <v>25</v>
      </c>
      <c r="R176" t="str">
        <f>IF(Orders[[#This Row],[CustomerAge]]&gt;=35, "Older", "Young")</f>
        <v>Young</v>
      </c>
      <c r="S176" t="str">
        <f>_xlfn.XLOOKUP(Orders[[#This Row],[ProductID]],Products[ProductID],Products[ProductName])</f>
        <v>Gold Bracelets</v>
      </c>
      <c r="T176" t="str">
        <f>_xlfn.XLOOKUP(Orders[[#This Row],[ProductID]],Products[ProductID],Products[Category])</f>
        <v>Accessories</v>
      </c>
    </row>
    <row r="177" spans="1:20" x14ac:dyDescent="0.25">
      <c r="A177" s="4" t="s">
        <v>325</v>
      </c>
      <c r="B177" s="5">
        <v>45986</v>
      </c>
      <c r="C177" s="15">
        <f>WEEKNUM(Orders[[#This Row],[OrderDate]])</f>
        <v>48</v>
      </c>
      <c r="D177" s="15" t="str">
        <f>TEXT(Orders[[#This Row],[OrderDate]],"mmmm")</f>
        <v>November</v>
      </c>
      <c r="E177" s="4" t="s">
        <v>50</v>
      </c>
      <c r="F177" s="4" t="s">
        <v>125</v>
      </c>
      <c r="G177" s="4">
        <v>5</v>
      </c>
      <c r="H177" s="12">
        <v>7564.8</v>
      </c>
      <c r="I177" s="13">
        <v>6430.08</v>
      </c>
      <c r="J177" s="13">
        <f>Orders[[#This Row],[Quantity]]*Orders[[#This Row],[Selling Price]]</f>
        <v>37824</v>
      </c>
      <c r="K177" s="13">
        <f>Orders[[#This Row],[Quantity]]*Orders[[#This Row],[Cost Price]]</f>
        <v>32150.400000000001</v>
      </c>
      <c r="L177" s="13">
        <f>Orders[[#This Row],[Revenue]]-Orders[[#This Row],[Expenses]]</f>
        <v>5673.5999999999985</v>
      </c>
      <c r="M177" t="s">
        <v>2213</v>
      </c>
      <c r="N177" t="str">
        <f>_xlfn.XLOOKUP(Orders[[#This Row],[CustomerID]],Customers[CustomerID],Customers[CustomerName])</f>
        <v>Funke Danladi</v>
      </c>
      <c r="O177" t="str">
        <f>_xlfn.XLOOKUP(Orders[[#This Row],[CustomerID]],Customers[CustomerID],Customers[City])</f>
        <v>California</v>
      </c>
      <c r="P177" t="str">
        <f>_xlfn.XLOOKUP(Orders[[#This Row],[CustomerID]],Customers[CustomerID],Customers[Gender])</f>
        <v>Female</v>
      </c>
      <c r="Q177">
        <f>_xlfn.XLOOKUP(Orders[[#This Row],[CustomerID]],Customers[CustomerID],Customers[CustomerAge])</f>
        <v>31</v>
      </c>
      <c r="R177" t="str">
        <f>IF(Orders[[#This Row],[CustomerAge]]&gt;=35, "Older", "Young")</f>
        <v>Young</v>
      </c>
      <c r="S177" t="str">
        <f>_xlfn.XLOOKUP(Orders[[#This Row],[ProductID]],Products[ProductID],Products[ProductName])</f>
        <v>Earrings</v>
      </c>
      <c r="T177" t="str">
        <f>_xlfn.XLOOKUP(Orders[[#This Row],[ProductID]],Products[ProductID],Products[Category])</f>
        <v>Accessories</v>
      </c>
    </row>
    <row r="178" spans="1:20" x14ac:dyDescent="0.25">
      <c r="A178" s="4" t="s">
        <v>326</v>
      </c>
      <c r="B178" s="5">
        <v>45959</v>
      </c>
      <c r="C178" s="15">
        <f>WEEKNUM(Orders[[#This Row],[OrderDate]])</f>
        <v>44</v>
      </c>
      <c r="D178" s="15" t="str">
        <f>TEXT(Orders[[#This Row],[OrderDate]],"mmmm")</f>
        <v>October</v>
      </c>
      <c r="E178" s="4" t="s">
        <v>327</v>
      </c>
      <c r="F178" s="4" t="s">
        <v>12</v>
      </c>
      <c r="G178" s="4">
        <v>6</v>
      </c>
      <c r="H178" s="12">
        <v>3384.7000000000003</v>
      </c>
      <c r="I178" s="13">
        <v>2876.9950000000003</v>
      </c>
      <c r="J178" s="13">
        <f>Orders[[#This Row],[Quantity]]*Orders[[#This Row],[Selling Price]]</f>
        <v>20308.2</v>
      </c>
      <c r="K178" s="13">
        <f>Orders[[#This Row],[Quantity]]*Orders[[#This Row],[Cost Price]]</f>
        <v>17261.97</v>
      </c>
      <c r="L178" s="13">
        <f>Orders[[#This Row],[Revenue]]-Orders[[#This Row],[Expenses]]</f>
        <v>3046.2299999999996</v>
      </c>
      <c r="M178" t="s">
        <v>2196</v>
      </c>
      <c r="N178" t="str">
        <f>_xlfn.XLOOKUP(Orders[[#This Row],[CustomerID]],Customers[CustomerID],Customers[CustomerName])</f>
        <v>Folasade Ojo</v>
      </c>
      <c r="O178" t="str">
        <f>_xlfn.XLOOKUP(Orders[[#This Row],[CustomerID]],Customers[CustomerID],Customers[City])</f>
        <v>Washington</v>
      </c>
      <c r="P178" t="str">
        <f>_xlfn.XLOOKUP(Orders[[#This Row],[CustomerID]],Customers[CustomerID],Customers[Gender])</f>
        <v>Female</v>
      </c>
      <c r="Q178">
        <f>_xlfn.XLOOKUP(Orders[[#This Row],[CustomerID]],Customers[CustomerID],Customers[CustomerAge])</f>
        <v>24</v>
      </c>
      <c r="R178" t="str">
        <f>IF(Orders[[#This Row],[CustomerAge]]&gt;=35, "Older", "Young")</f>
        <v>Young</v>
      </c>
      <c r="S178" t="str">
        <f>_xlfn.XLOOKUP(Orders[[#This Row],[ProductID]],Products[ProductID],Products[ProductName])</f>
        <v>Boubou</v>
      </c>
      <c r="T178" t="str">
        <f>_xlfn.XLOOKUP(Orders[[#This Row],[ProductID]],Products[ProductID],Products[Category])</f>
        <v>Clothing</v>
      </c>
    </row>
    <row r="179" spans="1:20" x14ac:dyDescent="0.25">
      <c r="A179" s="4" t="s">
        <v>328</v>
      </c>
      <c r="B179" s="5">
        <v>46002</v>
      </c>
      <c r="C179" s="15">
        <f>WEEKNUM(Orders[[#This Row],[OrderDate]])</f>
        <v>50</v>
      </c>
      <c r="D179" s="15" t="str">
        <f>TEXT(Orders[[#This Row],[OrderDate]],"mmmm")</f>
        <v>December</v>
      </c>
      <c r="E179" s="4" t="s">
        <v>293</v>
      </c>
      <c r="F179" s="4" t="s">
        <v>34</v>
      </c>
      <c r="G179" s="4">
        <v>4</v>
      </c>
      <c r="H179" s="12">
        <v>6436.2</v>
      </c>
      <c r="I179" s="13">
        <v>5470.7699999999995</v>
      </c>
      <c r="J179" s="13">
        <f>Orders[[#This Row],[Quantity]]*Orders[[#This Row],[Selling Price]]</f>
        <v>25744.799999999999</v>
      </c>
      <c r="K179" s="13">
        <f>Orders[[#This Row],[Quantity]]*Orders[[#This Row],[Cost Price]]</f>
        <v>21883.079999999998</v>
      </c>
      <c r="L179" s="13">
        <f>Orders[[#This Row],[Revenue]]-Orders[[#This Row],[Expenses]]</f>
        <v>3861.7200000000012</v>
      </c>
      <c r="M179" t="s">
        <v>2213</v>
      </c>
      <c r="N179" t="str">
        <f>_xlfn.XLOOKUP(Orders[[#This Row],[CustomerID]],Customers[CustomerID],Customers[CustomerName])</f>
        <v>Tunde Eze</v>
      </c>
      <c r="O179" t="str">
        <f>_xlfn.XLOOKUP(Orders[[#This Row],[CustomerID]],Customers[CustomerID],Customers[City])</f>
        <v>Florida</v>
      </c>
      <c r="P179" t="str">
        <f>_xlfn.XLOOKUP(Orders[[#This Row],[CustomerID]],Customers[CustomerID],Customers[Gender])</f>
        <v>Male</v>
      </c>
      <c r="Q179">
        <f>_xlfn.XLOOKUP(Orders[[#This Row],[CustomerID]],Customers[CustomerID],Customers[CustomerAge])</f>
        <v>46</v>
      </c>
      <c r="R179" t="str">
        <f>IF(Orders[[#This Row],[CustomerAge]]&gt;=35, "Older", "Young")</f>
        <v>Older</v>
      </c>
      <c r="S179" t="str">
        <f>_xlfn.XLOOKUP(Orders[[#This Row],[ProductID]],Products[ProductID],Products[ProductName])</f>
        <v>Gold Bracelets</v>
      </c>
      <c r="T179" t="str">
        <f>_xlfn.XLOOKUP(Orders[[#This Row],[ProductID]],Products[ProductID],Products[Category])</f>
        <v>Accessories</v>
      </c>
    </row>
    <row r="180" spans="1:20" x14ac:dyDescent="0.25">
      <c r="A180" s="4" t="s">
        <v>329</v>
      </c>
      <c r="B180" s="5">
        <v>45935</v>
      </c>
      <c r="C180" s="15">
        <f>WEEKNUM(Orders[[#This Row],[OrderDate]])</f>
        <v>41</v>
      </c>
      <c r="D180" s="15" t="str">
        <f>TEXT(Orders[[#This Row],[OrderDate]],"mmmm")</f>
        <v>October</v>
      </c>
      <c r="E180" s="4" t="s">
        <v>146</v>
      </c>
      <c r="F180" s="4" t="s">
        <v>60</v>
      </c>
      <c r="G180" s="4">
        <v>7</v>
      </c>
      <c r="H180" s="12">
        <v>7285.1</v>
      </c>
      <c r="I180" s="13">
        <v>6192.335</v>
      </c>
      <c r="J180" s="13">
        <f>Orders[[#This Row],[Quantity]]*Orders[[#This Row],[Selling Price]]</f>
        <v>50995.700000000004</v>
      </c>
      <c r="K180" s="13">
        <f>Orders[[#This Row],[Quantity]]*Orders[[#This Row],[Cost Price]]</f>
        <v>43346.345000000001</v>
      </c>
      <c r="L180" s="13">
        <f>Orders[[#This Row],[Revenue]]-Orders[[#This Row],[Expenses]]</f>
        <v>7649.3550000000032</v>
      </c>
      <c r="M180" t="s">
        <v>2204</v>
      </c>
      <c r="N180" t="str">
        <f>_xlfn.XLOOKUP(Orders[[#This Row],[CustomerID]],Customers[CustomerID],Customers[CustomerName])</f>
        <v>Mustafa Igwe</v>
      </c>
      <c r="O180" t="str">
        <f>_xlfn.XLOOKUP(Orders[[#This Row],[CustomerID]],Customers[CustomerID],Customers[City])</f>
        <v>Texas</v>
      </c>
      <c r="P180" t="str">
        <f>_xlfn.XLOOKUP(Orders[[#This Row],[CustomerID]],Customers[CustomerID],Customers[Gender])</f>
        <v>Male</v>
      </c>
      <c r="Q180">
        <f>_xlfn.XLOOKUP(Orders[[#This Row],[CustomerID]],Customers[CustomerID],Customers[CustomerAge])</f>
        <v>27</v>
      </c>
      <c r="R180" t="str">
        <f>IF(Orders[[#This Row],[CustomerAge]]&gt;=35, "Older", "Young")</f>
        <v>Young</v>
      </c>
      <c r="S180" t="str">
        <f>_xlfn.XLOOKUP(Orders[[#This Row],[ProductID]],Products[ProductID],Products[ProductName])</f>
        <v>Silver Rings</v>
      </c>
      <c r="T180" t="str">
        <f>_xlfn.XLOOKUP(Orders[[#This Row],[ProductID]],Products[ProductID],Products[Category])</f>
        <v>Accessories</v>
      </c>
    </row>
    <row r="181" spans="1:20" x14ac:dyDescent="0.25">
      <c r="A181" s="4" t="s">
        <v>330</v>
      </c>
      <c r="B181" s="5">
        <v>45983</v>
      </c>
      <c r="C181" s="15">
        <f>WEEKNUM(Orders[[#This Row],[OrderDate]])</f>
        <v>47</v>
      </c>
      <c r="D181" s="15" t="str">
        <f>TEXT(Orders[[#This Row],[OrderDate]],"mmmm")</f>
        <v>November</v>
      </c>
      <c r="E181" s="4" t="s">
        <v>27</v>
      </c>
      <c r="F181" s="4" t="s">
        <v>34</v>
      </c>
      <c r="G181" s="4">
        <v>6</v>
      </c>
      <c r="H181" s="12">
        <v>943.3</v>
      </c>
      <c r="I181" s="13">
        <v>801.80499999999995</v>
      </c>
      <c r="J181" s="13">
        <f>Orders[[#This Row],[Quantity]]*Orders[[#This Row],[Selling Price]]</f>
        <v>5659.7999999999993</v>
      </c>
      <c r="K181" s="13">
        <f>Orders[[#This Row],[Quantity]]*Orders[[#This Row],[Cost Price]]</f>
        <v>4810.83</v>
      </c>
      <c r="L181" s="13">
        <f>Orders[[#This Row],[Revenue]]-Orders[[#This Row],[Expenses]]</f>
        <v>848.96999999999935</v>
      </c>
      <c r="M181" t="s">
        <v>2207</v>
      </c>
      <c r="N181" t="str">
        <f>_xlfn.XLOOKUP(Orders[[#This Row],[CustomerID]],Customers[CustomerID],Customers[CustomerName])</f>
        <v>Okon Ojo</v>
      </c>
      <c r="O181" t="str">
        <f>_xlfn.XLOOKUP(Orders[[#This Row],[CustomerID]],Customers[CustomerID],Customers[City])</f>
        <v>Illinois</v>
      </c>
      <c r="P181" t="str">
        <f>_xlfn.XLOOKUP(Orders[[#This Row],[CustomerID]],Customers[CustomerID],Customers[Gender])</f>
        <v>Male</v>
      </c>
      <c r="Q181">
        <f>_xlfn.XLOOKUP(Orders[[#This Row],[CustomerID]],Customers[CustomerID],Customers[CustomerAge])</f>
        <v>32</v>
      </c>
      <c r="R181" t="str">
        <f>IF(Orders[[#This Row],[CustomerAge]]&gt;=35, "Older", "Young")</f>
        <v>Young</v>
      </c>
      <c r="S181" t="str">
        <f>_xlfn.XLOOKUP(Orders[[#This Row],[ProductID]],Products[ProductID],Products[ProductName])</f>
        <v>Gold Bracelets</v>
      </c>
      <c r="T181" t="str">
        <f>_xlfn.XLOOKUP(Orders[[#This Row],[ProductID]],Products[ProductID],Products[Category])</f>
        <v>Accessories</v>
      </c>
    </row>
    <row r="182" spans="1:20" x14ac:dyDescent="0.25">
      <c r="A182" s="4" t="s">
        <v>331</v>
      </c>
      <c r="B182" s="5">
        <v>45988</v>
      </c>
      <c r="C182" s="15">
        <f>WEEKNUM(Orders[[#This Row],[OrderDate]])</f>
        <v>48</v>
      </c>
      <c r="D182" s="15" t="str">
        <f>TEXT(Orders[[#This Row],[OrderDate]],"mmmm")</f>
        <v>November</v>
      </c>
      <c r="E182" s="4" t="s">
        <v>136</v>
      </c>
      <c r="F182" s="4" t="s">
        <v>120</v>
      </c>
      <c r="G182" s="4">
        <v>3</v>
      </c>
      <c r="H182" s="12">
        <v>11091</v>
      </c>
      <c r="I182" s="13">
        <v>9427.35</v>
      </c>
      <c r="J182" s="13">
        <f>Orders[[#This Row],[Quantity]]*Orders[[#This Row],[Selling Price]]</f>
        <v>33273</v>
      </c>
      <c r="K182" s="13">
        <f>Orders[[#This Row],[Quantity]]*Orders[[#This Row],[Cost Price]]</f>
        <v>28282.050000000003</v>
      </c>
      <c r="L182" s="13">
        <f>Orders[[#This Row],[Revenue]]-Orders[[#This Row],[Expenses]]</f>
        <v>4990.9499999999971</v>
      </c>
      <c r="M182" t="s">
        <v>2218</v>
      </c>
      <c r="N182" t="str">
        <f>_xlfn.XLOOKUP(Orders[[#This Row],[CustomerID]],Customers[CustomerID],Customers[CustomerName])</f>
        <v>Chinedu Obi</v>
      </c>
      <c r="O182" t="str">
        <f>_xlfn.XLOOKUP(Orders[[#This Row],[CustomerID]],Customers[CustomerID],Customers[City])</f>
        <v>California</v>
      </c>
      <c r="P182" t="str">
        <f>_xlfn.XLOOKUP(Orders[[#This Row],[CustomerID]],Customers[CustomerID],Customers[Gender])</f>
        <v>Male</v>
      </c>
      <c r="Q182">
        <f>_xlfn.XLOOKUP(Orders[[#This Row],[CustomerID]],Customers[CustomerID],Customers[CustomerAge])</f>
        <v>27</v>
      </c>
      <c r="R182" t="str">
        <f>IF(Orders[[#This Row],[CustomerAge]]&gt;=35, "Older", "Young")</f>
        <v>Young</v>
      </c>
      <c r="S182" t="str">
        <f>_xlfn.XLOOKUP(Orders[[#This Row],[ProductID]],Products[ProductID],Products[ProductName])</f>
        <v>Chess</v>
      </c>
      <c r="T182" t="str">
        <f>_xlfn.XLOOKUP(Orders[[#This Row],[ProductID]],Products[ProductID],Products[Category])</f>
        <v>Games</v>
      </c>
    </row>
    <row r="183" spans="1:20" x14ac:dyDescent="0.25">
      <c r="A183" s="4" t="s">
        <v>332</v>
      </c>
      <c r="B183" s="5">
        <v>45986</v>
      </c>
      <c r="C183" s="15">
        <f>WEEKNUM(Orders[[#This Row],[OrderDate]])</f>
        <v>48</v>
      </c>
      <c r="D183" s="15" t="str">
        <f>TEXT(Orders[[#This Row],[OrderDate]],"mmmm")</f>
        <v>November</v>
      </c>
      <c r="E183" s="4" t="s">
        <v>333</v>
      </c>
      <c r="F183" s="4" t="s">
        <v>66</v>
      </c>
      <c r="G183" s="4">
        <v>10</v>
      </c>
      <c r="H183" s="12">
        <v>18569.100000000002</v>
      </c>
      <c r="I183" s="13">
        <v>15783.735000000002</v>
      </c>
      <c r="J183" s="13">
        <f>Orders[[#This Row],[Quantity]]*Orders[[#This Row],[Selling Price]]</f>
        <v>185691.00000000003</v>
      </c>
      <c r="K183" s="13">
        <f>Orders[[#This Row],[Quantity]]*Orders[[#This Row],[Cost Price]]</f>
        <v>157837.35000000003</v>
      </c>
      <c r="L183" s="13">
        <f>Orders[[#This Row],[Revenue]]-Orders[[#This Row],[Expenses]]</f>
        <v>27853.649999999994</v>
      </c>
      <c r="M183" t="s">
        <v>2209</v>
      </c>
      <c r="N183" t="str">
        <f>_xlfn.XLOOKUP(Orders[[#This Row],[CustomerID]],Customers[CustomerID],Customers[CustomerName])</f>
        <v>Emeka Obi</v>
      </c>
      <c r="O183" t="str">
        <f>_xlfn.XLOOKUP(Orders[[#This Row],[CustomerID]],Customers[CustomerID],Customers[City])</f>
        <v>Washington</v>
      </c>
      <c r="P183" t="str">
        <f>_xlfn.XLOOKUP(Orders[[#This Row],[CustomerID]],Customers[CustomerID],Customers[Gender])</f>
        <v>Male</v>
      </c>
      <c r="Q183">
        <f>_xlfn.XLOOKUP(Orders[[#This Row],[CustomerID]],Customers[CustomerID],Customers[CustomerAge])</f>
        <v>44</v>
      </c>
      <c r="R183" t="str">
        <f>IF(Orders[[#This Row],[CustomerAge]]&gt;=35, "Older", "Young")</f>
        <v>Older</v>
      </c>
      <c r="S183" t="str">
        <f>_xlfn.XLOOKUP(Orders[[#This Row],[ProductID]],Products[ProductID],Products[ProductName])</f>
        <v>Microwave</v>
      </c>
      <c r="T183" t="str">
        <f>_xlfn.XLOOKUP(Orders[[#This Row],[ProductID]],Products[ProductID],Products[Category])</f>
        <v>Electronics</v>
      </c>
    </row>
    <row r="184" spans="1:20" x14ac:dyDescent="0.25">
      <c r="A184" s="4" t="s">
        <v>334</v>
      </c>
      <c r="B184" s="5">
        <v>45975</v>
      </c>
      <c r="C184" s="15">
        <f>WEEKNUM(Orders[[#This Row],[OrderDate]])</f>
        <v>46</v>
      </c>
      <c r="D184" s="15" t="str">
        <f>TEXT(Orders[[#This Row],[OrderDate]],"mmmm")</f>
        <v>November</v>
      </c>
      <c r="E184" s="4" t="s">
        <v>272</v>
      </c>
      <c r="F184" s="4" t="s">
        <v>76</v>
      </c>
      <c r="G184" s="4">
        <v>7</v>
      </c>
      <c r="H184" s="12">
        <v>15527.6</v>
      </c>
      <c r="I184" s="13">
        <v>13198.460000000001</v>
      </c>
      <c r="J184" s="13">
        <f>Orders[[#This Row],[Quantity]]*Orders[[#This Row],[Selling Price]]</f>
        <v>108693.2</v>
      </c>
      <c r="K184" s="13">
        <f>Orders[[#This Row],[Quantity]]*Orders[[#This Row],[Cost Price]]</f>
        <v>92389.22</v>
      </c>
      <c r="L184" s="13">
        <f>Orders[[#This Row],[Revenue]]-Orders[[#This Row],[Expenses]]</f>
        <v>16303.979999999996</v>
      </c>
      <c r="M184" t="s">
        <v>2195</v>
      </c>
      <c r="N184" t="str">
        <f>_xlfn.XLOOKUP(Orders[[#This Row],[CustomerID]],Customers[CustomerID],Customers[CustomerName])</f>
        <v>Blessing Bello</v>
      </c>
      <c r="O184" t="str">
        <f>_xlfn.XLOOKUP(Orders[[#This Row],[CustomerID]],Customers[CustomerID],Customers[City])</f>
        <v>Florida</v>
      </c>
      <c r="P184" t="str">
        <f>_xlfn.XLOOKUP(Orders[[#This Row],[CustomerID]],Customers[CustomerID],Customers[Gender])</f>
        <v>Female</v>
      </c>
      <c r="Q184">
        <f>_xlfn.XLOOKUP(Orders[[#This Row],[CustomerID]],Customers[CustomerID],Customers[CustomerAge])</f>
        <v>38</v>
      </c>
      <c r="R184" t="str">
        <f>IF(Orders[[#This Row],[CustomerAge]]&gt;=35, "Older", "Young")</f>
        <v>Older</v>
      </c>
      <c r="S184" t="str">
        <f>_xlfn.XLOOKUP(Orders[[#This Row],[ProductID]],Products[ProductID],Products[ProductName])</f>
        <v>Blender</v>
      </c>
      <c r="T184" t="str">
        <f>_xlfn.XLOOKUP(Orders[[#This Row],[ProductID]],Products[ProductID],Products[Category])</f>
        <v>Electronics</v>
      </c>
    </row>
    <row r="185" spans="1:20" x14ac:dyDescent="0.25">
      <c r="A185" s="4" t="s">
        <v>335</v>
      </c>
      <c r="B185" s="5">
        <v>45970</v>
      </c>
      <c r="C185" s="15">
        <f>WEEKNUM(Orders[[#This Row],[OrderDate]])</f>
        <v>46</v>
      </c>
      <c r="D185" s="15" t="str">
        <f>TEXT(Orders[[#This Row],[OrderDate]],"mmmm")</f>
        <v>November</v>
      </c>
      <c r="E185" s="4" t="s">
        <v>182</v>
      </c>
      <c r="F185" s="4" t="s">
        <v>28</v>
      </c>
      <c r="G185" s="4">
        <v>2</v>
      </c>
      <c r="H185" s="12">
        <v>7252.6</v>
      </c>
      <c r="I185" s="13">
        <v>6164.71</v>
      </c>
      <c r="J185" s="13">
        <f>Orders[[#This Row],[Quantity]]*Orders[[#This Row],[Selling Price]]</f>
        <v>14505.2</v>
      </c>
      <c r="K185" s="13">
        <f>Orders[[#This Row],[Quantity]]*Orders[[#This Row],[Cost Price]]</f>
        <v>12329.42</v>
      </c>
      <c r="L185" s="13">
        <f>Orders[[#This Row],[Revenue]]-Orders[[#This Row],[Expenses]]</f>
        <v>2175.7800000000007</v>
      </c>
      <c r="M185" t="s">
        <v>2205</v>
      </c>
      <c r="N185" t="str">
        <f>_xlfn.XLOOKUP(Orders[[#This Row],[CustomerID]],Customers[CustomerID],Customers[CustomerName])</f>
        <v>Abiola Okonkwo</v>
      </c>
      <c r="O185" t="str">
        <f>_xlfn.XLOOKUP(Orders[[#This Row],[CustomerID]],Customers[CustomerID],Customers[City])</f>
        <v>Georgia</v>
      </c>
      <c r="P185" t="str">
        <f>_xlfn.XLOOKUP(Orders[[#This Row],[CustomerID]],Customers[CustomerID],Customers[Gender])</f>
        <v>Male</v>
      </c>
      <c r="Q185">
        <f>_xlfn.XLOOKUP(Orders[[#This Row],[CustomerID]],Customers[CustomerID],Customers[CustomerAge])</f>
        <v>39</v>
      </c>
      <c r="R185" t="str">
        <f>IF(Orders[[#This Row],[CustomerAge]]&gt;=35, "Older", "Young")</f>
        <v>Older</v>
      </c>
      <c r="S185" t="str">
        <f>_xlfn.XLOOKUP(Orders[[#This Row],[ProductID]],Products[ProductID],Products[ProductName])</f>
        <v>Sneakers</v>
      </c>
      <c r="T185" t="str">
        <f>_xlfn.XLOOKUP(Orders[[#This Row],[ProductID]],Products[ProductID],Products[Category])</f>
        <v>Sports</v>
      </c>
    </row>
    <row r="186" spans="1:20" x14ac:dyDescent="0.25">
      <c r="A186" s="4" t="s">
        <v>336</v>
      </c>
      <c r="B186" s="5">
        <v>45933</v>
      </c>
      <c r="C186" s="15">
        <f>WEEKNUM(Orders[[#This Row],[OrderDate]])</f>
        <v>40</v>
      </c>
      <c r="D186" s="15" t="str">
        <f>TEXT(Orders[[#This Row],[OrderDate]],"mmmm")</f>
        <v>October</v>
      </c>
      <c r="E186" s="4" t="s">
        <v>22</v>
      </c>
      <c r="F186" s="4" t="s">
        <v>70</v>
      </c>
      <c r="G186" s="4">
        <v>7</v>
      </c>
      <c r="H186" s="12">
        <v>15153.199999999999</v>
      </c>
      <c r="I186" s="13">
        <v>12880.22</v>
      </c>
      <c r="J186" s="13">
        <f>Orders[[#This Row],[Quantity]]*Orders[[#This Row],[Selling Price]]</f>
        <v>106072.4</v>
      </c>
      <c r="K186" s="13">
        <f>Orders[[#This Row],[Quantity]]*Orders[[#This Row],[Cost Price]]</f>
        <v>90161.54</v>
      </c>
      <c r="L186" s="13">
        <f>Orders[[#This Row],[Revenue]]-Orders[[#This Row],[Expenses]]</f>
        <v>15910.86</v>
      </c>
      <c r="M186" t="s">
        <v>2207</v>
      </c>
      <c r="N186" t="str">
        <f>_xlfn.XLOOKUP(Orders[[#This Row],[CustomerID]],Customers[CustomerID],Customers[CustomerName])</f>
        <v>Temi Bello</v>
      </c>
      <c r="O186" t="str">
        <f>_xlfn.XLOOKUP(Orders[[#This Row],[CustomerID]],Customers[CustomerID],Customers[City])</f>
        <v>Texas</v>
      </c>
      <c r="P186" t="str">
        <f>_xlfn.XLOOKUP(Orders[[#This Row],[CustomerID]],Customers[CustomerID],Customers[Gender])</f>
        <v>Female</v>
      </c>
      <c r="Q186">
        <f>_xlfn.XLOOKUP(Orders[[#This Row],[CustomerID]],Customers[CustomerID],Customers[CustomerAge])</f>
        <v>52</v>
      </c>
      <c r="R186" t="str">
        <f>IF(Orders[[#This Row],[CustomerAge]]&gt;=35, "Older", "Young")</f>
        <v>Older</v>
      </c>
      <c r="S186" t="str">
        <f>_xlfn.XLOOKUP(Orders[[#This Row],[ProductID]],Products[ProductID],Products[ProductName])</f>
        <v>Yoga Mat</v>
      </c>
      <c r="T186" t="str">
        <f>_xlfn.XLOOKUP(Orders[[#This Row],[ProductID]],Products[ProductID],Products[Category])</f>
        <v>Gym</v>
      </c>
    </row>
    <row r="187" spans="1:20" x14ac:dyDescent="0.25">
      <c r="A187" s="4" t="s">
        <v>337</v>
      </c>
      <c r="B187" s="5">
        <v>46000</v>
      </c>
      <c r="C187" s="15">
        <f>WEEKNUM(Orders[[#This Row],[OrderDate]])</f>
        <v>50</v>
      </c>
      <c r="D187" s="15" t="str">
        <f>TEXT(Orders[[#This Row],[OrderDate]],"mmmm")</f>
        <v>December</v>
      </c>
      <c r="E187" s="4" t="s">
        <v>311</v>
      </c>
      <c r="F187" s="4" t="s">
        <v>34</v>
      </c>
      <c r="G187" s="4">
        <v>9</v>
      </c>
      <c r="H187" s="12">
        <v>13752.3</v>
      </c>
      <c r="I187" s="13">
        <v>11689.455</v>
      </c>
      <c r="J187" s="13">
        <f>Orders[[#This Row],[Quantity]]*Orders[[#This Row],[Selling Price]]</f>
        <v>123770.7</v>
      </c>
      <c r="K187" s="13">
        <f>Orders[[#This Row],[Quantity]]*Orders[[#This Row],[Cost Price]]</f>
        <v>105205.095</v>
      </c>
      <c r="L187" s="13">
        <f>Orders[[#This Row],[Revenue]]-Orders[[#This Row],[Expenses]]</f>
        <v>18565.604999999996</v>
      </c>
      <c r="M187" t="s">
        <v>2220</v>
      </c>
      <c r="N187" t="str">
        <f>_xlfn.XLOOKUP(Orders[[#This Row],[CustomerID]],Customers[CustomerID],Customers[CustomerName])</f>
        <v>Bisi Bello</v>
      </c>
      <c r="O187" t="str">
        <f>_xlfn.XLOOKUP(Orders[[#This Row],[CustomerID]],Customers[CustomerID],Customers[City])</f>
        <v>Georgia</v>
      </c>
      <c r="P187" t="str">
        <f>_xlfn.XLOOKUP(Orders[[#This Row],[CustomerID]],Customers[CustomerID],Customers[Gender])</f>
        <v>Female</v>
      </c>
      <c r="Q187">
        <f>_xlfn.XLOOKUP(Orders[[#This Row],[CustomerID]],Customers[CustomerID],Customers[CustomerAge])</f>
        <v>31</v>
      </c>
      <c r="R187" t="str">
        <f>IF(Orders[[#This Row],[CustomerAge]]&gt;=35, "Older", "Young")</f>
        <v>Young</v>
      </c>
      <c r="S187" t="str">
        <f>_xlfn.XLOOKUP(Orders[[#This Row],[ProductID]],Products[ProductID],Products[ProductName])</f>
        <v>Gold Bracelets</v>
      </c>
      <c r="T187" t="str">
        <f>_xlfn.XLOOKUP(Orders[[#This Row],[ProductID]],Products[ProductID],Products[Category])</f>
        <v>Accessories</v>
      </c>
    </row>
    <row r="188" spans="1:20" x14ac:dyDescent="0.25">
      <c r="A188" s="4" t="s">
        <v>338</v>
      </c>
      <c r="B188" s="5">
        <v>46010</v>
      </c>
      <c r="C188" s="15">
        <f>WEEKNUM(Orders[[#This Row],[OrderDate]])</f>
        <v>51</v>
      </c>
      <c r="D188" s="15" t="str">
        <f>TEXT(Orders[[#This Row],[OrderDate]],"mmmm")</f>
        <v>December</v>
      </c>
      <c r="E188" s="4" t="s">
        <v>275</v>
      </c>
      <c r="F188" s="4" t="s">
        <v>76</v>
      </c>
      <c r="G188" s="4">
        <v>7</v>
      </c>
      <c r="H188" s="12">
        <v>4978.3999999999996</v>
      </c>
      <c r="I188" s="13">
        <v>4231.6399999999994</v>
      </c>
      <c r="J188" s="13">
        <f>Orders[[#This Row],[Quantity]]*Orders[[#This Row],[Selling Price]]</f>
        <v>34848.799999999996</v>
      </c>
      <c r="K188" s="13">
        <f>Orders[[#This Row],[Quantity]]*Orders[[#This Row],[Cost Price]]</f>
        <v>29621.479999999996</v>
      </c>
      <c r="L188" s="13">
        <f>Orders[[#This Row],[Revenue]]-Orders[[#This Row],[Expenses]]</f>
        <v>5227.32</v>
      </c>
      <c r="M188" t="s">
        <v>2210</v>
      </c>
      <c r="N188" t="str">
        <f>_xlfn.XLOOKUP(Orders[[#This Row],[CustomerID]],Customers[CustomerID],Customers[CustomerName])</f>
        <v>Ngozi Danladi</v>
      </c>
      <c r="O188" t="str">
        <f>_xlfn.XLOOKUP(Orders[[#This Row],[CustomerID]],Customers[CustomerID],Customers[City])</f>
        <v>Texas</v>
      </c>
      <c r="P188" t="str">
        <f>_xlfn.XLOOKUP(Orders[[#This Row],[CustomerID]],Customers[CustomerID],Customers[Gender])</f>
        <v>Female</v>
      </c>
      <c r="Q188">
        <f>_xlfn.XLOOKUP(Orders[[#This Row],[CustomerID]],Customers[CustomerID],Customers[CustomerAge])</f>
        <v>25</v>
      </c>
      <c r="R188" t="str">
        <f>IF(Orders[[#This Row],[CustomerAge]]&gt;=35, "Older", "Young")</f>
        <v>Young</v>
      </c>
      <c r="S188" t="str">
        <f>_xlfn.XLOOKUP(Orders[[#This Row],[ProductID]],Products[ProductID],Products[ProductName])</f>
        <v>Blender</v>
      </c>
      <c r="T188" t="str">
        <f>_xlfn.XLOOKUP(Orders[[#This Row],[ProductID]],Products[ProductID],Products[Category])</f>
        <v>Electronics</v>
      </c>
    </row>
    <row r="189" spans="1:20" x14ac:dyDescent="0.25">
      <c r="A189" s="4" t="s">
        <v>339</v>
      </c>
      <c r="B189" s="5">
        <v>45946</v>
      </c>
      <c r="C189" s="15">
        <f>WEEKNUM(Orders[[#This Row],[OrderDate]])</f>
        <v>42</v>
      </c>
      <c r="D189" s="15" t="str">
        <f>TEXT(Orders[[#This Row],[OrderDate]],"mmmm")</f>
        <v>October</v>
      </c>
      <c r="E189" s="4" t="s">
        <v>340</v>
      </c>
      <c r="F189" s="4" t="s">
        <v>70</v>
      </c>
      <c r="G189" s="4">
        <v>9</v>
      </c>
      <c r="H189" s="12">
        <v>10397.4</v>
      </c>
      <c r="I189" s="13">
        <v>8837.7899999999991</v>
      </c>
      <c r="J189" s="13">
        <f>Orders[[#This Row],[Quantity]]*Orders[[#This Row],[Selling Price]]</f>
        <v>93576.599999999991</v>
      </c>
      <c r="K189" s="13">
        <f>Orders[[#This Row],[Quantity]]*Orders[[#This Row],[Cost Price]]</f>
        <v>79540.109999999986</v>
      </c>
      <c r="L189" s="13">
        <f>Orders[[#This Row],[Revenue]]-Orders[[#This Row],[Expenses]]</f>
        <v>14036.490000000005</v>
      </c>
      <c r="M189" t="s">
        <v>2194</v>
      </c>
      <c r="N189" t="str">
        <f>_xlfn.XLOOKUP(Orders[[#This Row],[CustomerID]],Customers[CustomerID],Customers[CustomerName])</f>
        <v>Uche Abubakar</v>
      </c>
      <c r="O189" t="str">
        <f>_xlfn.XLOOKUP(Orders[[#This Row],[CustomerID]],Customers[CustomerID],Customers[City])</f>
        <v>Illinois</v>
      </c>
      <c r="P189" t="str">
        <f>_xlfn.XLOOKUP(Orders[[#This Row],[CustomerID]],Customers[CustomerID],Customers[Gender])</f>
        <v>Male</v>
      </c>
      <c r="Q189">
        <f>_xlfn.XLOOKUP(Orders[[#This Row],[CustomerID]],Customers[CustomerID],Customers[CustomerAge])</f>
        <v>18</v>
      </c>
      <c r="R189" t="str">
        <f>IF(Orders[[#This Row],[CustomerAge]]&gt;=35, "Older", "Young")</f>
        <v>Young</v>
      </c>
      <c r="S189" t="str">
        <f>_xlfn.XLOOKUP(Orders[[#This Row],[ProductID]],Products[ProductID],Products[ProductName])</f>
        <v>Yoga Mat</v>
      </c>
      <c r="T189" t="str">
        <f>_xlfn.XLOOKUP(Orders[[#This Row],[ProductID]],Products[ProductID],Products[Category])</f>
        <v>Gym</v>
      </c>
    </row>
    <row r="190" spans="1:20" x14ac:dyDescent="0.25">
      <c r="A190" s="4" t="s">
        <v>341</v>
      </c>
      <c r="B190" s="5">
        <v>45981</v>
      </c>
      <c r="C190" s="15">
        <f>WEEKNUM(Orders[[#This Row],[OrderDate]])</f>
        <v>47</v>
      </c>
      <c r="D190" s="15" t="str">
        <f>TEXT(Orders[[#This Row],[OrderDate]],"mmmm")</f>
        <v>November</v>
      </c>
      <c r="E190" s="4" t="s">
        <v>36</v>
      </c>
      <c r="F190" s="4" t="s">
        <v>111</v>
      </c>
      <c r="G190" s="4">
        <v>9</v>
      </c>
      <c r="H190" s="12">
        <v>14849.2</v>
      </c>
      <c r="I190" s="13">
        <v>12621.82</v>
      </c>
      <c r="J190" s="13">
        <f>Orders[[#This Row],[Quantity]]*Orders[[#This Row],[Selling Price]]</f>
        <v>133642.80000000002</v>
      </c>
      <c r="K190" s="13">
        <f>Orders[[#This Row],[Quantity]]*Orders[[#This Row],[Cost Price]]</f>
        <v>113596.38</v>
      </c>
      <c r="L190" s="13">
        <f>Orders[[#This Row],[Revenue]]-Orders[[#This Row],[Expenses]]</f>
        <v>20046.420000000013</v>
      </c>
      <c r="M190" t="s">
        <v>2211</v>
      </c>
      <c r="N190" t="str">
        <f>_xlfn.XLOOKUP(Orders[[#This Row],[CustomerID]],Customers[CustomerID],Customers[CustomerName])</f>
        <v>Jide Eze</v>
      </c>
      <c r="O190" t="str">
        <f>_xlfn.XLOOKUP(Orders[[#This Row],[CustomerID]],Customers[CustomerID],Customers[City])</f>
        <v>California</v>
      </c>
      <c r="P190" t="str">
        <f>_xlfn.XLOOKUP(Orders[[#This Row],[CustomerID]],Customers[CustomerID],Customers[Gender])</f>
        <v>Male</v>
      </c>
      <c r="Q190">
        <f>_xlfn.XLOOKUP(Orders[[#This Row],[CustomerID]],Customers[CustomerID],Customers[CustomerAge])</f>
        <v>21</v>
      </c>
      <c r="R190" t="str">
        <f>IF(Orders[[#This Row],[CustomerAge]]&gt;=35, "Older", "Young")</f>
        <v>Young</v>
      </c>
      <c r="S190" t="str">
        <f>_xlfn.XLOOKUP(Orders[[#This Row],[ProductID]],Products[ProductID],Products[ProductName])</f>
        <v>Refrigerator</v>
      </c>
      <c r="T190" t="str">
        <f>_xlfn.XLOOKUP(Orders[[#This Row],[ProductID]],Products[ProductID],Products[Category])</f>
        <v>Electronics</v>
      </c>
    </row>
    <row r="191" spans="1:20" x14ac:dyDescent="0.25">
      <c r="A191" s="4" t="s">
        <v>342</v>
      </c>
      <c r="B191" s="5">
        <v>45936</v>
      </c>
      <c r="C191" s="15">
        <f>WEEKNUM(Orders[[#This Row],[OrderDate]])</f>
        <v>41</v>
      </c>
      <c r="D191" s="15" t="str">
        <f>TEXT(Orders[[#This Row],[OrderDate]],"mmmm")</f>
        <v>October</v>
      </c>
      <c r="E191" s="4" t="s">
        <v>343</v>
      </c>
      <c r="F191" s="4" t="s">
        <v>127</v>
      </c>
      <c r="G191" s="4">
        <v>1</v>
      </c>
      <c r="H191" s="12">
        <v>13695.3</v>
      </c>
      <c r="I191" s="13">
        <v>11641.004999999999</v>
      </c>
      <c r="J191" s="13">
        <f>Orders[[#This Row],[Quantity]]*Orders[[#This Row],[Selling Price]]</f>
        <v>13695.3</v>
      </c>
      <c r="K191" s="13">
        <f>Orders[[#This Row],[Quantity]]*Orders[[#This Row],[Cost Price]]</f>
        <v>11641.004999999999</v>
      </c>
      <c r="L191" s="13">
        <f>Orders[[#This Row],[Revenue]]-Orders[[#This Row],[Expenses]]</f>
        <v>2054.2950000000001</v>
      </c>
      <c r="M191" t="s">
        <v>2212</v>
      </c>
      <c r="N191" t="str">
        <f>_xlfn.XLOOKUP(Orders[[#This Row],[CustomerID]],Customers[CustomerID],Customers[CustomerName])</f>
        <v>Ronke Obi</v>
      </c>
      <c r="O191" t="str">
        <f>_xlfn.XLOOKUP(Orders[[#This Row],[CustomerID]],Customers[CustomerID],Customers[City])</f>
        <v>Washington</v>
      </c>
      <c r="P191" t="str">
        <f>_xlfn.XLOOKUP(Orders[[#This Row],[CustomerID]],Customers[CustomerID],Customers[Gender])</f>
        <v>Female</v>
      </c>
      <c r="Q191">
        <f>_xlfn.XLOOKUP(Orders[[#This Row],[CustomerID]],Customers[CustomerID],Customers[CustomerAge])</f>
        <v>31</v>
      </c>
      <c r="R191" t="str">
        <f>IF(Orders[[#This Row],[CustomerAge]]&gt;=35, "Older", "Young")</f>
        <v>Young</v>
      </c>
      <c r="S191" t="str">
        <f>_xlfn.XLOOKUP(Orders[[#This Row],[ProductID]],Products[ProductID],Products[ProductName])</f>
        <v>Tops</v>
      </c>
      <c r="T191" t="str">
        <f>_xlfn.XLOOKUP(Orders[[#This Row],[ProductID]],Products[ProductID],Products[Category])</f>
        <v>Clothing</v>
      </c>
    </row>
    <row r="192" spans="1:20" x14ac:dyDescent="0.25">
      <c r="A192" s="4" t="s">
        <v>344</v>
      </c>
      <c r="B192" s="5">
        <v>45985</v>
      </c>
      <c r="C192" s="15">
        <f>WEEKNUM(Orders[[#This Row],[OrderDate]])</f>
        <v>48</v>
      </c>
      <c r="D192" s="15" t="str">
        <f>TEXT(Orders[[#This Row],[OrderDate]],"mmmm")</f>
        <v>November</v>
      </c>
      <c r="E192" s="4" t="s">
        <v>237</v>
      </c>
      <c r="F192" s="4" t="s">
        <v>46</v>
      </c>
      <c r="G192" s="4">
        <v>10</v>
      </c>
      <c r="H192" s="12">
        <v>2514.1999999999998</v>
      </c>
      <c r="I192" s="13">
        <v>2137.0699999999997</v>
      </c>
      <c r="J192" s="13">
        <f>Orders[[#This Row],[Quantity]]*Orders[[#This Row],[Selling Price]]</f>
        <v>25142</v>
      </c>
      <c r="K192" s="13">
        <f>Orders[[#This Row],[Quantity]]*Orders[[#This Row],[Cost Price]]</f>
        <v>21370.699999999997</v>
      </c>
      <c r="L192" s="13">
        <f>Orders[[#This Row],[Revenue]]-Orders[[#This Row],[Expenses]]</f>
        <v>3771.3000000000029</v>
      </c>
      <c r="M192" t="s">
        <v>2193</v>
      </c>
      <c r="N192" t="str">
        <f>_xlfn.XLOOKUP(Orders[[#This Row],[CustomerID]],Customers[CustomerID],Customers[CustomerName])</f>
        <v>Ronke Danladi</v>
      </c>
      <c r="O192" t="str">
        <f>_xlfn.XLOOKUP(Orders[[#This Row],[CustomerID]],Customers[CustomerID],Customers[City])</f>
        <v>Florida</v>
      </c>
      <c r="P192" t="str">
        <f>_xlfn.XLOOKUP(Orders[[#This Row],[CustomerID]],Customers[CustomerID],Customers[Gender])</f>
        <v>Female</v>
      </c>
      <c r="Q192">
        <f>_xlfn.XLOOKUP(Orders[[#This Row],[CustomerID]],Customers[CustomerID],Customers[CustomerAge])</f>
        <v>25</v>
      </c>
      <c r="R192" t="str">
        <f>IF(Orders[[#This Row],[CustomerAge]]&gt;=35, "Older", "Young")</f>
        <v>Young</v>
      </c>
      <c r="S192" t="str">
        <f>_xlfn.XLOOKUP(Orders[[#This Row],[ProductID]],Products[ProductID],Products[ProductName])</f>
        <v>Turtle Neck</v>
      </c>
      <c r="T192" t="str">
        <f>_xlfn.XLOOKUP(Orders[[#This Row],[ProductID]],Products[ProductID],Products[Category])</f>
        <v>Clothing</v>
      </c>
    </row>
    <row r="193" spans="1:20" x14ac:dyDescent="0.25">
      <c r="A193" s="4" t="s">
        <v>345</v>
      </c>
      <c r="B193" s="5">
        <v>46010</v>
      </c>
      <c r="C193" s="15">
        <f>WEEKNUM(Orders[[#This Row],[OrderDate]])</f>
        <v>51</v>
      </c>
      <c r="D193" s="15" t="str">
        <f>TEXT(Orders[[#This Row],[OrderDate]],"mmmm")</f>
        <v>December</v>
      </c>
      <c r="E193" s="4" t="s">
        <v>346</v>
      </c>
      <c r="F193" s="4" t="s">
        <v>232</v>
      </c>
      <c r="G193" s="4">
        <v>3</v>
      </c>
      <c r="H193" s="12">
        <v>10684.6</v>
      </c>
      <c r="I193" s="13">
        <v>9081.91</v>
      </c>
      <c r="J193" s="13">
        <f>Orders[[#This Row],[Quantity]]*Orders[[#This Row],[Selling Price]]</f>
        <v>32053.800000000003</v>
      </c>
      <c r="K193" s="13">
        <f>Orders[[#This Row],[Quantity]]*Orders[[#This Row],[Cost Price]]</f>
        <v>27245.73</v>
      </c>
      <c r="L193" s="13">
        <f>Orders[[#This Row],[Revenue]]-Orders[[#This Row],[Expenses]]</f>
        <v>4808.0700000000033</v>
      </c>
      <c r="M193" t="s">
        <v>2216</v>
      </c>
      <c r="N193" t="str">
        <f>_xlfn.XLOOKUP(Orders[[#This Row],[CustomerID]],Customers[CustomerID],Customers[CustomerName])</f>
        <v>Ngozi Danladi</v>
      </c>
      <c r="O193" t="str">
        <f>_xlfn.XLOOKUP(Orders[[#This Row],[CustomerID]],Customers[CustomerID],Customers[City])</f>
        <v>California</v>
      </c>
      <c r="P193" t="str">
        <f>_xlfn.XLOOKUP(Orders[[#This Row],[CustomerID]],Customers[CustomerID],Customers[Gender])</f>
        <v>Female</v>
      </c>
      <c r="Q193">
        <f>_xlfn.XLOOKUP(Orders[[#This Row],[CustomerID]],Customers[CustomerID],Customers[CustomerAge])</f>
        <v>30</v>
      </c>
      <c r="R193" t="str">
        <f>IF(Orders[[#This Row],[CustomerAge]]&gt;=35, "Older", "Young")</f>
        <v>Young</v>
      </c>
      <c r="S193" t="str">
        <f>_xlfn.XLOOKUP(Orders[[#This Row],[ProductID]],Products[ProductID],Products[ProductName])</f>
        <v>Ankara</v>
      </c>
      <c r="T193" t="str">
        <f>_xlfn.XLOOKUP(Orders[[#This Row],[ProductID]],Products[ProductID],Products[Category])</f>
        <v>Clothing</v>
      </c>
    </row>
    <row r="194" spans="1:20" x14ac:dyDescent="0.25">
      <c r="A194" s="4" t="s">
        <v>347</v>
      </c>
      <c r="B194" s="5">
        <v>45984</v>
      </c>
      <c r="C194" s="15">
        <f>WEEKNUM(Orders[[#This Row],[OrderDate]])</f>
        <v>48</v>
      </c>
      <c r="D194" s="15" t="str">
        <f>TEXT(Orders[[#This Row],[OrderDate]],"mmmm")</f>
        <v>November</v>
      </c>
      <c r="E194" s="4" t="s">
        <v>148</v>
      </c>
      <c r="F194" s="4" t="s">
        <v>84</v>
      </c>
      <c r="G194" s="4">
        <v>5</v>
      </c>
      <c r="H194" s="12">
        <v>4340.7</v>
      </c>
      <c r="I194" s="13">
        <v>3689.5949999999998</v>
      </c>
      <c r="J194" s="13">
        <f>Orders[[#This Row],[Quantity]]*Orders[[#This Row],[Selling Price]]</f>
        <v>21703.5</v>
      </c>
      <c r="K194" s="13">
        <f>Orders[[#This Row],[Quantity]]*Orders[[#This Row],[Cost Price]]</f>
        <v>18447.974999999999</v>
      </c>
      <c r="L194" s="13">
        <f>Orders[[#This Row],[Revenue]]-Orders[[#This Row],[Expenses]]</f>
        <v>3255.5250000000015</v>
      </c>
      <c r="M194" t="s">
        <v>2193</v>
      </c>
      <c r="N194" t="str">
        <f>_xlfn.XLOOKUP(Orders[[#This Row],[CustomerID]],Customers[CustomerID],Customers[CustomerName])</f>
        <v>Zainab Abubakar</v>
      </c>
      <c r="O194" t="str">
        <f>_xlfn.XLOOKUP(Orders[[#This Row],[CustomerID]],Customers[CustomerID],Customers[City])</f>
        <v>Florida</v>
      </c>
      <c r="P194" t="str">
        <f>_xlfn.XLOOKUP(Orders[[#This Row],[CustomerID]],Customers[CustomerID],Customers[Gender])</f>
        <v>Female</v>
      </c>
      <c r="Q194">
        <f>_xlfn.XLOOKUP(Orders[[#This Row],[CustomerID]],Customers[CustomerID],Customers[CustomerAge])</f>
        <v>29</v>
      </c>
      <c r="R194" t="str">
        <f>IF(Orders[[#This Row],[CustomerAge]]&gt;=35, "Older", "Young")</f>
        <v>Young</v>
      </c>
      <c r="S194" t="str">
        <f>_xlfn.XLOOKUP(Orders[[#This Row],[ProductID]],Products[ProductID],Products[ProductName])</f>
        <v>Gym Wears</v>
      </c>
      <c r="T194" t="str">
        <f>_xlfn.XLOOKUP(Orders[[#This Row],[ProductID]],Products[ProductID],Products[Category])</f>
        <v>Clothing</v>
      </c>
    </row>
    <row r="195" spans="1:20" x14ac:dyDescent="0.25">
      <c r="A195" s="4" t="s">
        <v>348</v>
      </c>
      <c r="B195" s="5">
        <v>45991</v>
      </c>
      <c r="C195" s="15">
        <f>WEEKNUM(Orders[[#This Row],[OrderDate]])</f>
        <v>49</v>
      </c>
      <c r="D195" s="15" t="str">
        <f>TEXT(Orders[[#This Row],[OrderDate]],"mmmm")</f>
        <v>November</v>
      </c>
      <c r="E195" s="4" t="s">
        <v>216</v>
      </c>
      <c r="F195" s="4" t="s">
        <v>53</v>
      </c>
      <c r="G195" s="4">
        <v>1</v>
      </c>
      <c r="H195" s="12">
        <v>19083.900000000001</v>
      </c>
      <c r="I195" s="13">
        <v>16221.315000000002</v>
      </c>
      <c r="J195" s="13">
        <f>Orders[[#This Row],[Quantity]]*Orders[[#This Row],[Selling Price]]</f>
        <v>19083.900000000001</v>
      </c>
      <c r="K195" s="13">
        <f>Orders[[#This Row],[Quantity]]*Orders[[#This Row],[Cost Price]]</f>
        <v>16221.315000000002</v>
      </c>
      <c r="L195" s="13">
        <f>Orders[[#This Row],[Revenue]]-Orders[[#This Row],[Expenses]]</f>
        <v>2862.5849999999991</v>
      </c>
      <c r="M195" t="s">
        <v>2216</v>
      </c>
      <c r="N195" t="str">
        <f>_xlfn.XLOOKUP(Orders[[#This Row],[CustomerID]],Customers[CustomerID],Customers[CustomerName])</f>
        <v>Ngozi Obi</v>
      </c>
      <c r="O195" t="str">
        <f>_xlfn.XLOOKUP(Orders[[#This Row],[CustomerID]],Customers[CustomerID],Customers[City])</f>
        <v>California</v>
      </c>
      <c r="P195" t="str">
        <f>_xlfn.XLOOKUP(Orders[[#This Row],[CustomerID]],Customers[CustomerID],Customers[Gender])</f>
        <v>Female</v>
      </c>
      <c r="Q195">
        <f>_xlfn.XLOOKUP(Orders[[#This Row],[CustomerID]],Customers[CustomerID],Customers[CustomerAge])</f>
        <v>54</v>
      </c>
      <c r="R195" t="str">
        <f>IF(Orders[[#This Row],[CustomerAge]]&gt;=35, "Older", "Young")</f>
        <v>Older</v>
      </c>
      <c r="S195" t="str">
        <f>_xlfn.XLOOKUP(Orders[[#This Row],[ProductID]],Products[ProductID],Products[ProductName])</f>
        <v>Silver Bangles</v>
      </c>
      <c r="T195" t="str">
        <f>_xlfn.XLOOKUP(Orders[[#This Row],[ProductID]],Products[ProductID],Products[Category])</f>
        <v>Accessories</v>
      </c>
    </row>
    <row r="196" spans="1:20" x14ac:dyDescent="0.25">
      <c r="A196" s="4" t="s">
        <v>349</v>
      </c>
      <c r="B196" s="5">
        <v>45998</v>
      </c>
      <c r="C196" s="15">
        <f>WEEKNUM(Orders[[#This Row],[OrderDate]])</f>
        <v>50</v>
      </c>
      <c r="D196" s="15" t="str">
        <f>TEXT(Orders[[#This Row],[OrderDate]],"mmmm")</f>
        <v>December</v>
      </c>
      <c r="E196" s="4" t="s">
        <v>258</v>
      </c>
      <c r="F196" s="4" t="s">
        <v>168</v>
      </c>
      <c r="G196" s="4">
        <v>8</v>
      </c>
      <c r="H196" s="12">
        <v>926.59999999999991</v>
      </c>
      <c r="I196" s="13">
        <v>787.6099999999999</v>
      </c>
      <c r="J196" s="13">
        <f>Orders[[#This Row],[Quantity]]*Orders[[#This Row],[Selling Price]]</f>
        <v>7412.7999999999993</v>
      </c>
      <c r="K196" s="13">
        <f>Orders[[#This Row],[Quantity]]*Orders[[#This Row],[Cost Price]]</f>
        <v>6300.8799999999992</v>
      </c>
      <c r="L196" s="13">
        <f>Orders[[#This Row],[Revenue]]-Orders[[#This Row],[Expenses]]</f>
        <v>1111.92</v>
      </c>
      <c r="M196" t="s">
        <v>2194</v>
      </c>
      <c r="N196" t="str">
        <f>_xlfn.XLOOKUP(Orders[[#This Row],[CustomerID]],Customers[CustomerID],Customers[CustomerName])</f>
        <v>Sani Abubakar</v>
      </c>
      <c r="O196" t="str">
        <f>_xlfn.XLOOKUP(Orders[[#This Row],[CustomerID]],Customers[CustomerID],Customers[City])</f>
        <v>Washington</v>
      </c>
      <c r="P196" t="str">
        <f>_xlfn.XLOOKUP(Orders[[#This Row],[CustomerID]],Customers[CustomerID],Customers[Gender])</f>
        <v>Male</v>
      </c>
      <c r="Q196">
        <f>_xlfn.XLOOKUP(Orders[[#This Row],[CustomerID]],Customers[CustomerID],Customers[CustomerAge])</f>
        <v>37</v>
      </c>
      <c r="R196" t="str">
        <f>IF(Orders[[#This Row],[CustomerAge]]&gt;=35, "Older", "Young")</f>
        <v>Older</v>
      </c>
      <c r="S196" t="str">
        <f>_xlfn.XLOOKUP(Orders[[#This Row],[ProductID]],Products[ProductID],Products[ProductName])</f>
        <v>Dumb Bells</v>
      </c>
      <c r="T196" t="str">
        <f>_xlfn.XLOOKUP(Orders[[#This Row],[ProductID]],Products[ProductID],Products[Category])</f>
        <v>Gym</v>
      </c>
    </row>
    <row r="197" spans="1:20" x14ac:dyDescent="0.25">
      <c r="A197" s="4" t="s">
        <v>350</v>
      </c>
      <c r="B197" s="5">
        <v>46013</v>
      </c>
      <c r="C197" s="15">
        <f>WEEKNUM(Orders[[#This Row],[OrderDate]])</f>
        <v>52</v>
      </c>
      <c r="D197" s="15" t="str">
        <f>TEXT(Orders[[#This Row],[OrderDate]],"mmmm")</f>
        <v>December</v>
      </c>
      <c r="E197" s="4" t="s">
        <v>291</v>
      </c>
      <c r="F197" s="4" t="s">
        <v>81</v>
      </c>
      <c r="G197" s="4">
        <v>8</v>
      </c>
      <c r="H197" s="12">
        <v>10893.900000000001</v>
      </c>
      <c r="I197" s="13">
        <v>9259.8150000000005</v>
      </c>
      <c r="J197" s="13">
        <f>Orders[[#This Row],[Quantity]]*Orders[[#This Row],[Selling Price]]</f>
        <v>87151.200000000012</v>
      </c>
      <c r="K197" s="13">
        <f>Orders[[#This Row],[Quantity]]*Orders[[#This Row],[Cost Price]]</f>
        <v>74078.52</v>
      </c>
      <c r="L197" s="13">
        <f>Orders[[#This Row],[Revenue]]-Orders[[#This Row],[Expenses]]</f>
        <v>13072.680000000008</v>
      </c>
      <c r="M197" t="s">
        <v>2199</v>
      </c>
      <c r="N197" t="str">
        <f>_xlfn.XLOOKUP(Orders[[#This Row],[CustomerID]],Customers[CustomerID],Customers[CustomerName])</f>
        <v>Okon Igwe</v>
      </c>
      <c r="O197" t="str">
        <f>_xlfn.XLOOKUP(Orders[[#This Row],[CustomerID]],Customers[CustomerID],Customers[City])</f>
        <v>Texas</v>
      </c>
      <c r="P197" t="str">
        <f>_xlfn.XLOOKUP(Orders[[#This Row],[CustomerID]],Customers[CustomerID],Customers[Gender])</f>
        <v>Male</v>
      </c>
      <c r="Q197">
        <f>_xlfn.XLOOKUP(Orders[[#This Row],[CustomerID]],Customers[CustomerID],Customers[CustomerAge])</f>
        <v>33</v>
      </c>
      <c r="R197" t="str">
        <f>IF(Orders[[#This Row],[CustomerAge]]&gt;=35, "Older", "Young")</f>
        <v>Young</v>
      </c>
      <c r="S197" t="str">
        <f>_xlfn.XLOOKUP(Orders[[#This Row],[ProductID]],Products[ProductID],Products[ProductName])</f>
        <v>Trousers</v>
      </c>
      <c r="T197" t="str">
        <f>_xlfn.XLOOKUP(Orders[[#This Row],[ProductID]],Products[ProductID],Products[Category])</f>
        <v>Clothing</v>
      </c>
    </row>
    <row r="198" spans="1:20" x14ac:dyDescent="0.25">
      <c r="A198" s="4" t="s">
        <v>351</v>
      </c>
      <c r="B198" s="5">
        <v>45975</v>
      </c>
      <c r="C198" s="15">
        <f>WEEKNUM(Orders[[#This Row],[OrderDate]])</f>
        <v>46</v>
      </c>
      <c r="D198" s="15" t="str">
        <f>TEXT(Orders[[#This Row],[OrderDate]],"mmmm")</f>
        <v>November</v>
      </c>
      <c r="E198" s="4" t="s">
        <v>352</v>
      </c>
      <c r="F198" s="4" t="s">
        <v>353</v>
      </c>
      <c r="G198" s="4">
        <v>2</v>
      </c>
      <c r="H198" s="12">
        <v>7183.5</v>
      </c>
      <c r="I198" s="13">
        <v>6105.9750000000004</v>
      </c>
      <c r="J198" s="13">
        <f>Orders[[#This Row],[Quantity]]*Orders[[#This Row],[Selling Price]]</f>
        <v>14367</v>
      </c>
      <c r="K198" s="13">
        <f>Orders[[#This Row],[Quantity]]*Orders[[#This Row],[Cost Price]]</f>
        <v>12211.95</v>
      </c>
      <c r="L198" s="13">
        <f>Orders[[#This Row],[Revenue]]-Orders[[#This Row],[Expenses]]</f>
        <v>2155.0499999999993</v>
      </c>
      <c r="M198" t="s">
        <v>2210</v>
      </c>
      <c r="N198" t="str">
        <f>_xlfn.XLOOKUP(Orders[[#This Row],[CustomerID]],Customers[CustomerID],Customers[CustomerName])</f>
        <v>Zainab Eze</v>
      </c>
      <c r="O198" t="str">
        <f>_xlfn.XLOOKUP(Orders[[#This Row],[CustomerID]],Customers[CustomerID],Customers[City])</f>
        <v>Texas</v>
      </c>
      <c r="P198" t="str">
        <f>_xlfn.XLOOKUP(Orders[[#This Row],[CustomerID]],Customers[CustomerID],Customers[Gender])</f>
        <v>Female</v>
      </c>
      <c r="Q198">
        <f>_xlfn.XLOOKUP(Orders[[#This Row],[CustomerID]],Customers[CustomerID],Customers[CustomerAge])</f>
        <v>40</v>
      </c>
      <c r="R198" t="str">
        <f>IF(Orders[[#This Row],[CustomerAge]]&gt;=35, "Older", "Young")</f>
        <v>Older</v>
      </c>
      <c r="S198" t="str">
        <f>_xlfn.XLOOKUP(Orders[[#This Row],[ProductID]],Products[ProductID],Products[ProductName])</f>
        <v>Silver Earrings And Necklaces</v>
      </c>
      <c r="T198" t="str">
        <f>_xlfn.XLOOKUP(Orders[[#This Row],[ProductID]],Products[ProductID],Products[Category])</f>
        <v>Accessories</v>
      </c>
    </row>
    <row r="199" spans="1:20" x14ac:dyDescent="0.25">
      <c r="A199" s="4" t="s">
        <v>354</v>
      </c>
      <c r="B199" s="5">
        <v>45972</v>
      </c>
      <c r="C199" s="15">
        <f>WEEKNUM(Orders[[#This Row],[OrderDate]])</f>
        <v>46</v>
      </c>
      <c r="D199" s="15" t="str">
        <f>TEXT(Orders[[#This Row],[OrderDate]],"mmmm")</f>
        <v>November</v>
      </c>
      <c r="E199" s="4" t="s">
        <v>198</v>
      </c>
      <c r="F199" s="4" t="s">
        <v>12</v>
      </c>
      <c r="G199" s="4">
        <v>7</v>
      </c>
      <c r="H199" s="12">
        <v>7657.4</v>
      </c>
      <c r="I199" s="13">
        <v>6508.79</v>
      </c>
      <c r="J199" s="13">
        <f>Orders[[#This Row],[Quantity]]*Orders[[#This Row],[Selling Price]]</f>
        <v>53601.799999999996</v>
      </c>
      <c r="K199" s="13">
        <f>Orders[[#This Row],[Quantity]]*Orders[[#This Row],[Cost Price]]</f>
        <v>45561.53</v>
      </c>
      <c r="L199" s="13">
        <f>Orders[[#This Row],[Revenue]]-Orders[[#This Row],[Expenses]]</f>
        <v>8040.2699999999968</v>
      </c>
      <c r="M199" t="s">
        <v>2200</v>
      </c>
      <c r="N199" t="str">
        <f>_xlfn.XLOOKUP(Orders[[#This Row],[CustomerID]],Customers[CustomerID],Customers[CustomerName])</f>
        <v>Blessing Danladi</v>
      </c>
      <c r="O199" t="str">
        <f>_xlfn.XLOOKUP(Orders[[#This Row],[CustomerID]],Customers[CustomerID],Customers[City])</f>
        <v>Texas</v>
      </c>
      <c r="P199" t="str">
        <f>_xlfn.XLOOKUP(Orders[[#This Row],[CustomerID]],Customers[CustomerID],Customers[Gender])</f>
        <v>Female</v>
      </c>
      <c r="Q199">
        <f>_xlfn.XLOOKUP(Orders[[#This Row],[CustomerID]],Customers[CustomerID],Customers[CustomerAge])</f>
        <v>19</v>
      </c>
      <c r="R199" t="str">
        <f>IF(Orders[[#This Row],[CustomerAge]]&gt;=35, "Older", "Young")</f>
        <v>Young</v>
      </c>
      <c r="S199" t="str">
        <f>_xlfn.XLOOKUP(Orders[[#This Row],[ProductID]],Products[ProductID],Products[ProductName])</f>
        <v>Boubou</v>
      </c>
      <c r="T199" t="str">
        <f>_xlfn.XLOOKUP(Orders[[#This Row],[ProductID]],Products[ProductID],Products[Category])</f>
        <v>Clothing</v>
      </c>
    </row>
    <row r="200" spans="1:20" x14ac:dyDescent="0.25">
      <c r="A200" s="4" t="s">
        <v>355</v>
      </c>
      <c r="B200" s="5">
        <v>45971</v>
      </c>
      <c r="C200" s="15">
        <f>WEEKNUM(Orders[[#This Row],[OrderDate]])</f>
        <v>46</v>
      </c>
      <c r="D200" s="15" t="str">
        <f>TEXT(Orders[[#This Row],[OrderDate]],"mmmm")</f>
        <v>November</v>
      </c>
      <c r="E200" s="4" t="s">
        <v>314</v>
      </c>
      <c r="F200" s="4" t="s">
        <v>76</v>
      </c>
      <c r="G200" s="4">
        <v>4</v>
      </c>
      <c r="H200" s="12">
        <v>7262.7</v>
      </c>
      <c r="I200" s="13">
        <v>6173.2950000000001</v>
      </c>
      <c r="J200" s="13">
        <f>Orders[[#This Row],[Quantity]]*Orders[[#This Row],[Selling Price]]</f>
        <v>29050.799999999999</v>
      </c>
      <c r="K200" s="13">
        <f>Orders[[#This Row],[Quantity]]*Orders[[#This Row],[Cost Price]]</f>
        <v>24693.18</v>
      </c>
      <c r="L200" s="13">
        <f>Orders[[#This Row],[Revenue]]-Orders[[#This Row],[Expenses]]</f>
        <v>4357.619999999999</v>
      </c>
      <c r="M200" t="s">
        <v>2204</v>
      </c>
      <c r="N200" t="str">
        <f>_xlfn.XLOOKUP(Orders[[#This Row],[CustomerID]],Customers[CustomerID],Customers[CustomerName])</f>
        <v>Bisi Ojo</v>
      </c>
      <c r="O200" t="str">
        <f>_xlfn.XLOOKUP(Orders[[#This Row],[CustomerID]],Customers[CustomerID],Customers[City])</f>
        <v>Washington</v>
      </c>
      <c r="P200" t="str">
        <f>_xlfn.XLOOKUP(Orders[[#This Row],[CustomerID]],Customers[CustomerID],Customers[Gender])</f>
        <v>Female</v>
      </c>
      <c r="Q200">
        <f>_xlfn.XLOOKUP(Orders[[#This Row],[CustomerID]],Customers[CustomerID],Customers[CustomerAge])</f>
        <v>18</v>
      </c>
      <c r="R200" t="str">
        <f>IF(Orders[[#This Row],[CustomerAge]]&gt;=35, "Older", "Young")</f>
        <v>Young</v>
      </c>
      <c r="S200" t="str">
        <f>_xlfn.XLOOKUP(Orders[[#This Row],[ProductID]],Products[ProductID],Products[ProductName])</f>
        <v>Blender</v>
      </c>
      <c r="T200" t="str">
        <f>_xlfn.XLOOKUP(Orders[[#This Row],[ProductID]],Products[ProductID],Products[Category])</f>
        <v>Electronics</v>
      </c>
    </row>
    <row r="201" spans="1:20" x14ac:dyDescent="0.25">
      <c r="A201" s="4" t="s">
        <v>356</v>
      </c>
      <c r="B201" s="5">
        <v>45960</v>
      </c>
      <c r="C201" s="15">
        <f>WEEKNUM(Orders[[#This Row],[OrderDate]])</f>
        <v>44</v>
      </c>
      <c r="D201" s="15" t="str">
        <f>TEXT(Orders[[#This Row],[OrderDate]],"mmmm")</f>
        <v>October</v>
      </c>
      <c r="E201" s="4" t="s">
        <v>311</v>
      </c>
      <c r="F201" s="4" t="s">
        <v>57</v>
      </c>
      <c r="G201" s="4">
        <v>7</v>
      </c>
      <c r="H201" s="12">
        <v>10366.400000000001</v>
      </c>
      <c r="I201" s="13">
        <v>8811.44</v>
      </c>
      <c r="J201" s="13">
        <f>Orders[[#This Row],[Quantity]]*Orders[[#This Row],[Selling Price]]</f>
        <v>72564.800000000017</v>
      </c>
      <c r="K201" s="13">
        <f>Orders[[#This Row],[Quantity]]*Orders[[#This Row],[Cost Price]]</f>
        <v>61680.08</v>
      </c>
      <c r="L201" s="13">
        <f>Orders[[#This Row],[Revenue]]-Orders[[#This Row],[Expenses]]</f>
        <v>10884.720000000016</v>
      </c>
      <c r="M201" t="s">
        <v>2216</v>
      </c>
      <c r="N201" t="str">
        <f>_xlfn.XLOOKUP(Orders[[#This Row],[CustomerID]],Customers[CustomerID],Customers[CustomerName])</f>
        <v>Bisi Bello</v>
      </c>
      <c r="O201" t="str">
        <f>_xlfn.XLOOKUP(Orders[[#This Row],[CustomerID]],Customers[CustomerID],Customers[City])</f>
        <v>Georgia</v>
      </c>
      <c r="P201" t="str">
        <f>_xlfn.XLOOKUP(Orders[[#This Row],[CustomerID]],Customers[CustomerID],Customers[Gender])</f>
        <v>Female</v>
      </c>
      <c r="Q201">
        <f>_xlfn.XLOOKUP(Orders[[#This Row],[CustomerID]],Customers[CustomerID],Customers[CustomerAge])</f>
        <v>31</v>
      </c>
      <c r="R201" t="str">
        <f>IF(Orders[[#This Row],[CustomerAge]]&gt;=35, "Older", "Young")</f>
        <v>Young</v>
      </c>
      <c r="S201" t="str">
        <f>_xlfn.XLOOKUP(Orders[[#This Row],[ProductID]],Products[ProductID],Products[ProductName])</f>
        <v>Badminton Racket</v>
      </c>
      <c r="T201" t="str">
        <f>_xlfn.XLOOKUP(Orders[[#This Row],[ProductID]],Products[ProductID],Products[Category])</f>
        <v>Sports</v>
      </c>
    </row>
    <row r="202" spans="1:20" x14ac:dyDescent="0.25">
      <c r="A202" s="4" t="s">
        <v>357</v>
      </c>
      <c r="B202" s="5">
        <v>46010</v>
      </c>
      <c r="C202" s="15">
        <f>WEEKNUM(Orders[[#This Row],[OrderDate]])</f>
        <v>51</v>
      </c>
      <c r="D202" s="15" t="str">
        <f>TEXT(Orders[[#This Row],[OrderDate]],"mmmm")</f>
        <v>December</v>
      </c>
      <c r="E202" s="4" t="s">
        <v>30</v>
      </c>
      <c r="F202" s="4" t="s">
        <v>9</v>
      </c>
      <c r="G202" s="4">
        <v>10</v>
      </c>
      <c r="H202" s="12">
        <v>3038.2999999999997</v>
      </c>
      <c r="I202" s="13">
        <v>2582.5549999999998</v>
      </c>
      <c r="J202" s="13">
        <f>Orders[[#This Row],[Quantity]]*Orders[[#This Row],[Selling Price]]</f>
        <v>30382.999999999996</v>
      </c>
      <c r="K202" s="13">
        <f>Orders[[#This Row],[Quantity]]*Orders[[#This Row],[Cost Price]]</f>
        <v>25825.55</v>
      </c>
      <c r="L202" s="13">
        <f>Orders[[#This Row],[Revenue]]-Orders[[#This Row],[Expenses]]</f>
        <v>4557.4499999999971</v>
      </c>
      <c r="M202" t="s">
        <v>2220</v>
      </c>
      <c r="N202" t="str">
        <f>_xlfn.XLOOKUP(Orders[[#This Row],[CustomerID]],Customers[CustomerID],Customers[CustomerName])</f>
        <v>Amina Danladi</v>
      </c>
      <c r="O202" t="str">
        <f>_xlfn.XLOOKUP(Orders[[#This Row],[CustomerID]],Customers[CustomerID],Customers[City])</f>
        <v>Florida</v>
      </c>
      <c r="P202" t="str">
        <f>_xlfn.XLOOKUP(Orders[[#This Row],[CustomerID]],Customers[CustomerID],Customers[Gender])</f>
        <v>Female</v>
      </c>
      <c r="Q202">
        <f>_xlfn.XLOOKUP(Orders[[#This Row],[CustomerID]],Customers[CustomerID],Customers[CustomerAge])</f>
        <v>42</v>
      </c>
      <c r="R202" t="str">
        <f>IF(Orders[[#This Row],[CustomerAge]]&gt;=35, "Older", "Young")</f>
        <v>Older</v>
      </c>
      <c r="S202" t="str">
        <f>_xlfn.XLOOKUP(Orders[[#This Row],[ProductID]],Products[ProductID],Products[ProductName])</f>
        <v>Beaded Earrings And Necklaces</v>
      </c>
      <c r="T202" t="str">
        <f>_xlfn.XLOOKUP(Orders[[#This Row],[ProductID]],Products[ProductID],Products[Category])</f>
        <v>Accessories</v>
      </c>
    </row>
    <row r="203" spans="1:20" x14ac:dyDescent="0.25">
      <c r="A203" s="4" t="s">
        <v>358</v>
      </c>
      <c r="B203" s="5">
        <v>46009</v>
      </c>
      <c r="C203" s="15">
        <f>WEEKNUM(Orders[[#This Row],[OrderDate]])</f>
        <v>51</v>
      </c>
      <c r="D203" s="15" t="str">
        <f>TEXT(Orders[[#This Row],[OrderDate]],"mmmm")</f>
        <v>December</v>
      </c>
      <c r="E203" s="4" t="s">
        <v>11</v>
      </c>
      <c r="F203" s="4" t="s">
        <v>28</v>
      </c>
      <c r="G203" s="4">
        <v>10</v>
      </c>
      <c r="H203" s="12">
        <v>936</v>
      </c>
      <c r="I203" s="13">
        <v>795.6</v>
      </c>
      <c r="J203" s="13">
        <f>Orders[[#This Row],[Quantity]]*Orders[[#This Row],[Selling Price]]</f>
        <v>9360</v>
      </c>
      <c r="K203" s="13">
        <f>Orders[[#This Row],[Quantity]]*Orders[[#This Row],[Cost Price]]</f>
        <v>7956</v>
      </c>
      <c r="L203" s="13">
        <f>Orders[[#This Row],[Revenue]]-Orders[[#This Row],[Expenses]]</f>
        <v>1404</v>
      </c>
      <c r="M203" t="s">
        <v>2209</v>
      </c>
      <c r="N203" t="str">
        <f>_xlfn.XLOOKUP(Orders[[#This Row],[CustomerID]],Customers[CustomerID],Customers[CustomerName])</f>
        <v>Efe Ojo</v>
      </c>
      <c r="O203" t="str">
        <f>_xlfn.XLOOKUP(Orders[[#This Row],[CustomerID]],Customers[CustomerID],Customers[City])</f>
        <v>Texas</v>
      </c>
      <c r="P203" t="str">
        <f>_xlfn.XLOOKUP(Orders[[#This Row],[CustomerID]],Customers[CustomerID],Customers[Gender])</f>
        <v>Female</v>
      </c>
      <c r="Q203">
        <f>_xlfn.XLOOKUP(Orders[[#This Row],[CustomerID]],Customers[CustomerID],Customers[CustomerAge])</f>
        <v>55</v>
      </c>
      <c r="R203" t="str">
        <f>IF(Orders[[#This Row],[CustomerAge]]&gt;=35, "Older", "Young")</f>
        <v>Older</v>
      </c>
      <c r="S203" t="str">
        <f>_xlfn.XLOOKUP(Orders[[#This Row],[ProductID]],Products[ProductID],Products[ProductName])</f>
        <v>Sneakers</v>
      </c>
      <c r="T203" t="str">
        <f>_xlfn.XLOOKUP(Orders[[#This Row],[ProductID]],Products[ProductID],Products[Category])</f>
        <v>Sports</v>
      </c>
    </row>
    <row r="204" spans="1:20" x14ac:dyDescent="0.25">
      <c r="A204" s="4" t="s">
        <v>359</v>
      </c>
      <c r="B204" s="5">
        <v>45937</v>
      </c>
      <c r="C204" s="15">
        <f>WEEKNUM(Orders[[#This Row],[OrderDate]])</f>
        <v>41</v>
      </c>
      <c r="D204" s="15" t="str">
        <f>TEXT(Orders[[#This Row],[OrderDate]],"mmmm")</f>
        <v>October</v>
      </c>
      <c r="E204" s="4" t="s">
        <v>293</v>
      </c>
      <c r="F204" s="4" t="s">
        <v>111</v>
      </c>
      <c r="G204" s="4">
        <v>3</v>
      </c>
      <c r="H204" s="12">
        <v>6432.1</v>
      </c>
      <c r="I204" s="13">
        <v>5467.2849999999999</v>
      </c>
      <c r="J204" s="13">
        <f>Orders[[#This Row],[Quantity]]*Orders[[#This Row],[Selling Price]]</f>
        <v>19296.300000000003</v>
      </c>
      <c r="K204" s="13">
        <f>Orders[[#This Row],[Quantity]]*Orders[[#This Row],[Cost Price]]</f>
        <v>16401.855</v>
      </c>
      <c r="L204" s="13">
        <f>Orders[[#This Row],[Revenue]]-Orders[[#This Row],[Expenses]]</f>
        <v>2894.4450000000033</v>
      </c>
      <c r="M204" t="s">
        <v>2202</v>
      </c>
      <c r="N204" t="str">
        <f>_xlfn.XLOOKUP(Orders[[#This Row],[CustomerID]],Customers[CustomerID],Customers[CustomerName])</f>
        <v>Tunde Eze</v>
      </c>
      <c r="O204" t="str">
        <f>_xlfn.XLOOKUP(Orders[[#This Row],[CustomerID]],Customers[CustomerID],Customers[City])</f>
        <v>Florida</v>
      </c>
      <c r="P204" t="str">
        <f>_xlfn.XLOOKUP(Orders[[#This Row],[CustomerID]],Customers[CustomerID],Customers[Gender])</f>
        <v>Male</v>
      </c>
      <c r="Q204">
        <f>_xlfn.XLOOKUP(Orders[[#This Row],[CustomerID]],Customers[CustomerID],Customers[CustomerAge])</f>
        <v>46</v>
      </c>
      <c r="R204" t="str">
        <f>IF(Orders[[#This Row],[CustomerAge]]&gt;=35, "Older", "Young")</f>
        <v>Older</v>
      </c>
      <c r="S204" t="str">
        <f>_xlfn.XLOOKUP(Orders[[#This Row],[ProductID]],Products[ProductID],Products[ProductName])</f>
        <v>Refrigerator</v>
      </c>
      <c r="T204" t="str">
        <f>_xlfn.XLOOKUP(Orders[[#This Row],[ProductID]],Products[ProductID],Products[Category])</f>
        <v>Electronics</v>
      </c>
    </row>
    <row r="205" spans="1:20" x14ac:dyDescent="0.25">
      <c r="A205" s="4" t="s">
        <v>360</v>
      </c>
      <c r="B205" s="5">
        <v>45943</v>
      </c>
      <c r="C205" s="15">
        <f>WEEKNUM(Orders[[#This Row],[OrderDate]])</f>
        <v>42</v>
      </c>
      <c r="D205" s="15" t="str">
        <f>TEXT(Orders[[#This Row],[OrderDate]],"mmmm")</f>
        <v>October</v>
      </c>
      <c r="E205" s="4" t="s">
        <v>146</v>
      </c>
      <c r="F205" s="4" t="s">
        <v>34</v>
      </c>
      <c r="G205" s="4">
        <v>9</v>
      </c>
      <c r="H205" s="12">
        <v>6793.3</v>
      </c>
      <c r="I205" s="13">
        <v>5774.3050000000003</v>
      </c>
      <c r="J205" s="13">
        <f>Orders[[#This Row],[Quantity]]*Orders[[#This Row],[Selling Price]]</f>
        <v>61139.700000000004</v>
      </c>
      <c r="K205" s="13">
        <f>Orders[[#This Row],[Quantity]]*Orders[[#This Row],[Cost Price]]</f>
        <v>51968.745000000003</v>
      </c>
      <c r="L205" s="13">
        <f>Orders[[#This Row],[Revenue]]-Orders[[#This Row],[Expenses]]</f>
        <v>9170.9550000000017</v>
      </c>
      <c r="M205" t="s">
        <v>2205</v>
      </c>
      <c r="N205" t="str">
        <f>_xlfn.XLOOKUP(Orders[[#This Row],[CustomerID]],Customers[CustomerID],Customers[CustomerName])</f>
        <v>Mustafa Igwe</v>
      </c>
      <c r="O205" t="str">
        <f>_xlfn.XLOOKUP(Orders[[#This Row],[CustomerID]],Customers[CustomerID],Customers[City])</f>
        <v>Texas</v>
      </c>
      <c r="P205" t="str">
        <f>_xlfn.XLOOKUP(Orders[[#This Row],[CustomerID]],Customers[CustomerID],Customers[Gender])</f>
        <v>Male</v>
      </c>
      <c r="Q205">
        <f>_xlfn.XLOOKUP(Orders[[#This Row],[CustomerID]],Customers[CustomerID],Customers[CustomerAge])</f>
        <v>27</v>
      </c>
      <c r="R205" t="str">
        <f>IF(Orders[[#This Row],[CustomerAge]]&gt;=35, "Older", "Young")</f>
        <v>Young</v>
      </c>
      <c r="S205" t="str">
        <f>_xlfn.XLOOKUP(Orders[[#This Row],[ProductID]],Products[ProductID],Products[ProductName])</f>
        <v>Gold Bracelets</v>
      </c>
      <c r="T205" t="str">
        <f>_xlfn.XLOOKUP(Orders[[#This Row],[ProductID]],Products[ProductID],Products[Category])</f>
        <v>Accessories</v>
      </c>
    </row>
    <row r="206" spans="1:20" x14ac:dyDescent="0.25">
      <c r="A206" s="4" t="s">
        <v>361</v>
      </c>
      <c r="B206" s="5">
        <v>45949</v>
      </c>
      <c r="C206" s="15">
        <f>WEEKNUM(Orders[[#This Row],[OrderDate]])</f>
        <v>43</v>
      </c>
      <c r="D206" s="15" t="str">
        <f>TEXT(Orders[[#This Row],[OrderDate]],"mmmm")</f>
        <v>October</v>
      </c>
      <c r="E206" s="4" t="s">
        <v>207</v>
      </c>
      <c r="F206" s="4" t="s">
        <v>63</v>
      </c>
      <c r="G206" s="4">
        <v>8</v>
      </c>
      <c r="H206" s="12">
        <v>17404.3</v>
      </c>
      <c r="I206" s="13">
        <v>14793.654999999999</v>
      </c>
      <c r="J206" s="13">
        <f>Orders[[#This Row],[Quantity]]*Orders[[#This Row],[Selling Price]]</f>
        <v>139234.4</v>
      </c>
      <c r="K206" s="13">
        <f>Orders[[#This Row],[Quantity]]*Orders[[#This Row],[Cost Price]]</f>
        <v>118349.23999999999</v>
      </c>
      <c r="L206" s="13">
        <f>Orders[[#This Row],[Revenue]]-Orders[[#This Row],[Expenses]]</f>
        <v>20885.160000000003</v>
      </c>
      <c r="M206" t="s">
        <v>2215</v>
      </c>
      <c r="N206" t="str">
        <f>_xlfn.XLOOKUP(Orders[[#This Row],[CustomerID]],Customers[CustomerID],Customers[CustomerName])</f>
        <v>Bisi Eze</v>
      </c>
      <c r="O206" t="str">
        <f>_xlfn.XLOOKUP(Orders[[#This Row],[CustomerID]],Customers[CustomerID],Customers[City])</f>
        <v>Florida</v>
      </c>
      <c r="P206" t="str">
        <f>_xlfn.XLOOKUP(Orders[[#This Row],[CustomerID]],Customers[CustomerID],Customers[Gender])</f>
        <v>Female</v>
      </c>
      <c r="Q206">
        <f>_xlfn.XLOOKUP(Orders[[#This Row],[CustomerID]],Customers[CustomerID],Customers[CustomerAge])</f>
        <v>37</v>
      </c>
      <c r="R206" t="str">
        <f>IF(Orders[[#This Row],[CustomerAge]]&gt;=35, "Older", "Young")</f>
        <v>Older</v>
      </c>
      <c r="S206" t="str">
        <f>_xlfn.XLOOKUP(Orders[[#This Row],[ProductID]],Products[ProductID],Products[ProductName])</f>
        <v>Tennis Bat</v>
      </c>
      <c r="T206" t="str">
        <f>_xlfn.XLOOKUP(Orders[[#This Row],[ProductID]],Products[ProductID],Products[Category])</f>
        <v>Sports</v>
      </c>
    </row>
    <row r="207" spans="1:20" x14ac:dyDescent="0.25">
      <c r="A207" s="4" t="s">
        <v>362</v>
      </c>
      <c r="B207" s="5">
        <v>45953</v>
      </c>
      <c r="C207" s="15">
        <f>WEEKNUM(Orders[[#This Row],[OrderDate]])</f>
        <v>43</v>
      </c>
      <c r="D207" s="15" t="str">
        <f>TEXT(Orders[[#This Row],[OrderDate]],"mmmm")</f>
        <v>October</v>
      </c>
      <c r="E207" s="4" t="s">
        <v>45</v>
      </c>
      <c r="F207" s="4" t="s">
        <v>151</v>
      </c>
      <c r="G207" s="4">
        <v>8</v>
      </c>
      <c r="H207" s="12">
        <v>6436.1</v>
      </c>
      <c r="I207" s="13">
        <v>5470.6850000000004</v>
      </c>
      <c r="J207" s="13">
        <f>Orders[[#This Row],[Quantity]]*Orders[[#This Row],[Selling Price]]</f>
        <v>51488.800000000003</v>
      </c>
      <c r="K207" s="13">
        <f>Orders[[#This Row],[Quantity]]*Orders[[#This Row],[Cost Price]]</f>
        <v>43765.48</v>
      </c>
      <c r="L207" s="13">
        <f>Orders[[#This Row],[Revenue]]-Orders[[#This Row],[Expenses]]</f>
        <v>7723.32</v>
      </c>
      <c r="M207" t="s">
        <v>2200</v>
      </c>
      <c r="N207" t="str">
        <f>_xlfn.XLOOKUP(Orders[[#This Row],[CustomerID]],Customers[CustomerID],Customers[CustomerName])</f>
        <v>Abiola Abubakar</v>
      </c>
      <c r="O207" t="str">
        <f>_xlfn.XLOOKUP(Orders[[#This Row],[CustomerID]],Customers[CustomerID],Customers[City])</f>
        <v>Florida</v>
      </c>
      <c r="P207" t="str">
        <f>_xlfn.XLOOKUP(Orders[[#This Row],[CustomerID]],Customers[CustomerID],Customers[Gender])</f>
        <v>Male</v>
      </c>
      <c r="Q207">
        <f>_xlfn.XLOOKUP(Orders[[#This Row],[CustomerID]],Customers[CustomerID],Customers[CustomerAge])</f>
        <v>26</v>
      </c>
      <c r="R207" t="str">
        <f>IF(Orders[[#This Row],[CustomerAge]]&gt;=35, "Older", "Young")</f>
        <v>Young</v>
      </c>
      <c r="S207" t="str">
        <f>_xlfn.XLOOKUP(Orders[[#This Row],[ProductID]],Products[ProductID],Products[ProductName])</f>
        <v>Checkers</v>
      </c>
      <c r="T207" t="str">
        <f>_xlfn.XLOOKUP(Orders[[#This Row],[ProductID]],Products[ProductID],Products[Category])</f>
        <v>Games</v>
      </c>
    </row>
    <row r="208" spans="1:20" x14ac:dyDescent="0.25">
      <c r="A208" s="4" t="s">
        <v>363</v>
      </c>
      <c r="B208" s="5">
        <v>45974</v>
      </c>
      <c r="C208" s="15">
        <f>WEEKNUM(Orders[[#This Row],[OrderDate]])</f>
        <v>46</v>
      </c>
      <c r="D208" s="15" t="str">
        <f>TEXT(Orders[[#This Row],[OrderDate]],"mmmm")</f>
        <v>November</v>
      </c>
      <c r="E208" s="4" t="s">
        <v>260</v>
      </c>
      <c r="F208" s="4" t="s">
        <v>63</v>
      </c>
      <c r="G208" s="4">
        <v>7</v>
      </c>
      <c r="H208" s="12">
        <v>12393.599999999999</v>
      </c>
      <c r="I208" s="13">
        <v>10534.56</v>
      </c>
      <c r="J208" s="13">
        <f>Orders[[#This Row],[Quantity]]*Orders[[#This Row],[Selling Price]]</f>
        <v>86755.199999999983</v>
      </c>
      <c r="K208" s="13">
        <f>Orders[[#This Row],[Quantity]]*Orders[[#This Row],[Cost Price]]</f>
        <v>73741.919999999998</v>
      </c>
      <c r="L208" s="13">
        <f>Orders[[#This Row],[Revenue]]-Orders[[#This Row],[Expenses]]</f>
        <v>13013.279999999984</v>
      </c>
      <c r="M208" t="s">
        <v>2196</v>
      </c>
      <c r="N208" t="str">
        <f>_xlfn.XLOOKUP(Orders[[#This Row],[CustomerID]],Customers[CustomerID],Customers[CustomerName])</f>
        <v>Amina Obi</v>
      </c>
      <c r="O208" t="str">
        <f>_xlfn.XLOOKUP(Orders[[#This Row],[CustomerID]],Customers[CustomerID],Customers[City])</f>
        <v>Florida</v>
      </c>
      <c r="P208" t="str">
        <f>_xlfn.XLOOKUP(Orders[[#This Row],[CustomerID]],Customers[CustomerID],Customers[Gender])</f>
        <v>Female</v>
      </c>
      <c r="Q208">
        <f>_xlfn.XLOOKUP(Orders[[#This Row],[CustomerID]],Customers[CustomerID],Customers[CustomerAge])</f>
        <v>29</v>
      </c>
      <c r="R208" t="str">
        <f>IF(Orders[[#This Row],[CustomerAge]]&gt;=35, "Older", "Young")</f>
        <v>Young</v>
      </c>
      <c r="S208" t="str">
        <f>_xlfn.XLOOKUP(Orders[[#This Row],[ProductID]],Products[ProductID],Products[ProductName])</f>
        <v>Tennis Bat</v>
      </c>
      <c r="T208" t="str">
        <f>_xlfn.XLOOKUP(Orders[[#This Row],[ProductID]],Products[ProductID],Products[Category])</f>
        <v>Sports</v>
      </c>
    </row>
    <row r="209" spans="1:20" x14ac:dyDescent="0.25">
      <c r="A209" s="4" t="s">
        <v>364</v>
      </c>
      <c r="B209" s="5">
        <v>45959</v>
      </c>
      <c r="C209" s="15">
        <f>WEEKNUM(Orders[[#This Row],[OrderDate]])</f>
        <v>44</v>
      </c>
      <c r="D209" s="15" t="str">
        <f>TEXT(Orders[[#This Row],[OrderDate]],"mmmm")</f>
        <v>October</v>
      </c>
      <c r="E209" s="4" t="s">
        <v>78</v>
      </c>
      <c r="F209" s="4" t="s">
        <v>57</v>
      </c>
      <c r="G209" s="4">
        <v>10</v>
      </c>
      <c r="H209" s="12">
        <v>4897</v>
      </c>
      <c r="I209" s="13">
        <v>4162.45</v>
      </c>
      <c r="J209" s="13">
        <f>Orders[[#This Row],[Quantity]]*Orders[[#This Row],[Selling Price]]</f>
        <v>48970</v>
      </c>
      <c r="K209" s="13">
        <f>Orders[[#This Row],[Quantity]]*Orders[[#This Row],[Cost Price]]</f>
        <v>41624.5</v>
      </c>
      <c r="L209" s="13">
        <f>Orders[[#This Row],[Revenue]]-Orders[[#This Row],[Expenses]]</f>
        <v>7345.5</v>
      </c>
      <c r="M209" t="s">
        <v>2212</v>
      </c>
      <c r="N209" t="str">
        <f>_xlfn.XLOOKUP(Orders[[#This Row],[CustomerID]],Customers[CustomerID],Customers[CustomerName])</f>
        <v>Chinedu Obi</v>
      </c>
      <c r="O209" t="str">
        <f>_xlfn.XLOOKUP(Orders[[#This Row],[CustomerID]],Customers[CustomerID],Customers[City])</f>
        <v>Washington</v>
      </c>
      <c r="P209" t="str">
        <f>_xlfn.XLOOKUP(Orders[[#This Row],[CustomerID]],Customers[CustomerID],Customers[Gender])</f>
        <v>Male</v>
      </c>
      <c r="Q209">
        <f>_xlfn.XLOOKUP(Orders[[#This Row],[CustomerID]],Customers[CustomerID],Customers[CustomerAge])</f>
        <v>38</v>
      </c>
      <c r="R209" t="str">
        <f>IF(Orders[[#This Row],[CustomerAge]]&gt;=35, "Older", "Young")</f>
        <v>Older</v>
      </c>
      <c r="S209" t="str">
        <f>_xlfn.XLOOKUP(Orders[[#This Row],[ProductID]],Products[ProductID],Products[ProductName])</f>
        <v>Badminton Racket</v>
      </c>
      <c r="T209" t="str">
        <f>_xlfn.XLOOKUP(Orders[[#This Row],[ProductID]],Products[ProductID],Products[Category])</f>
        <v>Sports</v>
      </c>
    </row>
    <row r="210" spans="1:20" x14ac:dyDescent="0.25">
      <c r="A210" s="4" t="s">
        <v>365</v>
      </c>
      <c r="B210" s="5">
        <v>46001</v>
      </c>
      <c r="C210" s="15">
        <f>WEEKNUM(Orders[[#This Row],[OrderDate]])</f>
        <v>50</v>
      </c>
      <c r="D210" s="15" t="str">
        <f>TEXT(Orders[[#This Row],[OrderDate]],"mmmm")</f>
        <v>December</v>
      </c>
      <c r="E210" s="4" t="s">
        <v>39</v>
      </c>
      <c r="F210" s="4" t="s">
        <v>253</v>
      </c>
      <c r="G210" s="4">
        <v>7</v>
      </c>
      <c r="H210" s="12">
        <v>15667.4</v>
      </c>
      <c r="I210" s="13">
        <v>13317.29</v>
      </c>
      <c r="J210" s="13">
        <f>Orders[[#This Row],[Quantity]]*Orders[[#This Row],[Selling Price]]</f>
        <v>109671.8</v>
      </c>
      <c r="K210" s="13">
        <f>Orders[[#This Row],[Quantity]]*Orders[[#This Row],[Cost Price]]</f>
        <v>93221.03</v>
      </c>
      <c r="L210" s="13">
        <f>Orders[[#This Row],[Revenue]]-Orders[[#This Row],[Expenses]]</f>
        <v>16450.770000000004</v>
      </c>
      <c r="M210" t="s">
        <v>2198</v>
      </c>
      <c r="N210" t="str">
        <f>_xlfn.XLOOKUP(Orders[[#This Row],[CustomerID]],Customers[CustomerID],Customers[CustomerName])</f>
        <v>Efe Adeyemi</v>
      </c>
      <c r="O210" t="str">
        <f>_xlfn.XLOOKUP(Orders[[#This Row],[CustomerID]],Customers[CustomerID],Customers[City])</f>
        <v>Florida</v>
      </c>
      <c r="P210" t="str">
        <f>_xlfn.XLOOKUP(Orders[[#This Row],[CustomerID]],Customers[CustomerID],Customers[Gender])</f>
        <v>Female</v>
      </c>
      <c r="Q210">
        <f>_xlfn.XLOOKUP(Orders[[#This Row],[CustomerID]],Customers[CustomerID],Customers[CustomerAge])</f>
        <v>20</v>
      </c>
      <c r="R210" t="str">
        <f>IF(Orders[[#This Row],[CustomerAge]]&gt;=35, "Older", "Young")</f>
        <v>Young</v>
      </c>
      <c r="S210" t="str">
        <f>_xlfn.XLOOKUP(Orders[[#This Row],[ProductID]],Products[ProductID],Products[ProductName])</f>
        <v>Nose Rings</v>
      </c>
      <c r="T210" t="str">
        <f>_xlfn.XLOOKUP(Orders[[#This Row],[ProductID]],Products[ProductID],Products[Category])</f>
        <v>Accessories</v>
      </c>
    </row>
    <row r="211" spans="1:20" x14ac:dyDescent="0.25">
      <c r="A211" s="4" t="s">
        <v>366</v>
      </c>
      <c r="B211" s="5">
        <v>45933</v>
      </c>
      <c r="C211" s="15">
        <f>WEEKNUM(Orders[[#This Row],[OrderDate]])</f>
        <v>40</v>
      </c>
      <c r="D211" s="15" t="str">
        <f>TEXT(Orders[[#This Row],[OrderDate]],"mmmm")</f>
        <v>October</v>
      </c>
      <c r="E211" s="4" t="s">
        <v>62</v>
      </c>
      <c r="F211" s="4" t="s">
        <v>208</v>
      </c>
      <c r="G211" s="4">
        <v>6</v>
      </c>
      <c r="H211" s="12">
        <v>13887.8</v>
      </c>
      <c r="I211" s="13">
        <v>11804.63</v>
      </c>
      <c r="J211" s="13">
        <f>Orders[[#This Row],[Quantity]]*Orders[[#This Row],[Selling Price]]</f>
        <v>83326.799999999988</v>
      </c>
      <c r="K211" s="13">
        <f>Orders[[#This Row],[Quantity]]*Orders[[#This Row],[Cost Price]]</f>
        <v>70827.78</v>
      </c>
      <c r="L211" s="13">
        <f>Orders[[#This Row],[Revenue]]-Orders[[#This Row],[Expenses]]</f>
        <v>12499.01999999999</v>
      </c>
      <c r="M211" t="s">
        <v>2216</v>
      </c>
      <c r="N211" t="str">
        <f>_xlfn.XLOOKUP(Orders[[#This Row],[CustomerID]],Customers[CustomerID],Customers[CustomerName])</f>
        <v>Ronke Okonkwo</v>
      </c>
      <c r="O211" t="str">
        <f>_xlfn.XLOOKUP(Orders[[#This Row],[CustomerID]],Customers[CustomerID],Customers[City])</f>
        <v>Texas</v>
      </c>
      <c r="P211" t="str">
        <f>_xlfn.XLOOKUP(Orders[[#This Row],[CustomerID]],Customers[CustomerID],Customers[Gender])</f>
        <v>Female</v>
      </c>
      <c r="Q211">
        <f>_xlfn.XLOOKUP(Orders[[#This Row],[CustomerID]],Customers[CustomerID],Customers[CustomerAge])</f>
        <v>36</v>
      </c>
      <c r="R211" t="str">
        <f>IF(Orders[[#This Row],[CustomerAge]]&gt;=35, "Older", "Young")</f>
        <v>Older</v>
      </c>
      <c r="S211" t="str">
        <f>_xlfn.XLOOKUP(Orders[[#This Row],[ProductID]],Products[ProductID],Products[ProductName])</f>
        <v>Skipping Rope</v>
      </c>
      <c r="T211" t="str">
        <f>_xlfn.XLOOKUP(Orders[[#This Row],[ProductID]],Products[ProductID],Products[Category])</f>
        <v>Sports</v>
      </c>
    </row>
    <row r="212" spans="1:20" x14ac:dyDescent="0.25">
      <c r="A212" s="4" t="s">
        <v>367</v>
      </c>
      <c r="B212" s="5">
        <v>46018</v>
      </c>
      <c r="C212" s="15">
        <f>WEEKNUM(Orders[[#This Row],[OrderDate]])</f>
        <v>52</v>
      </c>
      <c r="D212" s="15" t="str">
        <f>TEXT(Orders[[#This Row],[OrderDate]],"mmmm")</f>
        <v>December</v>
      </c>
      <c r="E212" s="4" t="s">
        <v>237</v>
      </c>
      <c r="F212" s="4" t="s">
        <v>20</v>
      </c>
      <c r="G212" s="4">
        <v>10</v>
      </c>
      <c r="H212" s="12">
        <v>19588.399999999998</v>
      </c>
      <c r="I212" s="13">
        <v>16650.14</v>
      </c>
      <c r="J212" s="13">
        <f>Orders[[#This Row],[Quantity]]*Orders[[#This Row],[Selling Price]]</f>
        <v>195883.99999999997</v>
      </c>
      <c r="K212" s="13">
        <f>Orders[[#This Row],[Quantity]]*Orders[[#This Row],[Cost Price]]</f>
        <v>166501.4</v>
      </c>
      <c r="L212" s="13">
        <f>Orders[[#This Row],[Revenue]]-Orders[[#This Row],[Expenses]]</f>
        <v>29382.599999999977</v>
      </c>
      <c r="M212" t="s">
        <v>2203</v>
      </c>
      <c r="N212" t="str">
        <f>_xlfn.XLOOKUP(Orders[[#This Row],[CustomerID]],Customers[CustomerID],Customers[CustomerName])</f>
        <v>Ronke Danladi</v>
      </c>
      <c r="O212" t="str">
        <f>_xlfn.XLOOKUP(Orders[[#This Row],[CustomerID]],Customers[CustomerID],Customers[City])</f>
        <v>Florida</v>
      </c>
      <c r="P212" t="str">
        <f>_xlfn.XLOOKUP(Orders[[#This Row],[CustomerID]],Customers[CustomerID],Customers[Gender])</f>
        <v>Female</v>
      </c>
      <c r="Q212">
        <f>_xlfn.XLOOKUP(Orders[[#This Row],[CustomerID]],Customers[CustomerID],Customers[CustomerAge])</f>
        <v>25</v>
      </c>
      <c r="R212" t="str">
        <f>IF(Orders[[#This Row],[CustomerAge]]&gt;=35, "Older", "Young")</f>
        <v>Young</v>
      </c>
      <c r="S212" t="str">
        <f>_xlfn.XLOOKUP(Orders[[#This Row],[ProductID]],Products[ProductID],Products[ProductName])</f>
        <v>Gym Bag</v>
      </c>
      <c r="T212" t="str">
        <f>_xlfn.XLOOKUP(Orders[[#This Row],[ProductID]],Products[ProductID],Products[Category])</f>
        <v>Gym</v>
      </c>
    </row>
    <row r="213" spans="1:20" x14ac:dyDescent="0.25">
      <c r="A213" s="4" t="s">
        <v>368</v>
      </c>
      <c r="B213" s="5">
        <v>45991</v>
      </c>
      <c r="C213" s="15">
        <f>WEEKNUM(Orders[[#This Row],[OrderDate]])</f>
        <v>49</v>
      </c>
      <c r="D213" s="15" t="str">
        <f>TEXT(Orders[[#This Row],[OrderDate]],"mmmm")</f>
        <v>November</v>
      </c>
      <c r="E213" s="4" t="s">
        <v>369</v>
      </c>
      <c r="F213" s="4" t="s">
        <v>189</v>
      </c>
      <c r="G213" s="4">
        <v>4</v>
      </c>
      <c r="H213" s="12">
        <v>12419</v>
      </c>
      <c r="I213" s="13">
        <v>10556.15</v>
      </c>
      <c r="J213" s="13">
        <f>Orders[[#This Row],[Quantity]]*Orders[[#This Row],[Selling Price]]</f>
        <v>49676</v>
      </c>
      <c r="K213" s="13">
        <f>Orders[[#This Row],[Quantity]]*Orders[[#This Row],[Cost Price]]</f>
        <v>42224.6</v>
      </c>
      <c r="L213" s="13">
        <f>Orders[[#This Row],[Revenue]]-Orders[[#This Row],[Expenses]]</f>
        <v>7451.4000000000015</v>
      </c>
      <c r="M213" t="s">
        <v>2219</v>
      </c>
      <c r="N213" t="str">
        <f>_xlfn.XLOOKUP(Orders[[#This Row],[CustomerID]],Customers[CustomerID],Customers[CustomerName])</f>
        <v>Ibrahim Bello</v>
      </c>
      <c r="O213" t="str">
        <f>_xlfn.XLOOKUP(Orders[[#This Row],[CustomerID]],Customers[CustomerID],Customers[City])</f>
        <v>Washington</v>
      </c>
      <c r="P213" t="str">
        <f>_xlfn.XLOOKUP(Orders[[#This Row],[CustomerID]],Customers[CustomerID],Customers[Gender])</f>
        <v>Male</v>
      </c>
      <c r="Q213">
        <f>_xlfn.XLOOKUP(Orders[[#This Row],[CustomerID]],Customers[CustomerID],Customers[CustomerAge])</f>
        <v>40</v>
      </c>
      <c r="R213" t="str">
        <f>IF(Orders[[#This Row],[CustomerAge]]&gt;=35, "Older", "Young")</f>
        <v>Older</v>
      </c>
      <c r="S213" t="str">
        <f>_xlfn.XLOOKUP(Orders[[#This Row],[ProductID]],Products[ProductID],Products[ProductName])</f>
        <v>Scrabble</v>
      </c>
      <c r="T213" t="str">
        <f>_xlfn.XLOOKUP(Orders[[#This Row],[ProductID]],Products[ProductID],Products[Category])</f>
        <v>Games</v>
      </c>
    </row>
    <row r="214" spans="1:20" x14ac:dyDescent="0.25">
      <c r="A214" s="4" t="s">
        <v>370</v>
      </c>
      <c r="B214" s="5">
        <v>45978</v>
      </c>
      <c r="C214" s="15">
        <f>WEEKNUM(Orders[[#This Row],[OrderDate]])</f>
        <v>47</v>
      </c>
      <c r="D214" s="15" t="str">
        <f>TEXT(Orders[[#This Row],[OrderDate]],"mmmm")</f>
        <v>November</v>
      </c>
      <c r="E214" s="4" t="s">
        <v>239</v>
      </c>
      <c r="F214" s="4" t="s">
        <v>34</v>
      </c>
      <c r="G214" s="4">
        <v>7</v>
      </c>
      <c r="H214" s="12">
        <v>19236.7</v>
      </c>
      <c r="I214" s="13">
        <v>16351.195</v>
      </c>
      <c r="J214" s="13">
        <f>Orders[[#This Row],[Quantity]]*Orders[[#This Row],[Selling Price]]</f>
        <v>134656.9</v>
      </c>
      <c r="K214" s="13">
        <f>Orders[[#This Row],[Quantity]]*Orders[[#This Row],[Cost Price]]</f>
        <v>114458.36499999999</v>
      </c>
      <c r="L214" s="13">
        <f>Orders[[#This Row],[Revenue]]-Orders[[#This Row],[Expenses]]</f>
        <v>20198.535000000003</v>
      </c>
      <c r="M214" t="s">
        <v>2213</v>
      </c>
      <c r="N214" t="str">
        <f>_xlfn.XLOOKUP(Orders[[#This Row],[CustomerID]],Customers[CustomerID],Customers[CustomerName])</f>
        <v>Emeka Danladi</v>
      </c>
      <c r="O214" t="str">
        <f>_xlfn.XLOOKUP(Orders[[#This Row],[CustomerID]],Customers[CustomerID],Customers[City])</f>
        <v>Florida</v>
      </c>
      <c r="P214" t="str">
        <f>_xlfn.XLOOKUP(Orders[[#This Row],[CustomerID]],Customers[CustomerID],Customers[Gender])</f>
        <v>Male</v>
      </c>
      <c r="Q214">
        <f>_xlfn.XLOOKUP(Orders[[#This Row],[CustomerID]],Customers[CustomerID],Customers[CustomerAge])</f>
        <v>23</v>
      </c>
      <c r="R214" t="str">
        <f>IF(Orders[[#This Row],[CustomerAge]]&gt;=35, "Older", "Young")</f>
        <v>Young</v>
      </c>
      <c r="S214" t="str">
        <f>_xlfn.XLOOKUP(Orders[[#This Row],[ProductID]],Products[ProductID],Products[ProductName])</f>
        <v>Gold Bracelets</v>
      </c>
      <c r="T214" t="str">
        <f>_xlfn.XLOOKUP(Orders[[#This Row],[ProductID]],Products[ProductID],Products[Category])</f>
        <v>Accessories</v>
      </c>
    </row>
    <row r="215" spans="1:20" x14ac:dyDescent="0.25">
      <c r="A215" s="4" t="s">
        <v>371</v>
      </c>
      <c r="B215" s="5">
        <v>45942</v>
      </c>
      <c r="C215" s="15">
        <f>WEEKNUM(Orders[[#This Row],[OrderDate]])</f>
        <v>42</v>
      </c>
      <c r="D215" s="15" t="str">
        <f>TEXT(Orders[[#This Row],[OrderDate]],"mmmm")</f>
        <v>October</v>
      </c>
      <c r="E215" s="4" t="s">
        <v>180</v>
      </c>
      <c r="F215" s="4" t="s">
        <v>111</v>
      </c>
      <c r="G215" s="4">
        <v>7</v>
      </c>
      <c r="H215" s="12">
        <v>19149.3</v>
      </c>
      <c r="I215" s="13">
        <v>16276.904999999999</v>
      </c>
      <c r="J215" s="13">
        <f>Orders[[#This Row],[Quantity]]*Orders[[#This Row],[Selling Price]]</f>
        <v>134045.1</v>
      </c>
      <c r="K215" s="13">
        <f>Orders[[#This Row],[Quantity]]*Orders[[#This Row],[Cost Price]]</f>
        <v>113938.33499999999</v>
      </c>
      <c r="L215" s="13">
        <f>Orders[[#This Row],[Revenue]]-Orders[[#This Row],[Expenses]]</f>
        <v>20106.765000000014</v>
      </c>
      <c r="M215" t="s">
        <v>2215</v>
      </c>
      <c r="N215" t="str">
        <f>_xlfn.XLOOKUP(Orders[[#This Row],[CustomerID]],Customers[CustomerID],Customers[CustomerName])</f>
        <v>Jide Okonkwo</v>
      </c>
      <c r="O215" t="str">
        <f>_xlfn.XLOOKUP(Orders[[#This Row],[CustomerID]],Customers[CustomerID],Customers[City])</f>
        <v>Texas</v>
      </c>
      <c r="P215" t="str">
        <f>_xlfn.XLOOKUP(Orders[[#This Row],[CustomerID]],Customers[CustomerID],Customers[Gender])</f>
        <v>Male</v>
      </c>
      <c r="Q215">
        <f>_xlfn.XLOOKUP(Orders[[#This Row],[CustomerID]],Customers[CustomerID],Customers[CustomerAge])</f>
        <v>25</v>
      </c>
      <c r="R215" t="str">
        <f>IF(Orders[[#This Row],[CustomerAge]]&gt;=35, "Older", "Young")</f>
        <v>Young</v>
      </c>
      <c r="S215" t="str">
        <f>_xlfn.XLOOKUP(Orders[[#This Row],[ProductID]],Products[ProductID],Products[ProductName])</f>
        <v>Refrigerator</v>
      </c>
      <c r="T215" t="str">
        <f>_xlfn.XLOOKUP(Orders[[#This Row],[ProductID]],Products[ProductID],Products[Category])</f>
        <v>Electronics</v>
      </c>
    </row>
    <row r="216" spans="1:20" x14ac:dyDescent="0.25">
      <c r="A216" s="4" t="s">
        <v>372</v>
      </c>
      <c r="B216" s="5">
        <v>45946</v>
      </c>
      <c r="C216" s="15">
        <f>WEEKNUM(Orders[[#This Row],[OrderDate]])</f>
        <v>42</v>
      </c>
      <c r="D216" s="15" t="str">
        <f>TEXT(Orders[[#This Row],[OrderDate]],"mmmm")</f>
        <v>October</v>
      </c>
      <c r="E216" s="4" t="s">
        <v>154</v>
      </c>
      <c r="F216" s="4" t="s">
        <v>25</v>
      </c>
      <c r="G216" s="4">
        <v>4</v>
      </c>
      <c r="H216" s="12">
        <v>10217</v>
      </c>
      <c r="I216" s="13">
        <v>8684.4500000000007</v>
      </c>
      <c r="J216" s="13">
        <f>Orders[[#This Row],[Quantity]]*Orders[[#This Row],[Selling Price]]</f>
        <v>40868</v>
      </c>
      <c r="K216" s="13">
        <f>Orders[[#This Row],[Quantity]]*Orders[[#This Row],[Cost Price]]</f>
        <v>34737.800000000003</v>
      </c>
      <c r="L216" s="13">
        <f>Orders[[#This Row],[Revenue]]-Orders[[#This Row],[Expenses]]</f>
        <v>6130.1999999999971</v>
      </c>
      <c r="M216" t="s">
        <v>2209</v>
      </c>
      <c r="N216" t="str">
        <f>_xlfn.XLOOKUP(Orders[[#This Row],[CustomerID]],Customers[CustomerID],Customers[CustomerName])</f>
        <v>Ronke Danladi</v>
      </c>
      <c r="O216" t="str">
        <f>_xlfn.XLOOKUP(Orders[[#This Row],[CustomerID]],Customers[CustomerID],Customers[City])</f>
        <v>Illinois</v>
      </c>
      <c r="P216" t="str">
        <f>_xlfn.XLOOKUP(Orders[[#This Row],[CustomerID]],Customers[CustomerID],Customers[Gender])</f>
        <v>Female</v>
      </c>
      <c r="Q216">
        <f>_xlfn.XLOOKUP(Orders[[#This Row],[CustomerID]],Customers[CustomerID],Customers[CustomerAge])</f>
        <v>46</v>
      </c>
      <c r="R216" t="str">
        <f>IF(Orders[[#This Row],[CustomerAge]]&gt;=35, "Older", "Young")</f>
        <v>Older</v>
      </c>
      <c r="S216" t="str">
        <f>_xlfn.XLOOKUP(Orders[[#This Row],[ProductID]],Products[ProductID],Products[ProductName])</f>
        <v>Gold Rings</v>
      </c>
      <c r="T216" t="str">
        <f>_xlfn.XLOOKUP(Orders[[#This Row],[ProductID]],Products[ProductID],Products[Category])</f>
        <v>Accessories</v>
      </c>
    </row>
    <row r="217" spans="1:20" x14ac:dyDescent="0.25">
      <c r="A217" s="4" t="s">
        <v>373</v>
      </c>
      <c r="B217" s="5">
        <v>45945</v>
      </c>
      <c r="C217" s="15">
        <f>WEEKNUM(Orders[[#This Row],[OrderDate]])</f>
        <v>42</v>
      </c>
      <c r="D217" s="15" t="str">
        <f>TEXT(Orders[[#This Row],[OrderDate]],"mmmm")</f>
        <v>October</v>
      </c>
      <c r="E217" s="4" t="s">
        <v>374</v>
      </c>
      <c r="F217" s="4" t="s">
        <v>111</v>
      </c>
      <c r="G217" s="4">
        <v>10</v>
      </c>
      <c r="H217" s="12">
        <v>3127.7999999999997</v>
      </c>
      <c r="I217" s="13">
        <v>2658.6299999999997</v>
      </c>
      <c r="J217" s="13">
        <f>Orders[[#This Row],[Quantity]]*Orders[[#This Row],[Selling Price]]</f>
        <v>31277.999999999996</v>
      </c>
      <c r="K217" s="13">
        <f>Orders[[#This Row],[Quantity]]*Orders[[#This Row],[Cost Price]]</f>
        <v>26586.299999999996</v>
      </c>
      <c r="L217" s="13">
        <f>Orders[[#This Row],[Revenue]]-Orders[[#This Row],[Expenses]]</f>
        <v>4691.7000000000007</v>
      </c>
      <c r="M217" t="s">
        <v>2205</v>
      </c>
      <c r="N217" t="str">
        <f>_xlfn.XLOOKUP(Orders[[#This Row],[CustomerID]],Customers[CustomerID],Customers[CustomerName])</f>
        <v>Uche Okonkwo</v>
      </c>
      <c r="O217" t="str">
        <f>_xlfn.XLOOKUP(Orders[[#This Row],[CustomerID]],Customers[CustomerID],Customers[City])</f>
        <v>Texas</v>
      </c>
      <c r="P217" t="str">
        <f>_xlfn.XLOOKUP(Orders[[#This Row],[CustomerID]],Customers[CustomerID],Customers[Gender])</f>
        <v>Male</v>
      </c>
      <c r="Q217">
        <f>_xlfn.XLOOKUP(Orders[[#This Row],[CustomerID]],Customers[CustomerID],Customers[CustomerAge])</f>
        <v>27</v>
      </c>
      <c r="R217" t="str">
        <f>IF(Orders[[#This Row],[CustomerAge]]&gt;=35, "Older", "Young")</f>
        <v>Young</v>
      </c>
      <c r="S217" t="str">
        <f>_xlfn.XLOOKUP(Orders[[#This Row],[ProductID]],Products[ProductID],Products[ProductName])</f>
        <v>Refrigerator</v>
      </c>
      <c r="T217" t="str">
        <f>_xlfn.XLOOKUP(Orders[[#This Row],[ProductID]],Products[ProductID],Products[Category])</f>
        <v>Electronics</v>
      </c>
    </row>
    <row r="218" spans="1:20" x14ac:dyDescent="0.25">
      <c r="A218" s="4" t="s">
        <v>375</v>
      </c>
      <c r="B218" s="5">
        <v>45983</v>
      </c>
      <c r="C218" s="15">
        <f>WEEKNUM(Orders[[#This Row],[OrderDate]])</f>
        <v>47</v>
      </c>
      <c r="D218" s="15" t="str">
        <f>TEXT(Orders[[#This Row],[OrderDate]],"mmmm")</f>
        <v>November</v>
      </c>
      <c r="E218" s="4" t="s">
        <v>59</v>
      </c>
      <c r="F218" s="4" t="s">
        <v>353</v>
      </c>
      <c r="G218" s="4">
        <v>7</v>
      </c>
      <c r="H218" s="12">
        <v>12752.2</v>
      </c>
      <c r="I218" s="13">
        <v>10839.37</v>
      </c>
      <c r="J218" s="13">
        <f>Orders[[#This Row],[Quantity]]*Orders[[#This Row],[Selling Price]]</f>
        <v>89265.400000000009</v>
      </c>
      <c r="K218" s="13">
        <f>Orders[[#This Row],[Quantity]]*Orders[[#This Row],[Cost Price]]</f>
        <v>75875.590000000011</v>
      </c>
      <c r="L218" s="13">
        <f>Orders[[#This Row],[Revenue]]-Orders[[#This Row],[Expenses]]</f>
        <v>13389.809999999998</v>
      </c>
      <c r="M218" t="s">
        <v>2209</v>
      </c>
      <c r="N218" t="str">
        <f>_xlfn.XLOOKUP(Orders[[#This Row],[CustomerID]],Customers[CustomerID],Customers[CustomerName])</f>
        <v>Adanma Danladi</v>
      </c>
      <c r="O218" t="str">
        <f>_xlfn.XLOOKUP(Orders[[#This Row],[CustomerID]],Customers[CustomerID],Customers[City])</f>
        <v>Texas</v>
      </c>
      <c r="P218" t="str">
        <f>_xlfn.XLOOKUP(Orders[[#This Row],[CustomerID]],Customers[CustomerID],Customers[Gender])</f>
        <v>Female</v>
      </c>
      <c r="Q218">
        <f>_xlfn.XLOOKUP(Orders[[#This Row],[CustomerID]],Customers[CustomerID],Customers[CustomerAge])</f>
        <v>24</v>
      </c>
      <c r="R218" t="str">
        <f>IF(Orders[[#This Row],[CustomerAge]]&gt;=35, "Older", "Young")</f>
        <v>Young</v>
      </c>
      <c r="S218" t="str">
        <f>_xlfn.XLOOKUP(Orders[[#This Row],[ProductID]],Products[ProductID],Products[ProductName])</f>
        <v>Silver Earrings And Necklaces</v>
      </c>
      <c r="T218" t="str">
        <f>_xlfn.XLOOKUP(Orders[[#This Row],[ProductID]],Products[ProductID],Products[Category])</f>
        <v>Accessories</v>
      </c>
    </row>
    <row r="219" spans="1:20" x14ac:dyDescent="0.25">
      <c r="A219" s="4" t="s">
        <v>376</v>
      </c>
      <c r="B219" s="5">
        <v>45941</v>
      </c>
      <c r="C219" s="15">
        <f>WEEKNUM(Orders[[#This Row],[OrderDate]])</f>
        <v>41</v>
      </c>
      <c r="D219" s="15" t="str">
        <f>TEXT(Orders[[#This Row],[OrderDate]],"mmmm")</f>
        <v>October</v>
      </c>
      <c r="E219" s="4" t="s">
        <v>229</v>
      </c>
      <c r="F219" s="4" t="s">
        <v>81</v>
      </c>
      <c r="G219" s="4">
        <v>7</v>
      </c>
      <c r="H219" s="12">
        <v>552.20000000000005</v>
      </c>
      <c r="I219" s="13">
        <v>469.37000000000006</v>
      </c>
      <c r="J219" s="13">
        <f>Orders[[#This Row],[Quantity]]*Orders[[#This Row],[Selling Price]]</f>
        <v>3865.4000000000005</v>
      </c>
      <c r="K219" s="13">
        <f>Orders[[#This Row],[Quantity]]*Orders[[#This Row],[Cost Price]]</f>
        <v>3285.5900000000006</v>
      </c>
      <c r="L219" s="13">
        <f>Orders[[#This Row],[Revenue]]-Orders[[#This Row],[Expenses]]</f>
        <v>579.80999999999995</v>
      </c>
      <c r="M219" t="s">
        <v>2205</v>
      </c>
      <c r="N219" t="str">
        <f>_xlfn.XLOOKUP(Orders[[#This Row],[CustomerID]],Customers[CustomerID],Customers[CustomerName])</f>
        <v>Uche Abubakar</v>
      </c>
      <c r="O219" t="str">
        <f>_xlfn.XLOOKUP(Orders[[#This Row],[CustomerID]],Customers[CustomerID],Customers[City])</f>
        <v>Florida</v>
      </c>
      <c r="P219" t="str">
        <f>_xlfn.XLOOKUP(Orders[[#This Row],[CustomerID]],Customers[CustomerID],Customers[Gender])</f>
        <v>Male</v>
      </c>
      <c r="Q219">
        <f>_xlfn.XLOOKUP(Orders[[#This Row],[CustomerID]],Customers[CustomerID],Customers[CustomerAge])</f>
        <v>43</v>
      </c>
      <c r="R219" t="str">
        <f>IF(Orders[[#This Row],[CustomerAge]]&gt;=35, "Older", "Young")</f>
        <v>Older</v>
      </c>
      <c r="S219" t="str">
        <f>_xlfn.XLOOKUP(Orders[[#This Row],[ProductID]],Products[ProductID],Products[ProductName])</f>
        <v>Trousers</v>
      </c>
      <c r="T219" t="str">
        <f>_xlfn.XLOOKUP(Orders[[#This Row],[ProductID]],Products[ProductID],Products[Category])</f>
        <v>Clothing</v>
      </c>
    </row>
    <row r="220" spans="1:20" x14ac:dyDescent="0.25">
      <c r="A220" s="4" t="s">
        <v>377</v>
      </c>
      <c r="B220" s="5">
        <v>45991</v>
      </c>
      <c r="C220" s="15">
        <f>WEEKNUM(Orders[[#This Row],[OrderDate]])</f>
        <v>49</v>
      </c>
      <c r="D220" s="15" t="str">
        <f>TEXT(Orders[[#This Row],[OrderDate]],"mmmm")</f>
        <v>November</v>
      </c>
      <c r="E220" s="4" t="s">
        <v>124</v>
      </c>
      <c r="F220" s="4" t="s">
        <v>9</v>
      </c>
      <c r="G220" s="4">
        <v>7</v>
      </c>
      <c r="H220" s="12">
        <v>18935</v>
      </c>
      <c r="I220" s="13">
        <v>16094.75</v>
      </c>
      <c r="J220" s="13">
        <f>Orders[[#This Row],[Quantity]]*Orders[[#This Row],[Selling Price]]</f>
        <v>132545</v>
      </c>
      <c r="K220" s="13">
        <f>Orders[[#This Row],[Quantity]]*Orders[[#This Row],[Cost Price]]</f>
        <v>112663.25</v>
      </c>
      <c r="L220" s="13">
        <f>Orders[[#This Row],[Revenue]]-Orders[[#This Row],[Expenses]]</f>
        <v>19881.75</v>
      </c>
      <c r="M220" t="s">
        <v>2207</v>
      </c>
      <c r="N220" t="str">
        <f>_xlfn.XLOOKUP(Orders[[#This Row],[CustomerID]],Customers[CustomerID],Customers[CustomerName])</f>
        <v>Ngozi Ojo</v>
      </c>
      <c r="O220" t="str">
        <f>_xlfn.XLOOKUP(Orders[[#This Row],[CustomerID]],Customers[CustomerID],Customers[City])</f>
        <v>Texas</v>
      </c>
      <c r="P220" t="str">
        <f>_xlfn.XLOOKUP(Orders[[#This Row],[CustomerID]],Customers[CustomerID],Customers[Gender])</f>
        <v>Female</v>
      </c>
      <c r="Q220">
        <f>_xlfn.XLOOKUP(Orders[[#This Row],[CustomerID]],Customers[CustomerID],Customers[CustomerAge])</f>
        <v>22</v>
      </c>
      <c r="R220" t="str">
        <f>IF(Orders[[#This Row],[CustomerAge]]&gt;=35, "Older", "Young")</f>
        <v>Young</v>
      </c>
      <c r="S220" t="str">
        <f>_xlfn.XLOOKUP(Orders[[#This Row],[ProductID]],Products[ProductID],Products[ProductName])</f>
        <v>Beaded Earrings And Necklaces</v>
      </c>
      <c r="T220" t="str">
        <f>_xlfn.XLOOKUP(Orders[[#This Row],[ProductID]],Products[ProductID],Products[Category])</f>
        <v>Accessories</v>
      </c>
    </row>
    <row r="221" spans="1:20" x14ac:dyDescent="0.25">
      <c r="A221" s="4" t="s">
        <v>378</v>
      </c>
      <c r="B221" s="5">
        <v>45968</v>
      </c>
      <c r="C221" s="15">
        <f>WEEKNUM(Orders[[#This Row],[OrderDate]])</f>
        <v>45</v>
      </c>
      <c r="D221" s="15" t="str">
        <f>TEXT(Orders[[#This Row],[OrderDate]],"mmmm")</f>
        <v>November</v>
      </c>
      <c r="E221" s="4" t="s">
        <v>122</v>
      </c>
      <c r="F221" s="4" t="s">
        <v>70</v>
      </c>
      <c r="G221" s="4">
        <v>7</v>
      </c>
      <c r="H221" s="12">
        <v>13534.7</v>
      </c>
      <c r="I221" s="13">
        <v>11504.495000000001</v>
      </c>
      <c r="J221" s="13">
        <f>Orders[[#This Row],[Quantity]]*Orders[[#This Row],[Selling Price]]</f>
        <v>94742.900000000009</v>
      </c>
      <c r="K221" s="13">
        <f>Orders[[#This Row],[Quantity]]*Orders[[#This Row],[Cost Price]]</f>
        <v>80531.465000000011</v>
      </c>
      <c r="L221" s="13">
        <f>Orders[[#This Row],[Revenue]]-Orders[[#This Row],[Expenses]]</f>
        <v>14211.434999999998</v>
      </c>
      <c r="M221" t="s">
        <v>2210</v>
      </c>
      <c r="N221" t="str">
        <f>_xlfn.XLOOKUP(Orders[[#This Row],[CustomerID]],Customers[CustomerID],Customers[CustomerName])</f>
        <v>Ibrahim Eze</v>
      </c>
      <c r="O221" t="str">
        <f>_xlfn.XLOOKUP(Orders[[#This Row],[CustomerID]],Customers[CustomerID],Customers[City])</f>
        <v>Texas</v>
      </c>
      <c r="P221" t="str">
        <f>_xlfn.XLOOKUP(Orders[[#This Row],[CustomerID]],Customers[CustomerID],Customers[Gender])</f>
        <v>Male</v>
      </c>
      <c r="Q221">
        <f>_xlfn.XLOOKUP(Orders[[#This Row],[CustomerID]],Customers[CustomerID],Customers[CustomerAge])</f>
        <v>52</v>
      </c>
      <c r="R221" t="str">
        <f>IF(Orders[[#This Row],[CustomerAge]]&gt;=35, "Older", "Young")</f>
        <v>Older</v>
      </c>
      <c r="S221" t="str">
        <f>_xlfn.XLOOKUP(Orders[[#This Row],[ProductID]],Products[ProductID],Products[ProductName])</f>
        <v>Yoga Mat</v>
      </c>
      <c r="T221" t="str">
        <f>_xlfn.XLOOKUP(Orders[[#This Row],[ProductID]],Products[ProductID],Products[Category])</f>
        <v>Gym</v>
      </c>
    </row>
    <row r="222" spans="1:20" x14ac:dyDescent="0.25">
      <c r="A222" s="4" t="s">
        <v>379</v>
      </c>
      <c r="B222" s="5">
        <v>46000</v>
      </c>
      <c r="C222" s="15">
        <f>WEEKNUM(Orders[[#This Row],[OrderDate]])</f>
        <v>50</v>
      </c>
      <c r="D222" s="15" t="str">
        <f>TEXT(Orders[[#This Row],[OrderDate]],"mmmm")</f>
        <v>December</v>
      </c>
      <c r="E222" s="4" t="s">
        <v>203</v>
      </c>
      <c r="F222" s="4" t="s">
        <v>31</v>
      </c>
      <c r="G222" s="4">
        <v>10</v>
      </c>
      <c r="H222" s="12">
        <v>19707.8</v>
      </c>
      <c r="I222" s="13">
        <v>16751.63</v>
      </c>
      <c r="J222" s="13">
        <f>Orders[[#This Row],[Quantity]]*Orders[[#This Row],[Selling Price]]</f>
        <v>197078</v>
      </c>
      <c r="K222" s="13">
        <f>Orders[[#This Row],[Quantity]]*Orders[[#This Row],[Cost Price]]</f>
        <v>167516.30000000002</v>
      </c>
      <c r="L222" s="13">
        <f>Orders[[#This Row],[Revenue]]-Orders[[#This Row],[Expenses]]</f>
        <v>29561.699999999983</v>
      </c>
      <c r="M222" t="s">
        <v>2196</v>
      </c>
      <c r="N222" t="str">
        <f>_xlfn.XLOOKUP(Orders[[#This Row],[CustomerID]],Customers[CustomerID],Customers[CustomerName])</f>
        <v>Okon Bello</v>
      </c>
      <c r="O222" t="str">
        <f>_xlfn.XLOOKUP(Orders[[#This Row],[CustomerID]],Customers[CustomerID],Customers[City])</f>
        <v>Texas</v>
      </c>
      <c r="P222" t="str">
        <f>_xlfn.XLOOKUP(Orders[[#This Row],[CustomerID]],Customers[CustomerID],Customers[Gender])</f>
        <v>Male</v>
      </c>
      <c r="Q222">
        <f>_xlfn.XLOOKUP(Orders[[#This Row],[CustomerID]],Customers[CustomerID],Customers[CustomerAge])</f>
        <v>20</v>
      </c>
      <c r="R222" t="str">
        <f>IF(Orders[[#This Row],[CustomerAge]]&gt;=35, "Older", "Young")</f>
        <v>Young</v>
      </c>
      <c r="S222" t="str">
        <f>_xlfn.XLOOKUP(Orders[[#This Row],[ProductID]],Products[ProductID],Products[ProductName])</f>
        <v>Kids Games</v>
      </c>
      <c r="T222" t="str">
        <f>_xlfn.XLOOKUP(Orders[[#This Row],[ProductID]],Products[ProductID],Products[Category])</f>
        <v>Games</v>
      </c>
    </row>
    <row r="223" spans="1:20" x14ac:dyDescent="0.25">
      <c r="A223" s="4" t="s">
        <v>380</v>
      </c>
      <c r="B223" s="5">
        <v>45999</v>
      </c>
      <c r="C223" s="15">
        <f>WEEKNUM(Orders[[#This Row],[OrderDate]])</f>
        <v>50</v>
      </c>
      <c r="D223" s="15" t="str">
        <f>TEXT(Orders[[#This Row],[OrderDate]],"mmmm")</f>
        <v>December</v>
      </c>
      <c r="E223" s="4" t="s">
        <v>55</v>
      </c>
      <c r="F223" s="4" t="s">
        <v>20</v>
      </c>
      <c r="G223" s="4">
        <v>5</v>
      </c>
      <c r="H223" s="12">
        <v>14827.9</v>
      </c>
      <c r="I223" s="13">
        <v>12603.715</v>
      </c>
      <c r="J223" s="13">
        <f>Orders[[#This Row],[Quantity]]*Orders[[#This Row],[Selling Price]]</f>
        <v>74139.5</v>
      </c>
      <c r="K223" s="13">
        <f>Orders[[#This Row],[Quantity]]*Orders[[#This Row],[Cost Price]]</f>
        <v>63018.574999999997</v>
      </c>
      <c r="L223" s="13">
        <f>Orders[[#This Row],[Revenue]]-Orders[[#This Row],[Expenses]]</f>
        <v>11120.925000000003</v>
      </c>
      <c r="M223" t="s">
        <v>2211</v>
      </c>
      <c r="N223" t="str">
        <f>_xlfn.XLOOKUP(Orders[[#This Row],[CustomerID]],Customers[CustomerID],Customers[CustomerName])</f>
        <v>Adanma Ojo</v>
      </c>
      <c r="O223" t="str">
        <f>_xlfn.XLOOKUP(Orders[[#This Row],[CustomerID]],Customers[CustomerID],Customers[City])</f>
        <v>California</v>
      </c>
      <c r="P223" t="str">
        <f>_xlfn.XLOOKUP(Orders[[#This Row],[CustomerID]],Customers[CustomerID],Customers[Gender])</f>
        <v>Female</v>
      </c>
      <c r="Q223">
        <f>_xlfn.XLOOKUP(Orders[[#This Row],[CustomerID]],Customers[CustomerID],Customers[CustomerAge])</f>
        <v>48</v>
      </c>
      <c r="R223" t="str">
        <f>IF(Orders[[#This Row],[CustomerAge]]&gt;=35, "Older", "Young")</f>
        <v>Older</v>
      </c>
      <c r="S223" t="str">
        <f>_xlfn.XLOOKUP(Orders[[#This Row],[ProductID]],Products[ProductID],Products[ProductName])</f>
        <v>Gym Bag</v>
      </c>
      <c r="T223" t="str">
        <f>_xlfn.XLOOKUP(Orders[[#This Row],[ProductID]],Products[ProductID],Products[Category])</f>
        <v>Gym</v>
      </c>
    </row>
    <row r="224" spans="1:20" x14ac:dyDescent="0.25">
      <c r="A224" s="4" t="s">
        <v>381</v>
      </c>
      <c r="B224" s="5">
        <v>46013</v>
      </c>
      <c r="C224" s="15">
        <f>WEEKNUM(Orders[[#This Row],[OrderDate]])</f>
        <v>52</v>
      </c>
      <c r="D224" s="15" t="str">
        <f>TEXT(Orders[[#This Row],[OrderDate]],"mmmm")</f>
        <v>December</v>
      </c>
      <c r="E224" s="4" t="s">
        <v>55</v>
      </c>
      <c r="F224" s="4" t="s">
        <v>20</v>
      </c>
      <c r="G224" s="4">
        <v>6</v>
      </c>
      <c r="H224" s="12">
        <v>2194.1</v>
      </c>
      <c r="I224" s="13">
        <v>1864.9849999999999</v>
      </c>
      <c r="J224" s="13">
        <f>Orders[[#This Row],[Quantity]]*Orders[[#This Row],[Selling Price]]</f>
        <v>13164.599999999999</v>
      </c>
      <c r="K224" s="13">
        <f>Orders[[#This Row],[Quantity]]*Orders[[#This Row],[Cost Price]]</f>
        <v>11189.91</v>
      </c>
      <c r="L224" s="13">
        <f>Orders[[#This Row],[Revenue]]-Orders[[#This Row],[Expenses]]</f>
        <v>1974.6899999999987</v>
      </c>
      <c r="M224" t="s">
        <v>2208</v>
      </c>
      <c r="N224" t="str">
        <f>_xlfn.XLOOKUP(Orders[[#This Row],[CustomerID]],Customers[CustomerID],Customers[CustomerName])</f>
        <v>Adanma Ojo</v>
      </c>
      <c r="O224" t="str">
        <f>_xlfn.XLOOKUP(Orders[[#This Row],[CustomerID]],Customers[CustomerID],Customers[City])</f>
        <v>California</v>
      </c>
      <c r="P224" t="str">
        <f>_xlfn.XLOOKUP(Orders[[#This Row],[CustomerID]],Customers[CustomerID],Customers[Gender])</f>
        <v>Female</v>
      </c>
      <c r="Q224">
        <f>_xlfn.XLOOKUP(Orders[[#This Row],[CustomerID]],Customers[CustomerID],Customers[CustomerAge])</f>
        <v>48</v>
      </c>
      <c r="R224" t="str">
        <f>IF(Orders[[#This Row],[CustomerAge]]&gt;=35, "Older", "Young")</f>
        <v>Older</v>
      </c>
      <c r="S224" t="str">
        <f>_xlfn.XLOOKUP(Orders[[#This Row],[ProductID]],Products[ProductID],Products[ProductName])</f>
        <v>Gym Bag</v>
      </c>
      <c r="T224" t="str">
        <f>_xlfn.XLOOKUP(Orders[[#This Row],[ProductID]],Products[ProductID],Products[Category])</f>
        <v>Gym</v>
      </c>
    </row>
    <row r="225" spans="1:20" x14ac:dyDescent="0.25">
      <c r="A225" s="4" t="s">
        <v>382</v>
      </c>
      <c r="B225" s="5">
        <v>46016</v>
      </c>
      <c r="C225" s="15">
        <f>WEEKNUM(Orders[[#This Row],[OrderDate]])</f>
        <v>52</v>
      </c>
      <c r="D225" s="15" t="str">
        <f>TEXT(Orders[[#This Row],[OrderDate]],"mmmm")</f>
        <v>December</v>
      </c>
      <c r="E225" s="4" t="s">
        <v>383</v>
      </c>
      <c r="F225" s="4" t="s">
        <v>60</v>
      </c>
      <c r="G225" s="4">
        <v>3</v>
      </c>
      <c r="H225" s="12">
        <v>838.19999999999993</v>
      </c>
      <c r="I225" s="13">
        <v>712.46999999999991</v>
      </c>
      <c r="J225" s="13">
        <f>Orders[[#This Row],[Quantity]]*Orders[[#This Row],[Selling Price]]</f>
        <v>2514.6</v>
      </c>
      <c r="K225" s="13">
        <f>Orders[[#This Row],[Quantity]]*Orders[[#This Row],[Cost Price]]</f>
        <v>2137.41</v>
      </c>
      <c r="L225" s="13">
        <f>Orders[[#This Row],[Revenue]]-Orders[[#This Row],[Expenses]]</f>
        <v>377.19000000000005</v>
      </c>
      <c r="M225" t="s">
        <v>2204</v>
      </c>
      <c r="N225" t="str">
        <f>_xlfn.XLOOKUP(Orders[[#This Row],[CustomerID]],Customers[CustomerID],Customers[CustomerName])</f>
        <v>Ibrahim Balogun</v>
      </c>
      <c r="O225" t="str">
        <f>_xlfn.XLOOKUP(Orders[[#This Row],[CustomerID]],Customers[CustomerID],Customers[City])</f>
        <v>Florida</v>
      </c>
      <c r="P225" t="str">
        <f>_xlfn.XLOOKUP(Orders[[#This Row],[CustomerID]],Customers[CustomerID],Customers[Gender])</f>
        <v>Male</v>
      </c>
      <c r="Q225">
        <f>_xlfn.XLOOKUP(Orders[[#This Row],[CustomerID]],Customers[CustomerID],Customers[CustomerAge])</f>
        <v>27</v>
      </c>
      <c r="R225" t="str">
        <f>IF(Orders[[#This Row],[CustomerAge]]&gt;=35, "Older", "Young")</f>
        <v>Young</v>
      </c>
      <c r="S225" t="str">
        <f>_xlfn.XLOOKUP(Orders[[#This Row],[ProductID]],Products[ProductID],Products[ProductName])</f>
        <v>Silver Rings</v>
      </c>
      <c r="T225" t="str">
        <f>_xlfn.XLOOKUP(Orders[[#This Row],[ProductID]],Products[ProductID],Products[Category])</f>
        <v>Accessories</v>
      </c>
    </row>
    <row r="226" spans="1:20" x14ac:dyDescent="0.25">
      <c r="A226" s="4" t="s">
        <v>384</v>
      </c>
      <c r="B226" s="5">
        <v>45980</v>
      </c>
      <c r="C226" s="15">
        <f>WEEKNUM(Orders[[#This Row],[OrderDate]])</f>
        <v>47</v>
      </c>
      <c r="D226" s="15" t="str">
        <f>TEXT(Orders[[#This Row],[OrderDate]],"mmmm")</f>
        <v>November</v>
      </c>
      <c r="E226" s="4" t="s">
        <v>314</v>
      </c>
      <c r="F226" s="4" t="s">
        <v>151</v>
      </c>
      <c r="G226" s="4">
        <v>7</v>
      </c>
      <c r="H226" s="12">
        <v>763.9</v>
      </c>
      <c r="I226" s="13">
        <v>649.31499999999994</v>
      </c>
      <c r="J226" s="13">
        <f>Orders[[#This Row],[Quantity]]*Orders[[#This Row],[Selling Price]]</f>
        <v>5347.3</v>
      </c>
      <c r="K226" s="13">
        <f>Orders[[#This Row],[Quantity]]*Orders[[#This Row],[Cost Price]]</f>
        <v>4545.2049999999999</v>
      </c>
      <c r="L226" s="13">
        <f>Orders[[#This Row],[Revenue]]-Orders[[#This Row],[Expenses]]</f>
        <v>802.09500000000025</v>
      </c>
      <c r="M226" t="s">
        <v>2217</v>
      </c>
      <c r="N226" t="str">
        <f>_xlfn.XLOOKUP(Orders[[#This Row],[CustomerID]],Customers[CustomerID],Customers[CustomerName])</f>
        <v>Bisi Ojo</v>
      </c>
      <c r="O226" t="str">
        <f>_xlfn.XLOOKUP(Orders[[#This Row],[CustomerID]],Customers[CustomerID],Customers[City])</f>
        <v>Washington</v>
      </c>
      <c r="P226" t="str">
        <f>_xlfn.XLOOKUP(Orders[[#This Row],[CustomerID]],Customers[CustomerID],Customers[Gender])</f>
        <v>Female</v>
      </c>
      <c r="Q226">
        <f>_xlfn.XLOOKUP(Orders[[#This Row],[CustomerID]],Customers[CustomerID],Customers[CustomerAge])</f>
        <v>18</v>
      </c>
      <c r="R226" t="str">
        <f>IF(Orders[[#This Row],[CustomerAge]]&gt;=35, "Older", "Young")</f>
        <v>Young</v>
      </c>
      <c r="S226" t="str">
        <f>_xlfn.XLOOKUP(Orders[[#This Row],[ProductID]],Products[ProductID],Products[ProductName])</f>
        <v>Checkers</v>
      </c>
      <c r="T226" t="str">
        <f>_xlfn.XLOOKUP(Orders[[#This Row],[ProductID]],Products[ProductID],Products[Category])</f>
        <v>Games</v>
      </c>
    </row>
    <row r="227" spans="1:20" x14ac:dyDescent="0.25">
      <c r="A227" s="4" t="s">
        <v>385</v>
      </c>
      <c r="B227" s="5">
        <v>45988</v>
      </c>
      <c r="C227" s="15">
        <f>WEEKNUM(Orders[[#This Row],[OrderDate]])</f>
        <v>48</v>
      </c>
      <c r="D227" s="15" t="str">
        <f>TEXT(Orders[[#This Row],[OrderDate]],"mmmm")</f>
        <v>November</v>
      </c>
      <c r="E227" s="4" t="s">
        <v>386</v>
      </c>
      <c r="F227" s="4" t="s">
        <v>25</v>
      </c>
      <c r="G227" s="4">
        <v>7</v>
      </c>
      <c r="H227" s="12">
        <v>11305.599999999999</v>
      </c>
      <c r="I227" s="13">
        <v>9609.7599999999984</v>
      </c>
      <c r="J227" s="13">
        <f>Orders[[#This Row],[Quantity]]*Orders[[#This Row],[Selling Price]]</f>
        <v>79139.199999999983</v>
      </c>
      <c r="K227" s="13">
        <f>Orders[[#This Row],[Quantity]]*Orders[[#This Row],[Cost Price]]</f>
        <v>67268.319999999992</v>
      </c>
      <c r="L227" s="13">
        <f>Orders[[#This Row],[Revenue]]-Orders[[#This Row],[Expenses]]</f>
        <v>11870.87999999999</v>
      </c>
      <c r="M227" t="s">
        <v>2213</v>
      </c>
      <c r="N227" t="str">
        <f>_xlfn.XLOOKUP(Orders[[#This Row],[CustomerID]],Customers[CustomerID],Customers[CustomerName])</f>
        <v>Chinedu Eze</v>
      </c>
      <c r="O227" t="str">
        <f>_xlfn.XLOOKUP(Orders[[#This Row],[CustomerID]],Customers[CustomerID],Customers[City])</f>
        <v>Washington</v>
      </c>
      <c r="P227" t="str">
        <f>_xlfn.XLOOKUP(Orders[[#This Row],[CustomerID]],Customers[CustomerID],Customers[Gender])</f>
        <v>Male</v>
      </c>
      <c r="Q227">
        <f>_xlfn.XLOOKUP(Orders[[#This Row],[CustomerID]],Customers[CustomerID],Customers[CustomerAge])</f>
        <v>32</v>
      </c>
      <c r="R227" t="str">
        <f>IF(Orders[[#This Row],[CustomerAge]]&gt;=35, "Older", "Young")</f>
        <v>Young</v>
      </c>
      <c r="S227" t="str">
        <f>_xlfn.XLOOKUP(Orders[[#This Row],[ProductID]],Products[ProductID],Products[ProductName])</f>
        <v>Gold Rings</v>
      </c>
      <c r="T227" t="str">
        <f>_xlfn.XLOOKUP(Orders[[#This Row],[ProductID]],Products[ProductID],Products[Category])</f>
        <v>Accessories</v>
      </c>
    </row>
    <row r="228" spans="1:20" x14ac:dyDescent="0.25">
      <c r="A228" s="4" t="s">
        <v>387</v>
      </c>
      <c r="B228" s="5">
        <v>46015</v>
      </c>
      <c r="C228" s="15">
        <f>WEEKNUM(Orders[[#This Row],[OrderDate]])</f>
        <v>52</v>
      </c>
      <c r="D228" s="15" t="str">
        <f>TEXT(Orders[[#This Row],[OrderDate]],"mmmm")</f>
        <v>December</v>
      </c>
      <c r="E228" s="4" t="s">
        <v>388</v>
      </c>
      <c r="F228" s="4" t="s">
        <v>46</v>
      </c>
      <c r="G228" s="4">
        <v>2</v>
      </c>
      <c r="H228" s="12">
        <v>15500.2</v>
      </c>
      <c r="I228" s="13">
        <v>13175.17</v>
      </c>
      <c r="J228" s="13">
        <f>Orders[[#This Row],[Quantity]]*Orders[[#This Row],[Selling Price]]</f>
        <v>31000.400000000001</v>
      </c>
      <c r="K228" s="13">
        <f>Orders[[#This Row],[Quantity]]*Orders[[#This Row],[Cost Price]]</f>
        <v>26350.34</v>
      </c>
      <c r="L228" s="13">
        <f>Orders[[#This Row],[Revenue]]-Orders[[#This Row],[Expenses]]</f>
        <v>4650.0600000000013</v>
      </c>
      <c r="M228" t="s">
        <v>2216</v>
      </c>
      <c r="N228" t="str">
        <f>_xlfn.XLOOKUP(Orders[[#This Row],[CustomerID]],Customers[CustomerID],Customers[CustomerName])</f>
        <v>Folasade Okonkwo</v>
      </c>
      <c r="O228" t="str">
        <f>_xlfn.XLOOKUP(Orders[[#This Row],[CustomerID]],Customers[CustomerID],Customers[City])</f>
        <v>Washington</v>
      </c>
      <c r="P228" t="str">
        <f>_xlfn.XLOOKUP(Orders[[#This Row],[CustomerID]],Customers[CustomerID],Customers[Gender])</f>
        <v>Female</v>
      </c>
      <c r="Q228">
        <f>_xlfn.XLOOKUP(Orders[[#This Row],[CustomerID]],Customers[CustomerID],Customers[CustomerAge])</f>
        <v>52</v>
      </c>
      <c r="R228" t="str">
        <f>IF(Orders[[#This Row],[CustomerAge]]&gt;=35, "Older", "Young")</f>
        <v>Older</v>
      </c>
      <c r="S228" t="str">
        <f>_xlfn.XLOOKUP(Orders[[#This Row],[ProductID]],Products[ProductID],Products[ProductName])</f>
        <v>Turtle Neck</v>
      </c>
      <c r="T228" t="str">
        <f>_xlfn.XLOOKUP(Orders[[#This Row],[ProductID]],Products[ProductID],Products[Category])</f>
        <v>Clothing</v>
      </c>
    </row>
    <row r="229" spans="1:20" x14ac:dyDescent="0.25">
      <c r="A229" s="4" t="s">
        <v>389</v>
      </c>
      <c r="B229" s="5">
        <v>45932</v>
      </c>
      <c r="C229" s="15">
        <f>WEEKNUM(Orders[[#This Row],[OrderDate]])</f>
        <v>40</v>
      </c>
      <c r="D229" s="15" t="str">
        <f>TEXT(Orders[[#This Row],[OrderDate]],"mmmm")</f>
        <v>October</v>
      </c>
      <c r="E229" s="4" t="s">
        <v>320</v>
      </c>
      <c r="F229" s="4" t="s">
        <v>20</v>
      </c>
      <c r="G229" s="4">
        <v>2</v>
      </c>
      <c r="H229" s="12">
        <v>699</v>
      </c>
      <c r="I229" s="13">
        <v>594.15</v>
      </c>
      <c r="J229" s="13">
        <f>Orders[[#This Row],[Quantity]]*Orders[[#This Row],[Selling Price]]</f>
        <v>1398</v>
      </c>
      <c r="K229" s="13">
        <f>Orders[[#This Row],[Quantity]]*Orders[[#This Row],[Cost Price]]</f>
        <v>1188.3</v>
      </c>
      <c r="L229" s="13">
        <f>Orders[[#This Row],[Revenue]]-Orders[[#This Row],[Expenses]]</f>
        <v>209.70000000000005</v>
      </c>
      <c r="M229" t="s">
        <v>2218</v>
      </c>
      <c r="N229" t="str">
        <f>_xlfn.XLOOKUP(Orders[[#This Row],[CustomerID]],Customers[CustomerID],Customers[CustomerName])</f>
        <v>Temi Okonkwo</v>
      </c>
      <c r="O229" t="str">
        <f>_xlfn.XLOOKUP(Orders[[#This Row],[CustomerID]],Customers[CustomerID],Customers[City])</f>
        <v>Texas</v>
      </c>
      <c r="P229" t="str">
        <f>_xlfn.XLOOKUP(Orders[[#This Row],[CustomerID]],Customers[CustomerID],Customers[Gender])</f>
        <v>Female</v>
      </c>
      <c r="Q229">
        <f>_xlfn.XLOOKUP(Orders[[#This Row],[CustomerID]],Customers[CustomerID],Customers[CustomerAge])</f>
        <v>31</v>
      </c>
      <c r="R229" t="str">
        <f>IF(Orders[[#This Row],[CustomerAge]]&gt;=35, "Older", "Young")</f>
        <v>Young</v>
      </c>
      <c r="S229" t="str">
        <f>_xlfn.XLOOKUP(Orders[[#This Row],[ProductID]],Products[ProductID],Products[ProductName])</f>
        <v>Gym Bag</v>
      </c>
      <c r="T229" t="str">
        <f>_xlfn.XLOOKUP(Orders[[#This Row],[ProductID]],Products[ProductID],Products[Category])</f>
        <v>Gym</v>
      </c>
    </row>
    <row r="230" spans="1:20" x14ac:dyDescent="0.25">
      <c r="A230" s="4" t="s">
        <v>390</v>
      </c>
      <c r="B230" s="5">
        <v>45946</v>
      </c>
      <c r="C230" s="15">
        <f>WEEKNUM(Orders[[#This Row],[OrderDate]])</f>
        <v>42</v>
      </c>
      <c r="D230" s="15" t="str">
        <f>TEXT(Orders[[#This Row],[OrderDate]],"mmmm")</f>
        <v>October</v>
      </c>
      <c r="E230" s="4" t="s">
        <v>244</v>
      </c>
      <c r="F230" s="4" t="s">
        <v>232</v>
      </c>
      <c r="G230" s="4">
        <v>5</v>
      </c>
      <c r="H230" s="12">
        <v>871.4</v>
      </c>
      <c r="I230" s="13">
        <v>740.69</v>
      </c>
      <c r="J230" s="13">
        <f>Orders[[#This Row],[Quantity]]*Orders[[#This Row],[Selling Price]]</f>
        <v>4357</v>
      </c>
      <c r="K230" s="13">
        <f>Orders[[#This Row],[Quantity]]*Orders[[#This Row],[Cost Price]]</f>
        <v>3703.4500000000003</v>
      </c>
      <c r="L230" s="13">
        <f>Orders[[#This Row],[Revenue]]-Orders[[#This Row],[Expenses]]</f>
        <v>653.54999999999973</v>
      </c>
      <c r="M230" t="s">
        <v>2194</v>
      </c>
      <c r="N230" t="str">
        <f>_xlfn.XLOOKUP(Orders[[#This Row],[CustomerID]],Customers[CustomerID],Customers[CustomerName])</f>
        <v>Zainab Abubakar</v>
      </c>
      <c r="O230" t="str">
        <f>_xlfn.XLOOKUP(Orders[[#This Row],[CustomerID]],Customers[CustomerID],Customers[City])</f>
        <v>Texas</v>
      </c>
      <c r="P230" t="str">
        <f>_xlfn.XLOOKUP(Orders[[#This Row],[CustomerID]],Customers[CustomerID],Customers[Gender])</f>
        <v>Female</v>
      </c>
      <c r="Q230">
        <f>_xlfn.XLOOKUP(Orders[[#This Row],[CustomerID]],Customers[CustomerID],Customers[CustomerAge])</f>
        <v>33</v>
      </c>
      <c r="R230" t="str">
        <f>IF(Orders[[#This Row],[CustomerAge]]&gt;=35, "Older", "Young")</f>
        <v>Young</v>
      </c>
      <c r="S230" t="str">
        <f>_xlfn.XLOOKUP(Orders[[#This Row],[ProductID]],Products[ProductID],Products[ProductName])</f>
        <v>Ankara</v>
      </c>
      <c r="T230" t="str">
        <f>_xlfn.XLOOKUP(Orders[[#This Row],[ProductID]],Products[ProductID],Products[Category])</f>
        <v>Clothing</v>
      </c>
    </row>
    <row r="231" spans="1:20" x14ac:dyDescent="0.25">
      <c r="A231" s="4" t="s">
        <v>391</v>
      </c>
      <c r="B231" s="5">
        <v>45989</v>
      </c>
      <c r="C231" s="15">
        <f>WEEKNUM(Orders[[#This Row],[OrderDate]])</f>
        <v>48</v>
      </c>
      <c r="D231" s="15" t="str">
        <f>TEXT(Orders[[#This Row],[OrderDate]],"mmmm")</f>
        <v>November</v>
      </c>
      <c r="E231" s="4" t="s">
        <v>146</v>
      </c>
      <c r="F231" s="4" t="s">
        <v>81</v>
      </c>
      <c r="G231" s="4">
        <v>10</v>
      </c>
      <c r="H231" s="12">
        <v>9329.5</v>
      </c>
      <c r="I231" s="13">
        <v>7930.0749999999998</v>
      </c>
      <c r="J231" s="13">
        <f>Orders[[#This Row],[Quantity]]*Orders[[#This Row],[Selling Price]]</f>
        <v>93295</v>
      </c>
      <c r="K231" s="13">
        <f>Orders[[#This Row],[Quantity]]*Orders[[#This Row],[Cost Price]]</f>
        <v>79300.75</v>
      </c>
      <c r="L231" s="13">
        <f>Orders[[#This Row],[Revenue]]-Orders[[#This Row],[Expenses]]</f>
        <v>13994.25</v>
      </c>
      <c r="M231" t="s">
        <v>2199</v>
      </c>
      <c r="N231" t="str">
        <f>_xlfn.XLOOKUP(Orders[[#This Row],[CustomerID]],Customers[CustomerID],Customers[CustomerName])</f>
        <v>Mustafa Igwe</v>
      </c>
      <c r="O231" t="str">
        <f>_xlfn.XLOOKUP(Orders[[#This Row],[CustomerID]],Customers[CustomerID],Customers[City])</f>
        <v>Texas</v>
      </c>
      <c r="P231" t="str">
        <f>_xlfn.XLOOKUP(Orders[[#This Row],[CustomerID]],Customers[CustomerID],Customers[Gender])</f>
        <v>Male</v>
      </c>
      <c r="Q231">
        <f>_xlfn.XLOOKUP(Orders[[#This Row],[CustomerID]],Customers[CustomerID],Customers[CustomerAge])</f>
        <v>27</v>
      </c>
      <c r="R231" t="str">
        <f>IF(Orders[[#This Row],[CustomerAge]]&gt;=35, "Older", "Young")</f>
        <v>Young</v>
      </c>
      <c r="S231" t="str">
        <f>_xlfn.XLOOKUP(Orders[[#This Row],[ProductID]],Products[ProductID],Products[ProductName])</f>
        <v>Trousers</v>
      </c>
      <c r="T231" t="str">
        <f>_xlfn.XLOOKUP(Orders[[#This Row],[ProductID]],Products[ProductID],Products[Category])</f>
        <v>Clothing</v>
      </c>
    </row>
    <row r="232" spans="1:20" x14ac:dyDescent="0.25">
      <c r="A232" s="4" t="s">
        <v>392</v>
      </c>
      <c r="B232" s="5">
        <v>45945</v>
      </c>
      <c r="C232" s="15">
        <f>WEEKNUM(Orders[[#This Row],[OrderDate]])</f>
        <v>42</v>
      </c>
      <c r="D232" s="15" t="str">
        <f>TEXT(Orders[[#This Row],[OrderDate]],"mmmm")</f>
        <v>October</v>
      </c>
      <c r="E232" s="4" t="s">
        <v>154</v>
      </c>
      <c r="F232" s="4" t="s">
        <v>130</v>
      </c>
      <c r="G232" s="4">
        <v>2</v>
      </c>
      <c r="H232" s="12">
        <v>11240</v>
      </c>
      <c r="I232" s="13">
        <v>9554</v>
      </c>
      <c r="J232" s="13">
        <f>Orders[[#This Row],[Quantity]]*Orders[[#This Row],[Selling Price]]</f>
        <v>22480</v>
      </c>
      <c r="K232" s="13">
        <f>Orders[[#This Row],[Quantity]]*Orders[[#This Row],[Cost Price]]</f>
        <v>19108</v>
      </c>
      <c r="L232" s="13">
        <f>Orders[[#This Row],[Revenue]]-Orders[[#This Row],[Expenses]]</f>
        <v>3372</v>
      </c>
      <c r="M232" t="s">
        <v>2198</v>
      </c>
      <c r="N232" t="str">
        <f>_xlfn.XLOOKUP(Orders[[#This Row],[CustomerID]],Customers[CustomerID],Customers[CustomerName])</f>
        <v>Ronke Danladi</v>
      </c>
      <c r="O232" t="str">
        <f>_xlfn.XLOOKUP(Orders[[#This Row],[CustomerID]],Customers[CustomerID],Customers[City])</f>
        <v>Illinois</v>
      </c>
      <c r="P232" t="str">
        <f>_xlfn.XLOOKUP(Orders[[#This Row],[CustomerID]],Customers[CustomerID],Customers[Gender])</f>
        <v>Female</v>
      </c>
      <c r="Q232">
        <f>_xlfn.XLOOKUP(Orders[[#This Row],[CustomerID]],Customers[CustomerID],Customers[CustomerAge])</f>
        <v>46</v>
      </c>
      <c r="R232" t="str">
        <f>IF(Orders[[#This Row],[CustomerAge]]&gt;=35, "Older", "Young")</f>
        <v>Older</v>
      </c>
      <c r="S232" t="str">
        <f>_xlfn.XLOOKUP(Orders[[#This Row],[ProductID]],Products[ProductID],Products[ProductName])</f>
        <v>Gold Earrings And Necklaces</v>
      </c>
      <c r="T232" t="str">
        <f>_xlfn.XLOOKUP(Orders[[#This Row],[ProductID]],Products[ProductID],Products[Category])</f>
        <v>Accessories</v>
      </c>
    </row>
    <row r="233" spans="1:20" x14ac:dyDescent="0.25">
      <c r="A233" s="4" t="s">
        <v>393</v>
      </c>
      <c r="B233" s="5">
        <v>46000</v>
      </c>
      <c r="C233" s="15">
        <f>WEEKNUM(Orders[[#This Row],[OrderDate]])</f>
        <v>50</v>
      </c>
      <c r="D233" s="15" t="str">
        <f>TEXT(Orders[[#This Row],[OrderDate]],"mmmm")</f>
        <v>December</v>
      </c>
      <c r="E233" s="4" t="s">
        <v>305</v>
      </c>
      <c r="F233" s="4" t="s">
        <v>189</v>
      </c>
      <c r="G233" s="4">
        <v>10</v>
      </c>
      <c r="H233" s="12">
        <v>8056.5</v>
      </c>
      <c r="I233" s="13">
        <v>6848.0249999999996</v>
      </c>
      <c r="J233" s="13">
        <f>Orders[[#This Row],[Quantity]]*Orders[[#This Row],[Selling Price]]</f>
        <v>80565</v>
      </c>
      <c r="K233" s="13">
        <f>Orders[[#This Row],[Quantity]]*Orders[[#This Row],[Cost Price]]</f>
        <v>68480.25</v>
      </c>
      <c r="L233" s="13">
        <f>Orders[[#This Row],[Revenue]]-Orders[[#This Row],[Expenses]]</f>
        <v>12084.75</v>
      </c>
      <c r="M233" t="s">
        <v>2198</v>
      </c>
      <c r="N233" t="str">
        <f>_xlfn.XLOOKUP(Orders[[#This Row],[CustomerID]],Customers[CustomerID],Customers[CustomerName])</f>
        <v>Tunde Danladi</v>
      </c>
      <c r="O233" t="str">
        <f>_xlfn.XLOOKUP(Orders[[#This Row],[CustomerID]],Customers[CustomerID],Customers[City])</f>
        <v>California</v>
      </c>
      <c r="P233" t="str">
        <f>_xlfn.XLOOKUP(Orders[[#This Row],[CustomerID]],Customers[CustomerID],Customers[Gender])</f>
        <v>Male</v>
      </c>
      <c r="Q233">
        <f>_xlfn.XLOOKUP(Orders[[#This Row],[CustomerID]],Customers[CustomerID],Customers[CustomerAge])</f>
        <v>40</v>
      </c>
      <c r="R233" t="str">
        <f>IF(Orders[[#This Row],[CustomerAge]]&gt;=35, "Older", "Young")</f>
        <v>Older</v>
      </c>
      <c r="S233" t="str">
        <f>_xlfn.XLOOKUP(Orders[[#This Row],[ProductID]],Products[ProductID],Products[ProductName])</f>
        <v>Scrabble</v>
      </c>
      <c r="T233" t="str">
        <f>_xlfn.XLOOKUP(Orders[[#This Row],[ProductID]],Products[ProductID],Products[Category])</f>
        <v>Games</v>
      </c>
    </row>
    <row r="234" spans="1:20" x14ac:dyDescent="0.25">
      <c r="A234" s="4" t="s">
        <v>394</v>
      </c>
      <c r="B234" s="5">
        <v>46010</v>
      </c>
      <c r="C234" s="15">
        <f>WEEKNUM(Orders[[#This Row],[OrderDate]])</f>
        <v>51</v>
      </c>
      <c r="D234" s="15" t="str">
        <f>TEXT(Orders[[#This Row],[OrderDate]],"mmmm")</f>
        <v>December</v>
      </c>
      <c r="E234" s="4" t="s">
        <v>340</v>
      </c>
      <c r="F234" s="4" t="s">
        <v>28</v>
      </c>
      <c r="G234" s="4">
        <v>8</v>
      </c>
      <c r="H234" s="12">
        <v>8613.4</v>
      </c>
      <c r="I234" s="13">
        <v>7321.3899999999994</v>
      </c>
      <c r="J234" s="13">
        <f>Orders[[#This Row],[Quantity]]*Orders[[#This Row],[Selling Price]]</f>
        <v>68907.199999999997</v>
      </c>
      <c r="K234" s="13">
        <f>Orders[[#This Row],[Quantity]]*Orders[[#This Row],[Cost Price]]</f>
        <v>58571.119999999995</v>
      </c>
      <c r="L234" s="13">
        <f>Orders[[#This Row],[Revenue]]-Orders[[#This Row],[Expenses]]</f>
        <v>10336.080000000002</v>
      </c>
      <c r="M234" t="s">
        <v>2207</v>
      </c>
      <c r="N234" t="str">
        <f>_xlfn.XLOOKUP(Orders[[#This Row],[CustomerID]],Customers[CustomerID],Customers[CustomerName])</f>
        <v>Uche Abubakar</v>
      </c>
      <c r="O234" t="str">
        <f>_xlfn.XLOOKUP(Orders[[#This Row],[CustomerID]],Customers[CustomerID],Customers[City])</f>
        <v>Illinois</v>
      </c>
      <c r="P234" t="str">
        <f>_xlfn.XLOOKUP(Orders[[#This Row],[CustomerID]],Customers[CustomerID],Customers[Gender])</f>
        <v>Male</v>
      </c>
      <c r="Q234">
        <f>_xlfn.XLOOKUP(Orders[[#This Row],[CustomerID]],Customers[CustomerID],Customers[CustomerAge])</f>
        <v>18</v>
      </c>
      <c r="R234" t="str">
        <f>IF(Orders[[#This Row],[CustomerAge]]&gt;=35, "Older", "Young")</f>
        <v>Young</v>
      </c>
      <c r="S234" t="str">
        <f>_xlfn.XLOOKUP(Orders[[#This Row],[ProductID]],Products[ProductID],Products[ProductName])</f>
        <v>Sneakers</v>
      </c>
      <c r="T234" t="str">
        <f>_xlfn.XLOOKUP(Orders[[#This Row],[ProductID]],Products[ProductID],Products[Category])</f>
        <v>Sports</v>
      </c>
    </row>
    <row r="235" spans="1:20" x14ac:dyDescent="0.25">
      <c r="A235" s="4" t="s">
        <v>395</v>
      </c>
      <c r="B235" s="5">
        <v>45993</v>
      </c>
      <c r="C235" s="15">
        <f>WEEKNUM(Orders[[#This Row],[OrderDate]])</f>
        <v>49</v>
      </c>
      <c r="D235" s="15" t="str">
        <f>TEXT(Orders[[#This Row],[OrderDate]],"mmmm")</f>
        <v>December</v>
      </c>
      <c r="E235" s="4" t="s">
        <v>198</v>
      </c>
      <c r="F235" s="4" t="s">
        <v>127</v>
      </c>
      <c r="G235" s="4">
        <v>10</v>
      </c>
      <c r="H235" s="12">
        <v>9284.7999999999993</v>
      </c>
      <c r="I235" s="13">
        <v>7892.08</v>
      </c>
      <c r="J235" s="13">
        <f>Orders[[#This Row],[Quantity]]*Orders[[#This Row],[Selling Price]]</f>
        <v>92848</v>
      </c>
      <c r="K235" s="13">
        <f>Orders[[#This Row],[Quantity]]*Orders[[#This Row],[Cost Price]]</f>
        <v>78920.800000000003</v>
      </c>
      <c r="L235" s="13">
        <f>Orders[[#This Row],[Revenue]]-Orders[[#This Row],[Expenses]]</f>
        <v>13927.199999999997</v>
      </c>
      <c r="M235" t="s">
        <v>2215</v>
      </c>
      <c r="N235" t="str">
        <f>_xlfn.XLOOKUP(Orders[[#This Row],[CustomerID]],Customers[CustomerID],Customers[CustomerName])</f>
        <v>Blessing Danladi</v>
      </c>
      <c r="O235" t="str">
        <f>_xlfn.XLOOKUP(Orders[[#This Row],[CustomerID]],Customers[CustomerID],Customers[City])</f>
        <v>Texas</v>
      </c>
      <c r="P235" t="str">
        <f>_xlfn.XLOOKUP(Orders[[#This Row],[CustomerID]],Customers[CustomerID],Customers[Gender])</f>
        <v>Female</v>
      </c>
      <c r="Q235">
        <f>_xlfn.XLOOKUP(Orders[[#This Row],[CustomerID]],Customers[CustomerID],Customers[CustomerAge])</f>
        <v>19</v>
      </c>
      <c r="R235" t="str">
        <f>IF(Orders[[#This Row],[CustomerAge]]&gt;=35, "Older", "Young")</f>
        <v>Young</v>
      </c>
      <c r="S235" t="str">
        <f>_xlfn.XLOOKUP(Orders[[#This Row],[ProductID]],Products[ProductID],Products[ProductName])</f>
        <v>Tops</v>
      </c>
      <c r="T235" t="str">
        <f>_xlfn.XLOOKUP(Orders[[#This Row],[ProductID]],Products[ProductID],Products[Category])</f>
        <v>Clothing</v>
      </c>
    </row>
    <row r="236" spans="1:20" x14ac:dyDescent="0.25">
      <c r="A236" s="4" t="s">
        <v>396</v>
      </c>
      <c r="B236" s="5">
        <v>45954</v>
      </c>
      <c r="C236" s="15">
        <f>WEEKNUM(Orders[[#This Row],[OrderDate]])</f>
        <v>43</v>
      </c>
      <c r="D236" s="15" t="str">
        <f>TEXT(Orders[[#This Row],[OrderDate]],"mmmm")</f>
        <v>October</v>
      </c>
      <c r="E236" s="4" t="s">
        <v>105</v>
      </c>
      <c r="F236" s="4" t="s">
        <v>151</v>
      </c>
      <c r="G236" s="4">
        <v>8</v>
      </c>
      <c r="H236" s="12">
        <v>11140.1</v>
      </c>
      <c r="I236" s="13">
        <v>9469.0850000000009</v>
      </c>
      <c r="J236" s="13">
        <f>Orders[[#This Row],[Quantity]]*Orders[[#This Row],[Selling Price]]</f>
        <v>89120.8</v>
      </c>
      <c r="K236" s="13">
        <f>Orders[[#This Row],[Quantity]]*Orders[[#This Row],[Cost Price]]</f>
        <v>75752.680000000008</v>
      </c>
      <c r="L236" s="13">
        <f>Orders[[#This Row],[Revenue]]-Orders[[#This Row],[Expenses]]</f>
        <v>13368.119999999995</v>
      </c>
      <c r="M236" t="s">
        <v>2201</v>
      </c>
      <c r="N236" t="str">
        <f>_xlfn.XLOOKUP(Orders[[#This Row],[CustomerID]],Customers[CustomerID],Customers[CustomerName])</f>
        <v>Folasade Adeyemi</v>
      </c>
      <c r="O236" t="str">
        <f>_xlfn.XLOOKUP(Orders[[#This Row],[CustomerID]],Customers[CustomerID],Customers[City])</f>
        <v>Georgia</v>
      </c>
      <c r="P236" t="str">
        <f>_xlfn.XLOOKUP(Orders[[#This Row],[CustomerID]],Customers[CustomerID],Customers[Gender])</f>
        <v>Female</v>
      </c>
      <c r="Q236">
        <f>_xlfn.XLOOKUP(Orders[[#This Row],[CustomerID]],Customers[CustomerID],Customers[CustomerAge])</f>
        <v>42</v>
      </c>
      <c r="R236" t="str">
        <f>IF(Orders[[#This Row],[CustomerAge]]&gt;=35, "Older", "Young")</f>
        <v>Older</v>
      </c>
      <c r="S236" t="str">
        <f>_xlfn.XLOOKUP(Orders[[#This Row],[ProductID]],Products[ProductID],Products[ProductName])</f>
        <v>Checkers</v>
      </c>
      <c r="T236" t="str">
        <f>_xlfn.XLOOKUP(Orders[[#This Row],[ProductID]],Products[ProductID],Products[Category])</f>
        <v>Games</v>
      </c>
    </row>
    <row r="237" spans="1:20" x14ac:dyDescent="0.25">
      <c r="A237" s="4" t="s">
        <v>397</v>
      </c>
      <c r="B237" s="5">
        <v>45941</v>
      </c>
      <c r="C237" s="15">
        <f>WEEKNUM(Orders[[#This Row],[OrderDate]])</f>
        <v>41</v>
      </c>
      <c r="D237" s="15" t="str">
        <f>TEXT(Orders[[#This Row],[OrderDate]],"mmmm")</f>
        <v>October</v>
      </c>
      <c r="E237" s="4" t="s">
        <v>55</v>
      </c>
      <c r="F237" s="4" t="s">
        <v>9</v>
      </c>
      <c r="G237" s="4">
        <v>9</v>
      </c>
      <c r="H237" s="12">
        <v>7904.7000000000007</v>
      </c>
      <c r="I237" s="13">
        <v>6718.9950000000008</v>
      </c>
      <c r="J237" s="13">
        <f>Orders[[#This Row],[Quantity]]*Orders[[#This Row],[Selling Price]]</f>
        <v>71142.3</v>
      </c>
      <c r="K237" s="13">
        <f>Orders[[#This Row],[Quantity]]*Orders[[#This Row],[Cost Price]]</f>
        <v>60470.955000000009</v>
      </c>
      <c r="L237" s="13">
        <f>Orders[[#This Row],[Revenue]]-Orders[[#This Row],[Expenses]]</f>
        <v>10671.344999999994</v>
      </c>
      <c r="M237" t="s">
        <v>2205</v>
      </c>
      <c r="N237" t="str">
        <f>_xlfn.XLOOKUP(Orders[[#This Row],[CustomerID]],Customers[CustomerID],Customers[CustomerName])</f>
        <v>Adanma Ojo</v>
      </c>
      <c r="O237" t="str">
        <f>_xlfn.XLOOKUP(Orders[[#This Row],[CustomerID]],Customers[CustomerID],Customers[City])</f>
        <v>California</v>
      </c>
      <c r="P237" t="str">
        <f>_xlfn.XLOOKUP(Orders[[#This Row],[CustomerID]],Customers[CustomerID],Customers[Gender])</f>
        <v>Female</v>
      </c>
      <c r="Q237">
        <f>_xlfn.XLOOKUP(Orders[[#This Row],[CustomerID]],Customers[CustomerID],Customers[CustomerAge])</f>
        <v>48</v>
      </c>
      <c r="R237" t="str">
        <f>IF(Orders[[#This Row],[CustomerAge]]&gt;=35, "Older", "Young")</f>
        <v>Older</v>
      </c>
      <c r="S237" t="str">
        <f>_xlfn.XLOOKUP(Orders[[#This Row],[ProductID]],Products[ProductID],Products[ProductName])</f>
        <v>Beaded Earrings And Necklaces</v>
      </c>
      <c r="T237" t="str">
        <f>_xlfn.XLOOKUP(Orders[[#This Row],[ProductID]],Products[ProductID],Products[Category])</f>
        <v>Accessories</v>
      </c>
    </row>
    <row r="238" spans="1:20" x14ac:dyDescent="0.25">
      <c r="A238" s="4" t="s">
        <v>398</v>
      </c>
      <c r="B238" s="5">
        <v>46001</v>
      </c>
      <c r="C238" s="15">
        <f>WEEKNUM(Orders[[#This Row],[OrderDate]])</f>
        <v>50</v>
      </c>
      <c r="D238" s="15" t="str">
        <f>TEXT(Orders[[#This Row],[OrderDate]],"mmmm")</f>
        <v>December</v>
      </c>
      <c r="E238" s="4" t="s">
        <v>107</v>
      </c>
      <c r="F238" s="4" t="s">
        <v>9</v>
      </c>
      <c r="G238" s="4">
        <v>4</v>
      </c>
      <c r="H238" s="12">
        <v>10932.8</v>
      </c>
      <c r="I238" s="13">
        <v>9292.8799999999992</v>
      </c>
      <c r="J238" s="13">
        <f>Orders[[#This Row],[Quantity]]*Orders[[#This Row],[Selling Price]]</f>
        <v>43731.199999999997</v>
      </c>
      <c r="K238" s="13">
        <f>Orders[[#This Row],[Quantity]]*Orders[[#This Row],[Cost Price]]</f>
        <v>37171.519999999997</v>
      </c>
      <c r="L238" s="13">
        <f>Orders[[#This Row],[Revenue]]-Orders[[#This Row],[Expenses]]</f>
        <v>6559.68</v>
      </c>
      <c r="M238" t="s">
        <v>2201</v>
      </c>
      <c r="N238" t="str">
        <f>_xlfn.XLOOKUP(Orders[[#This Row],[CustomerID]],Customers[CustomerID],Customers[CustomerName])</f>
        <v>Blessing Eze</v>
      </c>
      <c r="O238" t="str">
        <f>_xlfn.XLOOKUP(Orders[[#This Row],[CustomerID]],Customers[CustomerID],Customers[City])</f>
        <v>Texas</v>
      </c>
      <c r="P238" t="str">
        <f>_xlfn.XLOOKUP(Orders[[#This Row],[CustomerID]],Customers[CustomerID],Customers[Gender])</f>
        <v>Female</v>
      </c>
      <c r="Q238">
        <f>_xlfn.XLOOKUP(Orders[[#This Row],[CustomerID]],Customers[CustomerID],Customers[CustomerAge])</f>
        <v>44</v>
      </c>
      <c r="R238" t="str">
        <f>IF(Orders[[#This Row],[CustomerAge]]&gt;=35, "Older", "Young")</f>
        <v>Older</v>
      </c>
      <c r="S238" t="str">
        <f>_xlfn.XLOOKUP(Orders[[#This Row],[ProductID]],Products[ProductID],Products[ProductName])</f>
        <v>Beaded Earrings And Necklaces</v>
      </c>
      <c r="T238" t="str">
        <f>_xlfn.XLOOKUP(Orders[[#This Row],[ProductID]],Products[ProductID],Products[Category])</f>
        <v>Accessories</v>
      </c>
    </row>
    <row r="239" spans="1:20" x14ac:dyDescent="0.25">
      <c r="A239" s="4" t="s">
        <v>399</v>
      </c>
      <c r="B239" s="5">
        <v>45934</v>
      </c>
      <c r="C239" s="15">
        <f>WEEKNUM(Orders[[#This Row],[OrderDate]])</f>
        <v>40</v>
      </c>
      <c r="D239" s="15" t="str">
        <f>TEXT(Orders[[#This Row],[OrderDate]],"mmmm")</f>
        <v>October</v>
      </c>
      <c r="E239" s="4" t="s">
        <v>400</v>
      </c>
      <c r="F239" s="4" t="s">
        <v>111</v>
      </c>
      <c r="G239" s="4">
        <v>7</v>
      </c>
      <c r="H239" s="12">
        <v>16840.899999999998</v>
      </c>
      <c r="I239" s="13">
        <v>14314.764999999998</v>
      </c>
      <c r="J239" s="13">
        <f>Orders[[#This Row],[Quantity]]*Orders[[#This Row],[Selling Price]]</f>
        <v>117886.29999999999</v>
      </c>
      <c r="K239" s="13">
        <f>Orders[[#This Row],[Quantity]]*Orders[[#This Row],[Cost Price]]</f>
        <v>100203.35499999998</v>
      </c>
      <c r="L239" s="13">
        <f>Orders[[#This Row],[Revenue]]-Orders[[#This Row],[Expenses]]</f>
        <v>17682.945000000007</v>
      </c>
      <c r="M239" t="s">
        <v>2193</v>
      </c>
      <c r="N239" t="str">
        <f>_xlfn.XLOOKUP(Orders[[#This Row],[CustomerID]],Customers[CustomerID],Customers[CustomerName])</f>
        <v>Obi Igwe</v>
      </c>
      <c r="O239" t="str">
        <f>_xlfn.XLOOKUP(Orders[[#This Row],[CustomerID]],Customers[CustomerID],Customers[City])</f>
        <v>Florida</v>
      </c>
      <c r="P239" t="str">
        <f>_xlfn.XLOOKUP(Orders[[#This Row],[CustomerID]],Customers[CustomerID],Customers[Gender])</f>
        <v>Male</v>
      </c>
      <c r="Q239">
        <f>_xlfn.XLOOKUP(Orders[[#This Row],[CustomerID]],Customers[CustomerID],Customers[CustomerAge])</f>
        <v>35</v>
      </c>
      <c r="R239" t="str">
        <f>IF(Orders[[#This Row],[CustomerAge]]&gt;=35, "Older", "Young")</f>
        <v>Older</v>
      </c>
      <c r="S239" t="str">
        <f>_xlfn.XLOOKUP(Orders[[#This Row],[ProductID]],Products[ProductID],Products[ProductName])</f>
        <v>Refrigerator</v>
      </c>
      <c r="T239" t="str">
        <f>_xlfn.XLOOKUP(Orders[[#This Row],[ProductID]],Products[ProductID],Products[Category])</f>
        <v>Electronics</v>
      </c>
    </row>
    <row r="240" spans="1:20" x14ac:dyDescent="0.25">
      <c r="A240" s="4" t="s">
        <v>401</v>
      </c>
      <c r="B240" s="5">
        <v>46000</v>
      </c>
      <c r="C240" s="15">
        <f>WEEKNUM(Orders[[#This Row],[OrderDate]])</f>
        <v>50</v>
      </c>
      <c r="D240" s="15" t="str">
        <f>TEXT(Orders[[#This Row],[OrderDate]],"mmmm")</f>
        <v>December</v>
      </c>
      <c r="E240" s="4" t="s">
        <v>320</v>
      </c>
      <c r="F240" s="4" t="s">
        <v>28</v>
      </c>
      <c r="G240" s="4">
        <v>4</v>
      </c>
      <c r="H240" s="12">
        <v>7703</v>
      </c>
      <c r="I240" s="13">
        <v>6547.55</v>
      </c>
      <c r="J240" s="13">
        <f>Orders[[#This Row],[Quantity]]*Orders[[#This Row],[Selling Price]]</f>
        <v>30812</v>
      </c>
      <c r="K240" s="13">
        <f>Orders[[#This Row],[Quantity]]*Orders[[#This Row],[Cost Price]]</f>
        <v>26190.2</v>
      </c>
      <c r="L240" s="13">
        <f>Orders[[#This Row],[Revenue]]-Orders[[#This Row],[Expenses]]</f>
        <v>4621.7999999999993</v>
      </c>
      <c r="M240" t="s">
        <v>2198</v>
      </c>
      <c r="N240" t="str">
        <f>_xlfn.XLOOKUP(Orders[[#This Row],[CustomerID]],Customers[CustomerID],Customers[CustomerName])</f>
        <v>Temi Okonkwo</v>
      </c>
      <c r="O240" t="str">
        <f>_xlfn.XLOOKUP(Orders[[#This Row],[CustomerID]],Customers[CustomerID],Customers[City])</f>
        <v>Texas</v>
      </c>
      <c r="P240" t="str">
        <f>_xlfn.XLOOKUP(Orders[[#This Row],[CustomerID]],Customers[CustomerID],Customers[Gender])</f>
        <v>Female</v>
      </c>
      <c r="Q240">
        <f>_xlfn.XLOOKUP(Orders[[#This Row],[CustomerID]],Customers[CustomerID],Customers[CustomerAge])</f>
        <v>31</v>
      </c>
      <c r="R240" t="str">
        <f>IF(Orders[[#This Row],[CustomerAge]]&gt;=35, "Older", "Young")</f>
        <v>Young</v>
      </c>
      <c r="S240" t="str">
        <f>_xlfn.XLOOKUP(Orders[[#This Row],[ProductID]],Products[ProductID],Products[ProductName])</f>
        <v>Sneakers</v>
      </c>
      <c r="T240" t="str">
        <f>_xlfn.XLOOKUP(Orders[[#This Row],[ProductID]],Products[ProductID],Products[Category])</f>
        <v>Sports</v>
      </c>
    </row>
    <row r="241" spans="1:20" x14ac:dyDescent="0.25">
      <c r="A241" s="4" t="s">
        <v>402</v>
      </c>
      <c r="B241" s="5">
        <v>45953</v>
      </c>
      <c r="C241" s="15">
        <f>WEEKNUM(Orders[[#This Row],[OrderDate]])</f>
        <v>43</v>
      </c>
      <c r="D241" s="15" t="str">
        <f>TEXT(Orders[[#This Row],[OrderDate]],"mmmm")</f>
        <v>October</v>
      </c>
      <c r="E241" s="4" t="s">
        <v>307</v>
      </c>
      <c r="F241" s="4" t="s">
        <v>76</v>
      </c>
      <c r="G241" s="4">
        <v>5</v>
      </c>
      <c r="H241" s="12">
        <v>8319.6</v>
      </c>
      <c r="I241" s="13">
        <v>7071.66</v>
      </c>
      <c r="J241" s="13">
        <f>Orders[[#This Row],[Quantity]]*Orders[[#This Row],[Selling Price]]</f>
        <v>41598</v>
      </c>
      <c r="K241" s="13">
        <f>Orders[[#This Row],[Quantity]]*Orders[[#This Row],[Cost Price]]</f>
        <v>35358.300000000003</v>
      </c>
      <c r="L241" s="13">
        <f>Orders[[#This Row],[Revenue]]-Orders[[#This Row],[Expenses]]</f>
        <v>6239.6999999999971</v>
      </c>
      <c r="M241" t="s">
        <v>2208</v>
      </c>
      <c r="N241" t="str">
        <f>_xlfn.XLOOKUP(Orders[[#This Row],[CustomerID]],Customers[CustomerID],Customers[CustomerName])</f>
        <v>Adanma Bello</v>
      </c>
      <c r="O241" t="str">
        <f>_xlfn.XLOOKUP(Orders[[#This Row],[CustomerID]],Customers[CustomerID],Customers[City])</f>
        <v>Illinois</v>
      </c>
      <c r="P241" t="str">
        <f>_xlfn.XLOOKUP(Orders[[#This Row],[CustomerID]],Customers[CustomerID],Customers[Gender])</f>
        <v>Female</v>
      </c>
      <c r="Q241">
        <f>_xlfn.XLOOKUP(Orders[[#This Row],[CustomerID]],Customers[CustomerID],Customers[CustomerAge])</f>
        <v>51</v>
      </c>
      <c r="R241" t="str">
        <f>IF(Orders[[#This Row],[CustomerAge]]&gt;=35, "Older", "Young")</f>
        <v>Older</v>
      </c>
      <c r="S241" t="str">
        <f>_xlfn.XLOOKUP(Orders[[#This Row],[ProductID]],Products[ProductID],Products[ProductName])</f>
        <v>Blender</v>
      </c>
      <c r="T241" t="str">
        <f>_xlfn.XLOOKUP(Orders[[#This Row],[ProductID]],Products[ProductID],Products[Category])</f>
        <v>Electronics</v>
      </c>
    </row>
    <row r="242" spans="1:20" x14ac:dyDescent="0.25">
      <c r="A242" s="4" t="s">
        <v>403</v>
      </c>
      <c r="B242" s="5">
        <v>45997</v>
      </c>
      <c r="C242" s="15">
        <f>WEEKNUM(Orders[[#This Row],[OrderDate]])</f>
        <v>49</v>
      </c>
      <c r="D242" s="15" t="str">
        <f>TEXT(Orders[[#This Row],[OrderDate]],"mmmm")</f>
        <v>December</v>
      </c>
      <c r="E242" s="4" t="s">
        <v>186</v>
      </c>
      <c r="F242" s="4" t="s">
        <v>34</v>
      </c>
      <c r="G242" s="4">
        <v>6</v>
      </c>
      <c r="H242" s="12">
        <v>1914.5</v>
      </c>
      <c r="I242" s="13">
        <v>1627.325</v>
      </c>
      <c r="J242" s="13">
        <f>Orders[[#This Row],[Quantity]]*Orders[[#This Row],[Selling Price]]</f>
        <v>11487</v>
      </c>
      <c r="K242" s="13">
        <f>Orders[[#This Row],[Quantity]]*Orders[[#This Row],[Cost Price]]</f>
        <v>9763.9500000000007</v>
      </c>
      <c r="L242" s="13">
        <f>Orders[[#This Row],[Revenue]]-Orders[[#This Row],[Expenses]]</f>
        <v>1723.0499999999993</v>
      </c>
      <c r="M242" t="s">
        <v>2193</v>
      </c>
      <c r="N242" t="str">
        <f>_xlfn.XLOOKUP(Orders[[#This Row],[CustomerID]],Customers[CustomerID],Customers[CustomerName])</f>
        <v>Ronke Eze</v>
      </c>
      <c r="O242" t="str">
        <f>_xlfn.XLOOKUP(Orders[[#This Row],[CustomerID]],Customers[CustomerID],Customers[City])</f>
        <v>Texas</v>
      </c>
      <c r="P242" t="str">
        <f>_xlfn.XLOOKUP(Orders[[#This Row],[CustomerID]],Customers[CustomerID],Customers[Gender])</f>
        <v>Female</v>
      </c>
      <c r="Q242">
        <f>_xlfn.XLOOKUP(Orders[[#This Row],[CustomerID]],Customers[CustomerID],Customers[CustomerAge])</f>
        <v>37</v>
      </c>
      <c r="R242" t="str">
        <f>IF(Orders[[#This Row],[CustomerAge]]&gt;=35, "Older", "Young")</f>
        <v>Older</v>
      </c>
      <c r="S242" t="str">
        <f>_xlfn.XLOOKUP(Orders[[#This Row],[ProductID]],Products[ProductID],Products[ProductName])</f>
        <v>Gold Bracelets</v>
      </c>
      <c r="T242" t="str">
        <f>_xlfn.XLOOKUP(Orders[[#This Row],[ProductID]],Products[ProductID],Products[Category])</f>
        <v>Accessories</v>
      </c>
    </row>
    <row r="243" spans="1:20" x14ac:dyDescent="0.25">
      <c r="A243" s="4" t="s">
        <v>404</v>
      </c>
      <c r="B243" s="5">
        <v>45933</v>
      </c>
      <c r="C243" s="15">
        <f>WEEKNUM(Orders[[#This Row],[OrderDate]])</f>
        <v>40</v>
      </c>
      <c r="D243" s="15" t="str">
        <f>TEXT(Orders[[#This Row],[OrderDate]],"mmmm")</f>
        <v>October</v>
      </c>
      <c r="E243" s="4" t="s">
        <v>198</v>
      </c>
      <c r="F243" s="4" t="s">
        <v>253</v>
      </c>
      <c r="G243" s="4">
        <v>4</v>
      </c>
      <c r="H243" s="12">
        <v>2987.7999999999997</v>
      </c>
      <c r="I243" s="13">
        <v>2539.6299999999997</v>
      </c>
      <c r="J243" s="13">
        <f>Orders[[#This Row],[Quantity]]*Orders[[#This Row],[Selling Price]]</f>
        <v>11951.199999999999</v>
      </c>
      <c r="K243" s="13">
        <f>Orders[[#This Row],[Quantity]]*Orders[[#This Row],[Cost Price]]</f>
        <v>10158.519999999999</v>
      </c>
      <c r="L243" s="13">
        <f>Orders[[#This Row],[Revenue]]-Orders[[#This Row],[Expenses]]</f>
        <v>1792.6800000000003</v>
      </c>
      <c r="M243" t="s">
        <v>2211</v>
      </c>
      <c r="N243" t="str">
        <f>_xlfn.XLOOKUP(Orders[[#This Row],[CustomerID]],Customers[CustomerID],Customers[CustomerName])</f>
        <v>Blessing Danladi</v>
      </c>
      <c r="O243" t="str">
        <f>_xlfn.XLOOKUP(Orders[[#This Row],[CustomerID]],Customers[CustomerID],Customers[City])</f>
        <v>Texas</v>
      </c>
      <c r="P243" t="str">
        <f>_xlfn.XLOOKUP(Orders[[#This Row],[CustomerID]],Customers[CustomerID],Customers[Gender])</f>
        <v>Female</v>
      </c>
      <c r="Q243">
        <f>_xlfn.XLOOKUP(Orders[[#This Row],[CustomerID]],Customers[CustomerID],Customers[CustomerAge])</f>
        <v>19</v>
      </c>
      <c r="R243" t="str">
        <f>IF(Orders[[#This Row],[CustomerAge]]&gt;=35, "Older", "Young")</f>
        <v>Young</v>
      </c>
      <c r="S243" t="str">
        <f>_xlfn.XLOOKUP(Orders[[#This Row],[ProductID]],Products[ProductID],Products[ProductName])</f>
        <v>Nose Rings</v>
      </c>
      <c r="T243" t="str">
        <f>_xlfn.XLOOKUP(Orders[[#This Row],[ProductID]],Products[ProductID],Products[Category])</f>
        <v>Accessories</v>
      </c>
    </row>
    <row r="244" spans="1:20" x14ac:dyDescent="0.25">
      <c r="A244" s="4" t="s">
        <v>405</v>
      </c>
      <c r="B244" s="5">
        <v>45983</v>
      </c>
      <c r="C244" s="15">
        <f>WEEKNUM(Orders[[#This Row],[OrderDate]])</f>
        <v>47</v>
      </c>
      <c r="D244" s="15" t="str">
        <f>TEXT(Orders[[#This Row],[OrderDate]],"mmmm")</f>
        <v>November</v>
      </c>
      <c r="E244" s="4" t="s">
        <v>260</v>
      </c>
      <c r="F244" s="4" t="s">
        <v>31</v>
      </c>
      <c r="G244" s="4">
        <v>2</v>
      </c>
      <c r="H244" s="12">
        <v>2436.3999999999996</v>
      </c>
      <c r="I244" s="13">
        <v>2070.9399999999996</v>
      </c>
      <c r="J244" s="13">
        <f>Orders[[#This Row],[Quantity]]*Orders[[#This Row],[Selling Price]]</f>
        <v>4872.7999999999993</v>
      </c>
      <c r="K244" s="13">
        <f>Orders[[#This Row],[Quantity]]*Orders[[#This Row],[Cost Price]]</f>
        <v>4141.8799999999992</v>
      </c>
      <c r="L244" s="13">
        <f>Orders[[#This Row],[Revenue]]-Orders[[#This Row],[Expenses]]</f>
        <v>730.92000000000007</v>
      </c>
      <c r="M244" t="s">
        <v>2199</v>
      </c>
      <c r="N244" t="str">
        <f>_xlfn.XLOOKUP(Orders[[#This Row],[CustomerID]],Customers[CustomerID],Customers[CustomerName])</f>
        <v>Amina Obi</v>
      </c>
      <c r="O244" t="str">
        <f>_xlfn.XLOOKUP(Orders[[#This Row],[CustomerID]],Customers[CustomerID],Customers[City])</f>
        <v>Florida</v>
      </c>
      <c r="P244" t="str">
        <f>_xlfn.XLOOKUP(Orders[[#This Row],[CustomerID]],Customers[CustomerID],Customers[Gender])</f>
        <v>Female</v>
      </c>
      <c r="Q244">
        <f>_xlfn.XLOOKUP(Orders[[#This Row],[CustomerID]],Customers[CustomerID],Customers[CustomerAge])</f>
        <v>29</v>
      </c>
      <c r="R244" t="str">
        <f>IF(Orders[[#This Row],[CustomerAge]]&gt;=35, "Older", "Young")</f>
        <v>Young</v>
      </c>
      <c r="S244" t="str">
        <f>_xlfn.XLOOKUP(Orders[[#This Row],[ProductID]],Products[ProductID],Products[ProductName])</f>
        <v>Kids Games</v>
      </c>
      <c r="T244" t="str">
        <f>_xlfn.XLOOKUP(Orders[[#This Row],[ProductID]],Products[ProductID],Products[Category])</f>
        <v>Games</v>
      </c>
    </row>
    <row r="245" spans="1:20" x14ac:dyDescent="0.25">
      <c r="A245" s="4" t="s">
        <v>406</v>
      </c>
      <c r="B245" s="5">
        <v>45969</v>
      </c>
      <c r="C245" s="15">
        <f>WEEKNUM(Orders[[#This Row],[OrderDate]])</f>
        <v>45</v>
      </c>
      <c r="D245" s="15" t="str">
        <f>TEXT(Orders[[#This Row],[OrderDate]],"mmmm")</f>
        <v>November</v>
      </c>
      <c r="E245" s="4" t="s">
        <v>159</v>
      </c>
      <c r="F245" s="4" t="s">
        <v>63</v>
      </c>
      <c r="G245" s="4">
        <v>9</v>
      </c>
      <c r="H245" s="12">
        <v>7042.4</v>
      </c>
      <c r="I245" s="13">
        <v>5986.04</v>
      </c>
      <c r="J245" s="13">
        <f>Orders[[#This Row],[Quantity]]*Orders[[#This Row],[Selling Price]]</f>
        <v>63381.599999999999</v>
      </c>
      <c r="K245" s="13">
        <f>Orders[[#This Row],[Quantity]]*Orders[[#This Row],[Cost Price]]</f>
        <v>53874.36</v>
      </c>
      <c r="L245" s="13">
        <f>Orders[[#This Row],[Revenue]]-Orders[[#This Row],[Expenses]]</f>
        <v>9507.239999999998</v>
      </c>
      <c r="M245" t="s">
        <v>2216</v>
      </c>
      <c r="N245" t="str">
        <f>_xlfn.XLOOKUP(Orders[[#This Row],[CustomerID]],Customers[CustomerID],Customers[CustomerName])</f>
        <v>Ibrahim Okonkwo</v>
      </c>
      <c r="O245" t="str">
        <f>_xlfn.XLOOKUP(Orders[[#This Row],[CustomerID]],Customers[CustomerID],Customers[City])</f>
        <v>Florida</v>
      </c>
      <c r="P245" t="str">
        <f>_xlfn.XLOOKUP(Orders[[#This Row],[CustomerID]],Customers[CustomerID],Customers[Gender])</f>
        <v>Male</v>
      </c>
      <c r="Q245">
        <f>_xlfn.XLOOKUP(Orders[[#This Row],[CustomerID]],Customers[CustomerID],Customers[CustomerAge])</f>
        <v>49</v>
      </c>
      <c r="R245" t="str">
        <f>IF(Orders[[#This Row],[CustomerAge]]&gt;=35, "Older", "Young")</f>
        <v>Older</v>
      </c>
      <c r="S245" t="str">
        <f>_xlfn.XLOOKUP(Orders[[#This Row],[ProductID]],Products[ProductID],Products[ProductName])</f>
        <v>Tennis Bat</v>
      </c>
      <c r="T245" t="str">
        <f>_xlfn.XLOOKUP(Orders[[#This Row],[ProductID]],Products[ProductID],Products[Category])</f>
        <v>Sports</v>
      </c>
    </row>
    <row r="246" spans="1:20" x14ac:dyDescent="0.25">
      <c r="A246" s="4" t="s">
        <v>407</v>
      </c>
      <c r="B246" s="5">
        <v>46007</v>
      </c>
      <c r="C246" s="15">
        <f>WEEKNUM(Orders[[#This Row],[OrderDate]])</f>
        <v>51</v>
      </c>
      <c r="D246" s="15" t="str">
        <f>TEXT(Orders[[#This Row],[OrderDate]],"mmmm")</f>
        <v>December</v>
      </c>
      <c r="E246" s="4" t="s">
        <v>275</v>
      </c>
      <c r="F246" s="4" t="s">
        <v>151</v>
      </c>
      <c r="G246" s="4">
        <v>4</v>
      </c>
      <c r="H246" s="12">
        <v>14190.599999999999</v>
      </c>
      <c r="I246" s="13">
        <v>12062.009999999998</v>
      </c>
      <c r="J246" s="13">
        <f>Orders[[#This Row],[Quantity]]*Orders[[#This Row],[Selling Price]]</f>
        <v>56762.399999999994</v>
      </c>
      <c r="K246" s="13">
        <f>Orders[[#This Row],[Quantity]]*Orders[[#This Row],[Cost Price]]</f>
        <v>48248.039999999994</v>
      </c>
      <c r="L246" s="13">
        <f>Orders[[#This Row],[Revenue]]-Orders[[#This Row],[Expenses]]</f>
        <v>8514.36</v>
      </c>
      <c r="M246" t="s">
        <v>2194</v>
      </c>
      <c r="N246" t="str">
        <f>_xlfn.XLOOKUP(Orders[[#This Row],[CustomerID]],Customers[CustomerID],Customers[CustomerName])</f>
        <v>Ngozi Danladi</v>
      </c>
      <c r="O246" t="str">
        <f>_xlfn.XLOOKUP(Orders[[#This Row],[CustomerID]],Customers[CustomerID],Customers[City])</f>
        <v>Texas</v>
      </c>
      <c r="P246" t="str">
        <f>_xlfn.XLOOKUP(Orders[[#This Row],[CustomerID]],Customers[CustomerID],Customers[Gender])</f>
        <v>Female</v>
      </c>
      <c r="Q246">
        <f>_xlfn.XLOOKUP(Orders[[#This Row],[CustomerID]],Customers[CustomerID],Customers[CustomerAge])</f>
        <v>25</v>
      </c>
      <c r="R246" t="str">
        <f>IF(Orders[[#This Row],[CustomerAge]]&gt;=35, "Older", "Young")</f>
        <v>Young</v>
      </c>
      <c r="S246" t="str">
        <f>_xlfn.XLOOKUP(Orders[[#This Row],[ProductID]],Products[ProductID],Products[ProductName])</f>
        <v>Checkers</v>
      </c>
      <c r="T246" t="str">
        <f>_xlfn.XLOOKUP(Orders[[#This Row],[ProductID]],Products[ProductID],Products[Category])</f>
        <v>Games</v>
      </c>
    </row>
    <row r="247" spans="1:20" x14ac:dyDescent="0.25">
      <c r="A247" s="4" t="s">
        <v>408</v>
      </c>
      <c r="B247" s="5">
        <v>45952</v>
      </c>
      <c r="C247" s="15">
        <f>WEEKNUM(Orders[[#This Row],[OrderDate]])</f>
        <v>43</v>
      </c>
      <c r="D247" s="15" t="str">
        <f>TEXT(Orders[[#This Row],[OrderDate]],"mmmm")</f>
        <v>October</v>
      </c>
      <c r="E247" s="4" t="s">
        <v>136</v>
      </c>
      <c r="F247" s="4" t="s">
        <v>81</v>
      </c>
      <c r="G247" s="4">
        <v>2</v>
      </c>
      <c r="H247" s="12">
        <v>12676.5</v>
      </c>
      <c r="I247" s="13">
        <v>10775.025</v>
      </c>
      <c r="J247" s="13">
        <f>Orders[[#This Row],[Quantity]]*Orders[[#This Row],[Selling Price]]</f>
        <v>25353</v>
      </c>
      <c r="K247" s="13">
        <f>Orders[[#This Row],[Quantity]]*Orders[[#This Row],[Cost Price]]</f>
        <v>21550.05</v>
      </c>
      <c r="L247" s="13">
        <f>Orders[[#This Row],[Revenue]]-Orders[[#This Row],[Expenses]]</f>
        <v>3802.9500000000007</v>
      </c>
      <c r="M247" t="s">
        <v>2218</v>
      </c>
      <c r="N247" t="str">
        <f>_xlfn.XLOOKUP(Orders[[#This Row],[CustomerID]],Customers[CustomerID],Customers[CustomerName])</f>
        <v>Chinedu Obi</v>
      </c>
      <c r="O247" t="str">
        <f>_xlfn.XLOOKUP(Orders[[#This Row],[CustomerID]],Customers[CustomerID],Customers[City])</f>
        <v>California</v>
      </c>
      <c r="P247" t="str">
        <f>_xlfn.XLOOKUP(Orders[[#This Row],[CustomerID]],Customers[CustomerID],Customers[Gender])</f>
        <v>Male</v>
      </c>
      <c r="Q247">
        <f>_xlfn.XLOOKUP(Orders[[#This Row],[CustomerID]],Customers[CustomerID],Customers[CustomerAge])</f>
        <v>27</v>
      </c>
      <c r="R247" t="str">
        <f>IF(Orders[[#This Row],[CustomerAge]]&gt;=35, "Older", "Young")</f>
        <v>Young</v>
      </c>
      <c r="S247" t="str">
        <f>_xlfn.XLOOKUP(Orders[[#This Row],[ProductID]],Products[ProductID],Products[ProductName])</f>
        <v>Trousers</v>
      </c>
      <c r="T247" t="str">
        <f>_xlfn.XLOOKUP(Orders[[#This Row],[ProductID]],Products[ProductID],Products[Category])</f>
        <v>Clothing</v>
      </c>
    </row>
    <row r="248" spans="1:20" x14ac:dyDescent="0.25">
      <c r="A248" s="4" t="s">
        <v>409</v>
      </c>
      <c r="B248" s="5">
        <v>46016</v>
      </c>
      <c r="C248" s="15">
        <f>WEEKNUM(Orders[[#This Row],[OrderDate]])</f>
        <v>52</v>
      </c>
      <c r="D248" s="15" t="str">
        <f>TEXT(Orders[[#This Row],[OrderDate]],"mmmm")</f>
        <v>December</v>
      </c>
      <c r="E248" s="4" t="s">
        <v>410</v>
      </c>
      <c r="F248" s="4" t="s">
        <v>37</v>
      </c>
      <c r="G248" s="4">
        <v>5</v>
      </c>
      <c r="H248" s="12">
        <v>17069.8</v>
      </c>
      <c r="I248" s="13">
        <v>14509.33</v>
      </c>
      <c r="J248" s="13">
        <f>Orders[[#This Row],[Quantity]]*Orders[[#This Row],[Selling Price]]</f>
        <v>85349</v>
      </c>
      <c r="K248" s="13">
        <f>Orders[[#This Row],[Quantity]]*Orders[[#This Row],[Cost Price]]</f>
        <v>72546.649999999994</v>
      </c>
      <c r="L248" s="13">
        <f>Orders[[#This Row],[Revenue]]-Orders[[#This Row],[Expenses]]</f>
        <v>12802.350000000006</v>
      </c>
      <c r="M248" t="s">
        <v>2194</v>
      </c>
      <c r="N248" t="str">
        <f>_xlfn.XLOOKUP(Orders[[#This Row],[CustomerID]],Customers[CustomerID],Customers[CustomerName])</f>
        <v>Jane Thomas</v>
      </c>
      <c r="O248" t="str">
        <f>_xlfn.XLOOKUP(Orders[[#This Row],[CustomerID]],Customers[CustomerID],Customers[City])</f>
        <v>Texas</v>
      </c>
      <c r="P248" t="str">
        <f>_xlfn.XLOOKUP(Orders[[#This Row],[CustomerID]],Customers[CustomerID],Customers[Gender])</f>
        <v>Male</v>
      </c>
      <c r="Q248">
        <f>_xlfn.XLOOKUP(Orders[[#This Row],[CustomerID]],Customers[CustomerID],Customers[CustomerAge])</f>
        <v>21</v>
      </c>
      <c r="R248" t="str">
        <f>IF(Orders[[#This Row],[CustomerAge]]&gt;=35, "Older", "Young")</f>
        <v>Young</v>
      </c>
      <c r="S248" t="str">
        <f>_xlfn.XLOOKUP(Orders[[#This Row],[ProductID]],Products[ProductID],Products[ProductName])</f>
        <v>Iron</v>
      </c>
      <c r="T248" t="str">
        <f>_xlfn.XLOOKUP(Orders[[#This Row],[ProductID]],Products[ProductID],Products[Category])</f>
        <v>Electronics</v>
      </c>
    </row>
    <row r="249" spans="1:20" x14ac:dyDescent="0.25">
      <c r="A249" s="4" t="s">
        <v>411</v>
      </c>
      <c r="B249" s="5">
        <v>45957</v>
      </c>
      <c r="C249" s="15">
        <f>WEEKNUM(Orders[[#This Row],[OrderDate]])</f>
        <v>44</v>
      </c>
      <c r="D249" s="15" t="str">
        <f>TEXT(Orders[[#This Row],[OrderDate]],"mmmm")</f>
        <v>October</v>
      </c>
      <c r="E249" s="4" t="s">
        <v>295</v>
      </c>
      <c r="F249" s="4" t="s">
        <v>76</v>
      </c>
      <c r="G249" s="4">
        <v>5</v>
      </c>
      <c r="H249" s="12">
        <v>19317.900000000001</v>
      </c>
      <c r="I249" s="13">
        <v>16420.215</v>
      </c>
      <c r="J249" s="13">
        <f>Orders[[#This Row],[Quantity]]*Orders[[#This Row],[Selling Price]]</f>
        <v>96589.5</v>
      </c>
      <c r="K249" s="13">
        <f>Orders[[#This Row],[Quantity]]*Orders[[#This Row],[Cost Price]]</f>
        <v>82101.074999999997</v>
      </c>
      <c r="L249" s="13">
        <f>Orders[[#This Row],[Revenue]]-Orders[[#This Row],[Expenses]]</f>
        <v>14488.425000000003</v>
      </c>
      <c r="M249" t="s">
        <v>2211</v>
      </c>
      <c r="N249" t="str">
        <f>_xlfn.XLOOKUP(Orders[[#This Row],[CustomerID]],Customers[CustomerID],Customers[CustomerName])</f>
        <v>Sani Obi</v>
      </c>
      <c r="O249" t="str">
        <f>_xlfn.XLOOKUP(Orders[[#This Row],[CustomerID]],Customers[CustomerID],Customers[City])</f>
        <v>Texas</v>
      </c>
      <c r="P249" t="str">
        <f>_xlfn.XLOOKUP(Orders[[#This Row],[CustomerID]],Customers[CustomerID],Customers[Gender])</f>
        <v>Male</v>
      </c>
      <c r="Q249">
        <f>_xlfn.XLOOKUP(Orders[[#This Row],[CustomerID]],Customers[CustomerID],Customers[CustomerAge])</f>
        <v>31</v>
      </c>
      <c r="R249" t="str">
        <f>IF(Orders[[#This Row],[CustomerAge]]&gt;=35, "Older", "Young")</f>
        <v>Young</v>
      </c>
      <c r="S249" t="str">
        <f>_xlfn.XLOOKUP(Orders[[#This Row],[ProductID]],Products[ProductID],Products[ProductName])</f>
        <v>Blender</v>
      </c>
      <c r="T249" t="str">
        <f>_xlfn.XLOOKUP(Orders[[#This Row],[ProductID]],Products[ProductID],Products[Category])</f>
        <v>Electronics</v>
      </c>
    </row>
    <row r="250" spans="1:20" x14ac:dyDescent="0.25">
      <c r="A250" s="4" t="s">
        <v>412</v>
      </c>
      <c r="B250" s="5">
        <v>45975</v>
      </c>
      <c r="C250" s="15">
        <f>WEEKNUM(Orders[[#This Row],[OrderDate]])</f>
        <v>46</v>
      </c>
      <c r="D250" s="15" t="str">
        <f>TEXT(Orders[[#This Row],[OrderDate]],"mmmm")</f>
        <v>November</v>
      </c>
      <c r="E250" s="4" t="s">
        <v>305</v>
      </c>
      <c r="F250" s="4" t="s">
        <v>120</v>
      </c>
      <c r="G250" s="4">
        <v>10</v>
      </c>
      <c r="H250" s="12">
        <v>18670.899999999998</v>
      </c>
      <c r="I250" s="13">
        <v>15870.264999999998</v>
      </c>
      <c r="J250" s="13">
        <f>Orders[[#This Row],[Quantity]]*Orders[[#This Row],[Selling Price]]</f>
        <v>186708.99999999997</v>
      </c>
      <c r="K250" s="13">
        <f>Orders[[#This Row],[Quantity]]*Orders[[#This Row],[Cost Price]]</f>
        <v>158702.64999999997</v>
      </c>
      <c r="L250" s="13">
        <f>Orders[[#This Row],[Revenue]]-Orders[[#This Row],[Expenses]]</f>
        <v>28006.350000000006</v>
      </c>
      <c r="M250" t="s">
        <v>2201</v>
      </c>
      <c r="N250" t="str">
        <f>_xlfn.XLOOKUP(Orders[[#This Row],[CustomerID]],Customers[CustomerID],Customers[CustomerName])</f>
        <v>Tunde Danladi</v>
      </c>
      <c r="O250" t="str">
        <f>_xlfn.XLOOKUP(Orders[[#This Row],[CustomerID]],Customers[CustomerID],Customers[City])</f>
        <v>California</v>
      </c>
      <c r="P250" t="str">
        <f>_xlfn.XLOOKUP(Orders[[#This Row],[CustomerID]],Customers[CustomerID],Customers[Gender])</f>
        <v>Male</v>
      </c>
      <c r="Q250">
        <f>_xlfn.XLOOKUP(Orders[[#This Row],[CustomerID]],Customers[CustomerID],Customers[CustomerAge])</f>
        <v>40</v>
      </c>
      <c r="R250" t="str">
        <f>IF(Orders[[#This Row],[CustomerAge]]&gt;=35, "Older", "Young")</f>
        <v>Older</v>
      </c>
      <c r="S250" t="str">
        <f>_xlfn.XLOOKUP(Orders[[#This Row],[ProductID]],Products[ProductID],Products[ProductName])</f>
        <v>Chess</v>
      </c>
      <c r="T250" t="str">
        <f>_xlfn.XLOOKUP(Orders[[#This Row],[ProductID]],Products[ProductID],Products[Category])</f>
        <v>Games</v>
      </c>
    </row>
    <row r="251" spans="1:20" x14ac:dyDescent="0.25">
      <c r="A251" s="4" t="s">
        <v>413</v>
      </c>
      <c r="B251" s="5">
        <v>45980</v>
      </c>
      <c r="C251" s="15">
        <f>WEEKNUM(Orders[[#This Row],[OrderDate]])</f>
        <v>47</v>
      </c>
      <c r="D251" s="15" t="str">
        <f>TEXT(Orders[[#This Row],[OrderDate]],"mmmm")</f>
        <v>November</v>
      </c>
      <c r="E251" s="4" t="s">
        <v>138</v>
      </c>
      <c r="F251" s="4" t="s">
        <v>63</v>
      </c>
      <c r="G251" s="4">
        <v>3</v>
      </c>
      <c r="H251" s="12">
        <v>11629.9</v>
      </c>
      <c r="I251" s="13">
        <v>9885.4149999999991</v>
      </c>
      <c r="J251" s="13">
        <f>Orders[[#This Row],[Quantity]]*Orders[[#This Row],[Selling Price]]</f>
        <v>34889.699999999997</v>
      </c>
      <c r="K251" s="13">
        <f>Orders[[#This Row],[Quantity]]*Orders[[#This Row],[Cost Price]]</f>
        <v>29656.244999999995</v>
      </c>
      <c r="L251" s="13">
        <f>Orders[[#This Row],[Revenue]]-Orders[[#This Row],[Expenses]]</f>
        <v>5233.4550000000017</v>
      </c>
      <c r="M251" t="s">
        <v>2197</v>
      </c>
      <c r="N251" t="str">
        <f>_xlfn.XLOOKUP(Orders[[#This Row],[CustomerID]],Customers[CustomerID],Customers[CustomerName])</f>
        <v>Efe Adeyemi</v>
      </c>
      <c r="O251" t="str">
        <f>_xlfn.XLOOKUP(Orders[[#This Row],[CustomerID]],Customers[CustomerID],Customers[City])</f>
        <v>Washington</v>
      </c>
      <c r="P251" t="str">
        <f>_xlfn.XLOOKUP(Orders[[#This Row],[CustomerID]],Customers[CustomerID],Customers[Gender])</f>
        <v>Female</v>
      </c>
      <c r="Q251">
        <f>_xlfn.XLOOKUP(Orders[[#This Row],[CustomerID]],Customers[CustomerID],Customers[CustomerAge])</f>
        <v>22</v>
      </c>
      <c r="R251" t="str">
        <f>IF(Orders[[#This Row],[CustomerAge]]&gt;=35, "Older", "Young")</f>
        <v>Young</v>
      </c>
      <c r="S251" t="str">
        <f>_xlfn.XLOOKUP(Orders[[#This Row],[ProductID]],Products[ProductID],Products[ProductName])</f>
        <v>Tennis Bat</v>
      </c>
      <c r="T251" t="str">
        <f>_xlfn.XLOOKUP(Orders[[#This Row],[ProductID]],Products[ProductID],Products[Category])</f>
        <v>Sports</v>
      </c>
    </row>
    <row r="252" spans="1:20" x14ac:dyDescent="0.25">
      <c r="A252" s="4" t="s">
        <v>414</v>
      </c>
      <c r="B252" s="5">
        <v>45997</v>
      </c>
      <c r="C252" s="15">
        <f>WEEKNUM(Orders[[#This Row],[OrderDate]])</f>
        <v>49</v>
      </c>
      <c r="D252" s="15" t="str">
        <f>TEXT(Orders[[#This Row],[OrderDate]],"mmmm")</f>
        <v>December</v>
      </c>
      <c r="E252" s="4" t="s">
        <v>302</v>
      </c>
      <c r="F252" s="4" t="s">
        <v>70</v>
      </c>
      <c r="G252" s="4">
        <v>3</v>
      </c>
      <c r="H252" s="12">
        <v>11321.199999999999</v>
      </c>
      <c r="I252" s="13">
        <v>9623.0199999999986</v>
      </c>
      <c r="J252" s="13">
        <f>Orders[[#This Row],[Quantity]]*Orders[[#This Row],[Selling Price]]</f>
        <v>33963.599999999999</v>
      </c>
      <c r="K252" s="13">
        <f>Orders[[#This Row],[Quantity]]*Orders[[#This Row],[Cost Price]]</f>
        <v>28869.059999999998</v>
      </c>
      <c r="L252" s="13">
        <f>Orders[[#This Row],[Revenue]]-Orders[[#This Row],[Expenses]]</f>
        <v>5094.5400000000009</v>
      </c>
      <c r="M252" t="s">
        <v>2218</v>
      </c>
      <c r="N252" t="str">
        <f>_xlfn.XLOOKUP(Orders[[#This Row],[CustomerID]],Customers[CustomerID],Customers[CustomerName])</f>
        <v>Sani Bello</v>
      </c>
      <c r="O252" t="str">
        <f>_xlfn.XLOOKUP(Orders[[#This Row],[CustomerID]],Customers[CustomerID],Customers[City])</f>
        <v>Washington</v>
      </c>
      <c r="P252" t="str">
        <f>_xlfn.XLOOKUP(Orders[[#This Row],[CustomerID]],Customers[CustomerID],Customers[Gender])</f>
        <v>Male</v>
      </c>
      <c r="Q252">
        <f>_xlfn.XLOOKUP(Orders[[#This Row],[CustomerID]],Customers[CustomerID],Customers[CustomerAge])</f>
        <v>23</v>
      </c>
      <c r="R252" t="str">
        <f>IF(Orders[[#This Row],[CustomerAge]]&gt;=35, "Older", "Young")</f>
        <v>Young</v>
      </c>
      <c r="S252" t="str">
        <f>_xlfn.XLOOKUP(Orders[[#This Row],[ProductID]],Products[ProductID],Products[ProductName])</f>
        <v>Yoga Mat</v>
      </c>
      <c r="T252" t="str">
        <f>_xlfn.XLOOKUP(Orders[[#This Row],[ProductID]],Products[ProductID],Products[Category])</f>
        <v>Gym</v>
      </c>
    </row>
    <row r="253" spans="1:20" x14ac:dyDescent="0.25">
      <c r="A253" s="4" t="s">
        <v>415</v>
      </c>
      <c r="B253" s="5">
        <v>46014</v>
      </c>
      <c r="C253" s="15">
        <f>WEEKNUM(Orders[[#This Row],[OrderDate]])</f>
        <v>52</v>
      </c>
      <c r="D253" s="15" t="str">
        <f>TEXT(Orders[[#This Row],[OrderDate]],"mmmm")</f>
        <v>December</v>
      </c>
      <c r="E253" s="4" t="s">
        <v>416</v>
      </c>
      <c r="F253" s="4" t="s">
        <v>70</v>
      </c>
      <c r="G253" s="4">
        <v>8</v>
      </c>
      <c r="H253" s="12">
        <v>19687</v>
      </c>
      <c r="I253" s="13">
        <v>16733.95</v>
      </c>
      <c r="J253" s="13">
        <f>Orders[[#This Row],[Quantity]]*Orders[[#This Row],[Selling Price]]</f>
        <v>157496</v>
      </c>
      <c r="K253" s="13">
        <f>Orders[[#This Row],[Quantity]]*Orders[[#This Row],[Cost Price]]</f>
        <v>133871.6</v>
      </c>
      <c r="L253" s="13">
        <f>Orders[[#This Row],[Revenue]]-Orders[[#This Row],[Expenses]]</f>
        <v>23624.399999999994</v>
      </c>
      <c r="M253" t="s">
        <v>2211</v>
      </c>
      <c r="N253" t="str">
        <f>_xlfn.XLOOKUP(Orders[[#This Row],[CustomerID]],Customers[CustomerID],Customers[CustomerName])</f>
        <v>Chinedu Igwe</v>
      </c>
      <c r="O253" t="str">
        <f>_xlfn.XLOOKUP(Orders[[#This Row],[CustomerID]],Customers[CustomerID],Customers[City])</f>
        <v>Texas</v>
      </c>
      <c r="P253" t="str">
        <f>_xlfn.XLOOKUP(Orders[[#This Row],[CustomerID]],Customers[CustomerID],Customers[Gender])</f>
        <v>Male</v>
      </c>
      <c r="Q253">
        <f>_xlfn.XLOOKUP(Orders[[#This Row],[CustomerID]],Customers[CustomerID],Customers[CustomerAge])</f>
        <v>26</v>
      </c>
      <c r="R253" t="str">
        <f>IF(Orders[[#This Row],[CustomerAge]]&gt;=35, "Older", "Young")</f>
        <v>Young</v>
      </c>
      <c r="S253" t="str">
        <f>_xlfn.XLOOKUP(Orders[[#This Row],[ProductID]],Products[ProductID],Products[ProductName])</f>
        <v>Yoga Mat</v>
      </c>
      <c r="T253" t="str">
        <f>_xlfn.XLOOKUP(Orders[[#This Row],[ProductID]],Products[ProductID],Products[Category])</f>
        <v>Gym</v>
      </c>
    </row>
    <row r="254" spans="1:20" x14ac:dyDescent="0.25">
      <c r="A254" s="4" t="s">
        <v>417</v>
      </c>
      <c r="B254" s="5">
        <v>46009</v>
      </c>
      <c r="C254" s="15">
        <f>WEEKNUM(Orders[[#This Row],[OrderDate]])</f>
        <v>51</v>
      </c>
      <c r="D254" s="15" t="str">
        <f>TEXT(Orders[[#This Row],[OrderDate]],"mmmm")</f>
        <v>December</v>
      </c>
      <c r="E254" s="4" t="s">
        <v>418</v>
      </c>
      <c r="F254" s="4" t="s">
        <v>15</v>
      </c>
      <c r="G254" s="4">
        <v>1</v>
      </c>
      <c r="H254" s="12">
        <v>5083.5</v>
      </c>
      <c r="I254" s="13">
        <v>4320.9750000000004</v>
      </c>
      <c r="J254" s="13">
        <f>Orders[[#This Row],[Quantity]]*Orders[[#This Row],[Selling Price]]</f>
        <v>5083.5</v>
      </c>
      <c r="K254" s="13">
        <f>Orders[[#This Row],[Quantity]]*Orders[[#This Row],[Cost Price]]</f>
        <v>4320.9750000000004</v>
      </c>
      <c r="L254" s="13">
        <f>Orders[[#This Row],[Revenue]]-Orders[[#This Row],[Expenses]]</f>
        <v>762.52499999999964</v>
      </c>
      <c r="M254" t="s">
        <v>2211</v>
      </c>
      <c r="N254" t="str">
        <f>_xlfn.XLOOKUP(Orders[[#This Row],[CustomerID]],Customers[CustomerID],Customers[CustomerName])</f>
        <v>Amina Danladi</v>
      </c>
      <c r="O254" t="str">
        <f>_xlfn.XLOOKUP(Orders[[#This Row],[CustomerID]],Customers[CustomerID],Customers[City])</f>
        <v>Illinois</v>
      </c>
      <c r="P254" t="str">
        <f>_xlfn.XLOOKUP(Orders[[#This Row],[CustomerID]],Customers[CustomerID],Customers[Gender])</f>
        <v>Female</v>
      </c>
      <c r="Q254">
        <f>_xlfn.XLOOKUP(Orders[[#This Row],[CustomerID]],Customers[CustomerID],Customers[CustomerAge])</f>
        <v>20</v>
      </c>
      <c r="R254" t="str">
        <f>IF(Orders[[#This Row],[CustomerAge]]&gt;=35, "Older", "Young")</f>
        <v>Young</v>
      </c>
      <c r="S254" t="str">
        <f>_xlfn.XLOOKUP(Orders[[#This Row],[ProductID]],Products[ProductID],Products[ProductName])</f>
        <v>Monopoly</v>
      </c>
      <c r="T254" t="str">
        <f>_xlfn.XLOOKUP(Orders[[#This Row],[ProductID]],Products[ProductID],Products[Category])</f>
        <v>Games</v>
      </c>
    </row>
    <row r="255" spans="1:20" x14ac:dyDescent="0.25">
      <c r="A255" s="4" t="s">
        <v>419</v>
      </c>
      <c r="B255" s="5">
        <v>45942</v>
      </c>
      <c r="C255" s="15">
        <f>WEEKNUM(Orders[[#This Row],[OrderDate]])</f>
        <v>42</v>
      </c>
      <c r="D255" s="15" t="str">
        <f>TEXT(Orders[[#This Row],[OrderDate]],"mmmm")</f>
        <v>October</v>
      </c>
      <c r="E255" s="4" t="s">
        <v>322</v>
      </c>
      <c r="F255" s="4" t="s">
        <v>46</v>
      </c>
      <c r="G255" s="4">
        <v>6</v>
      </c>
      <c r="H255" s="12">
        <v>3567.3</v>
      </c>
      <c r="I255" s="13">
        <v>3032.2049999999999</v>
      </c>
      <c r="J255" s="13">
        <f>Orders[[#This Row],[Quantity]]*Orders[[#This Row],[Selling Price]]</f>
        <v>21403.800000000003</v>
      </c>
      <c r="K255" s="13">
        <f>Orders[[#This Row],[Quantity]]*Orders[[#This Row],[Cost Price]]</f>
        <v>18193.23</v>
      </c>
      <c r="L255" s="13">
        <f>Orders[[#This Row],[Revenue]]-Orders[[#This Row],[Expenses]]</f>
        <v>3210.5700000000033</v>
      </c>
      <c r="M255" t="s">
        <v>2215</v>
      </c>
      <c r="N255" t="str">
        <f>_xlfn.XLOOKUP(Orders[[#This Row],[CustomerID]],Customers[CustomerID],Customers[CustomerName])</f>
        <v>Ngozi Bello</v>
      </c>
      <c r="O255" t="str">
        <f>_xlfn.XLOOKUP(Orders[[#This Row],[CustomerID]],Customers[CustomerID],Customers[City])</f>
        <v>Washington</v>
      </c>
      <c r="P255" t="str">
        <f>_xlfn.XLOOKUP(Orders[[#This Row],[CustomerID]],Customers[CustomerID],Customers[Gender])</f>
        <v>Female</v>
      </c>
      <c r="Q255">
        <f>_xlfn.XLOOKUP(Orders[[#This Row],[CustomerID]],Customers[CustomerID],Customers[CustomerAge])</f>
        <v>32</v>
      </c>
      <c r="R255" t="str">
        <f>IF(Orders[[#This Row],[CustomerAge]]&gt;=35, "Older", "Young")</f>
        <v>Young</v>
      </c>
      <c r="S255" t="str">
        <f>_xlfn.XLOOKUP(Orders[[#This Row],[ProductID]],Products[ProductID],Products[ProductName])</f>
        <v>Turtle Neck</v>
      </c>
      <c r="T255" t="str">
        <f>_xlfn.XLOOKUP(Orders[[#This Row],[ProductID]],Products[ProductID],Products[Category])</f>
        <v>Clothing</v>
      </c>
    </row>
    <row r="256" spans="1:20" x14ac:dyDescent="0.25">
      <c r="A256" s="4" t="s">
        <v>420</v>
      </c>
      <c r="B256" s="5">
        <v>45940</v>
      </c>
      <c r="C256" s="15">
        <f>WEEKNUM(Orders[[#This Row],[OrderDate]])</f>
        <v>41</v>
      </c>
      <c r="D256" s="15" t="str">
        <f>TEXT(Orders[[#This Row],[OrderDate]],"mmmm")</f>
        <v>October</v>
      </c>
      <c r="E256" s="4" t="s">
        <v>52</v>
      </c>
      <c r="F256" s="4" t="s">
        <v>25</v>
      </c>
      <c r="G256" s="4">
        <v>6</v>
      </c>
      <c r="H256" s="12">
        <v>9695.2000000000007</v>
      </c>
      <c r="I256" s="13">
        <v>8240.92</v>
      </c>
      <c r="J256" s="13">
        <f>Orders[[#This Row],[Quantity]]*Orders[[#This Row],[Selling Price]]</f>
        <v>58171.200000000004</v>
      </c>
      <c r="K256" s="13">
        <f>Orders[[#This Row],[Quantity]]*Orders[[#This Row],[Cost Price]]</f>
        <v>49445.520000000004</v>
      </c>
      <c r="L256" s="13">
        <f>Orders[[#This Row],[Revenue]]-Orders[[#This Row],[Expenses]]</f>
        <v>8725.68</v>
      </c>
      <c r="M256" t="s">
        <v>2192</v>
      </c>
      <c r="N256" t="str">
        <f>_xlfn.XLOOKUP(Orders[[#This Row],[CustomerID]],Customers[CustomerID],Customers[CustomerName])</f>
        <v>Folasade Ojo</v>
      </c>
      <c r="O256" t="str">
        <f>_xlfn.XLOOKUP(Orders[[#This Row],[CustomerID]],Customers[CustomerID],Customers[City])</f>
        <v>Texas</v>
      </c>
      <c r="P256" t="str">
        <f>_xlfn.XLOOKUP(Orders[[#This Row],[CustomerID]],Customers[CustomerID],Customers[Gender])</f>
        <v>Female</v>
      </c>
      <c r="Q256">
        <f>_xlfn.XLOOKUP(Orders[[#This Row],[CustomerID]],Customers[CustomerID],Customers[CustomerAge])</f>
        <v>29</v>
      </c>
      <c r="R256" t="str">
        <f>IF(Orders[[#This Row],[CustomerAge]]&gt;=35, "Older", "Young")</f>
        <v>Young</v>
      </c>
      <c r="S256" t="str">
        <f>_xlfn.XLOOKUP(Orders[[#This Row],[ProductID]],Products[ProductID],Products[ProductName])</f>
        <v>Gold Rings</v>
      </c>
      <c r="T256" t="str">
        <f>_xlfn.XLOOKUP(Orders[[#This Row],[ProductID]],Products[ProductID],Products[Category])</f>
        <v>Accessories</v>
      </c>
    </row>
    <row r="257" spans="1:20" x14ac:dyDescent="0.25">
      <c r="A257" s="4" t="s">
        <v>421</v>
      </c>
      <c r="B257" s="5">
        <v>45997</v>
      </c>
      <c r="C257" s="15">
        <f>WEEKNUM(Orders[[#This Row],[OrderDate]])</f>
        <v>49</v>
      </c>
      <c r="D257" s="15" t="str">
        <f>TEXT(Orders[[#This Row],[OrderDate]],"mmmm")</f>
        <v>December</v>
      </c>
      <c r="E257" s="4" t="s">
        <v>14</v>
      </c>
      <c r="F257" s="4" t="s">
        <v>92</v>
      </c>
      <c r="G257" s="4">
        <v>3</v>
      </c>
      <c r="H257" s="12">
        <v>8799.9</v>
      </c>
      <c r="I257" s="13">
        <v>7479.915</v>
      </c>
      <c r="J257" s="13">
        <f>Orders[[#This Row],[Quantity]]*Orders[[#This Row],[Selling Price]]</f>
        <v>26399.699999999997</v>
      </c>
      <c r="K257" s="13">
        <f>Orders[[#This Row],[Quantity]]*Orders[[#This Row],[Cost Price]]</f>
        <v>22439.744999999999</v>
      </c>
      <c r="L257" s="13">
        <f>Orders[[#This Row],[Revenue]]-Orders[[#This Row],[Expenses]]</f>
        <v>3959.9549999999981</v>
      </c>
      <c r="M257" t="s">
        <v>2205</v>
      </c>
      <c r="N257" t="str">
        <f>_xlfn.XLOOKUP(Orders[[#This Row],[CustomerID]],Customers[CustomerID],Customers[CustomerName])</f>
        <v>Abiola Igwe</v>
      </c>
      <c r="O257" t="str">
        <f>_xlfn.XLOOKUP(Orders[[#This Row],[CustomerID]],Customers[CustomerID],Customers[City])</f>
        <v>Texas</v>
      </c>
      <c r="P257" t="str">
        <f>_xlfn.XLOOKUP(Orders[[#This Row],[CustomerID]],Customers[CustomerID],Customers[Gender])</f>
        <v>Male</v>
      </c>
      <c r="Q257">
        <f>_xlfn.XLOOKUP(Orders[[#This Row],[CustomerID]],Customers[CustomerID],Customers[CustomerAge])</f>
        <v>39</v>
      </c>
      <c r="R257" t="str">
        <f>IF(Orders[[#This Row],[CustomerAge]]&gt;=35, "Older", "Young")</f>
        <v>Older</v>
      </c>
      <c r="S257" t="str">
        <f>_xlfn.XLOOKUP(Orders[[#This Row],[ProductID]],Products[ProductID],Products[ProductName])</f>
        <v>Chest Expander</v>
      </c>
      <c r="T257" t="str">
        <f>_xlfn.XLOOKUP(Orders[[#This Row],[ProductID]],Products[ProductID],Products[Category])</f>
        <v>Gym</v>
      </c>
    </row>
    <row r="258" spans="1:20" x14ac:dyDescent="0.25">
      <c r="A258" s="4" t="s">
        <v>422</v>
      </c>
      <c r="B258" s="5">
        <v>45973</v>
      </c>
      <c r="C258" s="15">
        <f>WEEKNUM(Orders[[#This Row],[OrderDate]])</f>
        <v>46</v>
      </c>
      <c r="D258" s="15" t="str">
        <f>TEXT(Orders[[#This Row],[OrderDate]],"mmmm")</f>
        <v>November</v>
      </c>
      <c r="E258" s="4" t="s">
        <v>116</v>
      </c>
      <c r="F258" s="4" t="s">
        <v>70</v>
      </c>
      <c r="G258" s="4">
        <v>9</v>
      </c>
      <c r="H258" s="12">
        <v>12416</v>
      </c>
      <c r="I258" s="13">
        <v>10553.6</v>
      </c>
      <c r="J258" s="13">
        <f>Orders[[#This Row],[Quantity]]*Orders[[#This Row],[Selling Price]]</f>
        <v>111744</v>
      </c>
      <c r="K258" s="13">
        <f>Orders[[#This Row],[Quantity]]*Orders[[#This Row],[Cost Price]]</f>
        <v>94982.400000000009</v>
      </c>
      <c r="L258" s="13">
        <f>Orders[[#This Row],[Revenue]]-Orders[[#This Row],[Expenses]]</f>
        <v>16761.599999999991</v>
      </c>
      <c r="M258" t="s">
        <v>2200</v>
      </c>
      <c r="N258" t="str">
        <f>_xlfn.XLOOKUP(Orders[[#This Row],[CustomerID]],Customers[CustomerID],Customers[CustomerName])</f>
        <v>Uche Bello</v>
      </c>
      <c r="O258" t="str">
        <f>_xlfn.XLOOKUP(Orders[[#This Row],[CustomerID]],Customers[CustomerID],Customers[City])</f>
        <v>Texas</v>
      </c>
      <c r="P258" t="str">
        <f>_xlfn.XLOOKUP(Orders[[#This Row],[CustomerID]],Customers[CustomerID],Customers[Gender])</f>
        <v>Male</v>
      </c>
      <c r="Q258">
        <f>_xlfn.XLOOKUP(Orders[[#This Row],[CustomerID]],Customers[CustomerID],Customers[CustomerAge])</f>
        <v>21</v>
      </c>
      <c r="R258" t="str">
        <f>IF(Orders[[#This Row],[CustomerAge]]&gt;=35, "Older", "Young")</f>
        <v>Young</v>
      </c>
      <c r="S258" t="str">
        <f>_xlfn.XLOOKUP(Orders[[#This Row],[ProductID]],Products[ProductID],Products[ProductName])</f>
        <v>Yoga Mat</v>
      </c>
      <c r="T258" t="str">
        <f>_xlfn.XLOOKUP(Orders[[#This Row],[ProductID]],Products[ProductID],Products[Category])</f>
        <v>Gym</v>
      </c>
    </row>
    <row r="259" spans="1:20" x14ac:dyDescent="0.25">
      <c r="A259" s="4" t="s">
        <v>423</v>
      </c>
      <c r="B259" s="5">
        <v>45969</v>
      </c>
      <c r="C259" s="15">
        <f>WEEKNUM(Orders[[#This Row],[OrderDate]])</f>
        <v>45</v>
      </c>
      <c r="D259" s="15" t="str">
        <f>TEXT(Orders[[#This Row],[OrderDate]],"mmmm")</f>
        <v>November</v>
      </c>
      <c r="E259" s="4" t="s">
        <v>272</v>
      </c>
      <c r="F259" s="4" t="s">
        <v>151</v>
      </c>
      <c r="G259" s="4">
        <v>4</v>
      </c>
      <c r="H259" s="12">
        <v>15823</v>
      </c>
      <c r="I259" s="13">
        <v>13449.55</v>
      </c>
      <c r="J259" s="13">
        <f>Orders[[#This Row],[Quantity]]*Orders[[#This Row],[Selling Price]]</f>
        <v>63292</v>
      </c>
      <c r="K259" s="13">
        <f>Orders[[#This Row],[Quantity]]*Orders[[#This Row],[Cost Price]]</f>
        <v>53798.2</v>
      </c>
      <c r="L259" s="13">
        <f>Orders[[#This Row],[Revenue]]-Orders[[#This Row],[Expenses]]</f>
        <v>9493.8000000000029</v>
      </c>
      <c r="M259" t="s">
        <v>2213</v>
      </c>
      <c r="N259" t="str">
        <f>_xlfn.XLOOKUP(Orders[[#This Row],[CustomerID]],Customers[CustomerID],Customers[CustomerName])</f>
        <v>Blessing Bello</v>
      </c>
      <c r="O259" t="str">
        <f>_xlfn.XLOOKUP(Orders[[#This Row],[CustomerID]],Customers[CustomerID],Customers[City])</f>
        <v>Florida</v>
      </c>
      <c r="P259" t="str">
        <f>_xlfn.XLOOKUP(Orders[[#This Row],[CustomerID]],Customers[CustomerID],Customers[Gender])</f>
        <v>Female</v>
      </c>
      <c r="Q259">
        <f>_xlfn.XLOOKUP(Orders[[#This Row],[CustomerID]],Customers[CustomerID],Customers[CustomerAge])</f>
        <v>38</v>
      </c>
      <c r="R259" t="str">
        <f>IF(Orders[[#This Row],[CustomerAge]]&gt;=35, "Older", "Young")</f>
        <v>Older</v>
      </c>
      <c r="S259" t="str">
        <f>_xlfn.XLOOKUP(Orders[[#This Row],[ProductID]],Products[ProductID],Products[ProductName])</f>
        <v>Checkers</v>
      </c>
      <c r="T259" t="str">
        <f>_xlfn.XLOOKUP(Orders[[#This Row],[ProductID]],Products[ProductID],Products[Category])</f>
        <v>Games</v>
      </c>
    </row>
    <row r="260" spans="1:20" x14ac:dyDescent="0.25">
      <c r="A260" s="4" t="s">
        <v>424</v>
      </c>
      <c r="B260" s="5">
        <v>45993</v>
      </c>
      <c r="C260" s="15">
        <f>WEEKNUM(Orders[[#This Row],[OrderDate]])</f>
        <v>49</v>
      </c>
      <c r="D260" s="15" t="str">
        <f>TEXT(Orders[[#This Row],[OrderDate]],"mmmm")</f>
        <v>December</v>
      </c>
      <c r="E260" s="4" t="s">
        <v>62</v>
      </c>
      <c r="F260" s="4" t="s">
        <v>253</v>
      </c>
      <c r="G260" s="4">
        <v>8</v>
      </c>
      <c r="H260" s="12">
        <v>8019.6</v>
      </c>
      <c r="I260" s="13">
        <v>6816.66</v>
      </c>
      <c r="J260" s="13">
        <f>Orders[[#This Row],[Quantity]]*Orders[[#This Row],[Selling Price]]</f>
        <v>64156.800000000003</v>
      </c>
      <c r="K260" s="13">
        <f>Orders[[#This Row],[Quantity]]*Orders[[#This Row],[Cost Price]]</f>
        <v>54533.279999999999</v>
      </c>
      <c r="L260" s="13">
        <f>Orders[[#This Row],[Revenue]]-Orders[[#This Row],[Expenses]]</f>
        <v>9623.5200000000041</v>
      </c>
      <c r="M260" t="s">
        <v>2201</v>
      </c>
      <c r="N260" t="str">
        <f>_xlfn.XLOOKUP(Orders[[#This Row],[CustomerID]],Customers[CustomerID],Customers[CustomerName])</f>
        <v>Ronke Okonkwo</v>
      </c>
      <c r="O260" t="str">
        <f>_xlfn.XLOOKUP(Orders[[#This Row],[CustomerID]],Customers[CustomerID],Customers[City])</f>
        <v>Texas</v>
      </c>
      <c r="P260" t="str">
        <f>_xlfn.XLOOKUP(Orders[[#This Row],[CustomerID]],Customers[CustomerID],Customers[Gender])</f>
        <v>Female</v>
      </c>
      <c r="Q260">
        <f>_xlfn.XLOOKUP(Orders[[#This Row],[CustomerID]],Customers[CustomerID],Customers[CustomerAge])</f>
        <v>36</v>
      </c>
      <c r="R260" t="str">
        <f>IF(Orders[[#This Row],[CustomerAge]]&gt;=35, "Older", "Young")</f>
        <v>Older</v>
      </c>
      <c r="S260" t="str">
        <f>_xlfn.XLOOKUP(Orders[[#This Row],[ProductID]],Products[ProductID],Products[ProductName])</f>
        <v>Nose Rings</v>
      </c>
      <c r="T260" t="str">
        <f>_xlfn.XLOOKUP(Orders[[#This Row],[ProductID]],Products[ProductID],Products[Category])</f>
        <v>Accessories</v>
      </c>
    </row>
    <row r="261" spans="1:20" x14ac:dyDescent="0.25">
      <c r="A261" s="4" t="s">
        <v>425</v>
      </c>
      <c r="B261" s="5">
        <v>45968</v>
      </c>
      <c r="C261" s="15">
        <f>WEEKNUM(Orders[[#This Row],[OrderDate]])</f>
        <v>45</v>
      </c>
      <c r="D261" s="15" t="str">
        <f>TEXT(Orders[[#This Row],[OrderDate]],"mmmm")</f>
        <v>November</v>
      </c>
      <c r="E261" s="4" t="s">
        <v>426</v>
      </c>
      <c r="F261" s="4" t="s">
        <v>20</v>
      </c>
      <c r="G261" s="4">
        <v>1</v>
      </c>
      <c r="H261" s="12">
        <v>784</v>
      </c>
      <c r="I261" s="13">
        <v>666.4</v>
      </c>
      <c r="J261" s="13">
        <f>Orders[[#This Row],[Quantity]]*Orders[[#This Row],[Selling Price]]</f>
        <v>784</v>
      </c>
      <c r="K261" s="13">
        <f>Orders[[#This Row],[Quantity]]*Orders[[#This Row],[Cost Price]]</f>
        <v>666.4</v>
      </c>
      <c r="L261" s="13">
        <f>Orders[[#This Row],[Revenue]]-Orders[[#This Row],[Expenses]]</f>
        <v>117.60000000000002</v>
      </c>
      <c r="M261" t="s">
        <v>2214</v>
      </c>
      <c r="N261" t="str">
        <f>_xlfn.XLOOKUP(Orders[[#This Row],[CustomerID]],Customers[CustomerID],Customers[CustomerName])</f>
        <v>Chinedu Ojo</v>
      </c>
      <c r="O261" t="str">
        <f>_xlfn.XLOOKUP(Orders[[#This Row],[CustomerID]],Customers[CustomerID],Customers[City])</f>
        <v>Washington</v>
      </c>
      <c r="P261" t="str">
        <f>_xlfn.XLOOKUP(Orders[[#This Row],[CustomerID]],Customers[CustomerID],Customers[Gender])</f>
        <v>Male</v>
      </c>
      <c r="Q261">
        <f>_xlfn.XLOOKUP(Orders[[#This Row],[CustomerID]],Customers[CustomerID],Customers[CustomerAge])</f>
        <v>18</v>
      </c>
      <c r="R261" t="str">
        <f>IF(Orders[[#This Row],[CustomerAge]]&gt;=35, "Older", "Young")</f>
        <v>Young</v>
      </c>
      <c r="S261" t="str">
        <f>_xlfn.XLOOKUP(Orders[[#This Row],[ProductID]],Products[ProductID],Products[ProductName])</f>
        <v>Gym Bag</v>
      </c>
      <c r="T261" t="str">
        <f>_xlfn.XLOOKUP(Orders[[#This Row],[ProductID]],Products[ProductID],Products[Category])</f>
        <v>Gym</v>
      </c>
    </row>
    <row r="262" spans="1:20" x14ac:dyDescent="0.25">
      <c r="A262" s="4" t="s">
        <v>427</v>
      </c>
      <c r="B262" s="5">
        <v>46022</v>
      </c>
      <c r="C262" s="15">
        <f>WEEKNUM(Orders[[#This Row],[OrderDate]])</f>
        <v>53</v>
      </c>
      <c r="D262" s="15" t="str">
        <f>TEXT(Orders[[#This Row],[OrderDate]],"mmmm")</f>
        <v>December</v>
      </c>
      <c r="E262" s="4" t="s">
        <v>156</v>
      </c>
      <c r="F262" s="4" t="s">
        <v>63</v>
      </c>
      <c r="G262" s="4">
        <v>7</v>
      </c>
      <c r="H262" s="12">
        <v>17253.699999999997</v>
      </c>
      <c r="I262" s="13">
        <v>14665.644999999997</v>
      </c>
      <c r="J262" s="13">
        <f>Orders[[#This Row],[Quantity]]*Orders[[#This Row],[Selling Price]]</f>
        <v>120775.89999999998</v>
      </c>
      <c r="K262" s="13">
        <f>Orders[[#This Row],[Quantity]]*Orders[[#This Row],[Cost Price]]</f>
        <v>102659.51499999998</v>
      </c>
      <c r="L262" s="13">
        <f>Orders[[#This Row],[Revenue]]-Orders[[#This Row],[Expenses]]</f>
        <v>18116.384999999995</v>
      </c>
      <c r="M262" t="s">
        <v>2205</v>
      </c>
      <c r="N262" t="str">
        <f>_xlfn.XLOOKUP(Orders[[#This Row],[CustomerID]],Customers[CustomerID],Customers[CustomerName])</f>
        <v>Obi Okonkwo</v>
      </c>
      <c r="O262" t="str">
        <f>_xlfn.XLOOKUP(Orders[[#This Row],[CustomerID]],Customers[CustomerID],Customers[City])</f>
        <v>Florida</v>
      </c>
      <c r="P262" t="str">
        <f>_xlfn.XLOOKUP(Orders[[#This Row],[CustomerID]],Customers[CustomerID],Customers[Gender])</f>
        <v>Male</v>
      </c>
      <c r="Q262">
        <f>_xlfn.XLOOKUP(Orders[[#This Row],[CustomerID]],Customers[CustomerID],Customers[CustomerAge])</f>
        <v>52</v>
      </c>
      <c r="R262" t="str">
        <f>IF(Orders[[#This Row],[CustomerAge]]&gt;=35, "Older", "Young")</f>
        <v>Older</v>
      </c>
      <c r="S262" t="str">
        <f>_xlfn.XLOOKUP(Orders[[#This Row],[ProductID]],Products[ProductID],Products[ProductName])</f>
        <v>Tennis Bat</v>
      </c>
      <c r="T262" t="str">
        <f>_xlfn.XLOOKUP(Orders[[#This Row],[ProductID]],Products[ProductID],Products[Category])</f>
        <v>Sports</v>
      </c>
    </row>
    <row r="263" spans="1:20" x14ac:dyDescent="0.25">
      <c r="A263" s="4" t="s">
        <v>428</v>
      </c>
      <c r="B263" s="5">
        <v>46010</v>
      </c>
      <c r="C263" s="15">
        <f>WEEKNUM(Orders[[#This Row],[OrderDate]])</f>
        <v>51</v>
      </c>
      <c r="D263" s="15" t="str">
        <f>TEXT(Orders[[#This Row],[OrderDate]],"mmmm")</f>
        <v>December</v>
      </c>
      <c r="E263" s="4" t="s">
        <v>307</v>
      </c>
      <c r="F263" s="4" t="s">
        <v>63</v>
      </c>
      <c r="G263" s="4">
        <v>5</v>
      </c>
      <c r="H263" s="12">
        <v>13807.9</v>
      </c>
      <c r="I263" s="13">
        <v>11736.715</v>
      </c>
      <c r="J263" s="13">
        <f>Orders[[#This Row],[Quantity]]*Orders[[#This Row],[Selling Price]]</f>
        <v>69039.5</v>
      </c>
      <c r="K263" s="13">
        <f>Orders[[#This Row],[Quantity]]*Orders[[#This Row],[Cost Price]]</f>
        <v>58683.574999999997</v>
      </c>
      <c r="L263" s="13">
        <f>Orders[[#This Row],[Revenue]]-Orders[[#This Row],[Expenses]]</f>
        <v>10355.925000000003</v>
      </c>
      <c r="M263" t="s">
        <v>2214</v>
      </c>
      <c r="N263" t="str">
        <f>_xlfn.XLOOKUP(Orders[[#This Row],[CustomerID]],Customers[CustomerID],Customers[CustomerName])</f>
        <v>Adanma Bello</v>
      </c>
      <c r="O263" t="str">
        <f>_xlfn.XLOOKUP(Orders[[#This Row],[CustomerID]],Customers[CustomerID],Customers[City])</f>
        <v>Illinois</v>
      </c>
      <c r="P263" t="str">
        <f>_xlfn.XLOOKUP(Orders[[#This Row],[CustomerID]],Customers[CustomerID],Customers[Gender])</f>
        <v>Female</v>
      </c>
      <c r="Q263">
        <f>_xlfn.XLOOKUP(Orders[[#This Row],[CustomerID]],Customers[CustomerID],Customers[CustomerAge])</f>
        <v>51</v>
      </c>
      <c r="R263" t="str">
        <f>IF(Orders[[#This Row],[CustomerAge]]&gt;=35, "Older", "Young")</f>
        <v>Older</v>
      </c>
      <c r="S263" t="str">
        <f>_xlfn.XLOOKUP(Orders[[#This Row],[ProductID]],Products[ProductID],Products[ProductName])</f>
        <v>Tennis Bat</v>
      </c>
      <c r="T263" t="str">
        <f>_xlfn.XLOOKUP(Orders[[#This Row],[ProductID]],Products[ProductID],Products[Category])</f>
        <v>Sports</v>
      </c>
    </row>
    <row r="264" spans="1:20" x14ac:dyDescent="0.25">
      <c r="A264" s="4" t="s">
        <v>429</v>
      </c>
      <c r="B264" s="5">
        <v>45969</v>
      </c>
      <c r="C264" s="15">
        <f>WEEKNUM(Orders[[#This Row],[OrderDate]])</f>
        <v>45</v>
      </c>
      <c r="D264" s="15" t="str">
        <f>TEXT(Orders[[#This Row],[OrderDate]],"mmmm")</f>
        <v>November</v>
      </c>
      <c r="E264" s="4" t="s">
        <v>101</v>
      </c>
      <c r="F264" s="4" t="s">
        <v>151</v>
      </c>
      <c r="G264" s="4">
        <v>10</v>
      </c>
      <c r="H264" s="12">
        <v>8816.2000000000007</v>
      </c>
      <c r="I264" s="13">
        <v>7493.77</v>
      </c>
      <c r="J264" s="13">
        <f>Orders[[#This Row],[Quantity]]*Orders[[#This Row],[Selling Price]]</f>
        <v>88162</v>
      </c>
      <c r="K264" s="13">
        <f>Orders[[#This Row],[Quantity]]*Orders[[#This Row],[Cost Price]]</f>
        <v>74937.700000000012</v>
      </c>
      <c r="L264" s="13">
        <f>Orders[[#This Row],[Revenue]]-Orders[[#This Row],[Expenses]]</f>
        <v>13224.299999999988</v>
      </c>
      <c r="M264" t="s">
        <v>2216</v>
      </c>
      <c r="N264" t="str">
        <f>_xlfn.XLOOKUP(Orders[[#This Row],[CustomerID]],Customers[CustomerID],Customers[CustomerName])</f>
        <v>Blessing Eze</v>
      </c>
      <c r="O264" t="str">
        <f>_xlfn.XLOOKUP(Orders[[#This Row],[CustomerID]],Customers[CustomerID],Customers[City])</f>
        <v>Texas</v>
      </c>
      <c r="P264" t="str">
        <f>_xlfn.XLOOKUP(Orders[[#This Row],[CustomerID]],Customers[CustomerID],Customers[Gender])</f>
        <v>Female</v>
      </c>
      <c r="Q264">
        <f>_xlfn.XLOOKUP(Orders[[#This Row],[CustomerID]],Customers[CustomerID],Customers[CustomerAge])</f>
        <v>55</v>
      </c>
      <c r="R264" t="str">
        <f>IF(Orders[[#This Row],[CustomerAge]]&gt;=35, "Older", "Young")</f>
        <v>Older</v>
      </c>
      <c r="S264" t="str">
        <f>_xlfn.XLOOKUP(Orders[[#This Row],[ProductID]],Products[ProductID],Products[ProductName])</f>
        <v>Checkers</v>
      </c>
      <c r="T264" t="str">
        <f>_xlfn.XLOOKUP(Orders[[#This Row],[ProductID]],Products[ProductID],Products[Category])</f>
        <v>Games</v>
      </c>
    </row>
    <row r="265" spans="1:20" x14ac:dyDescent="0.25">
      <c r="A265" s="4" t="s">
        <v>430</v>
      </c>
      <c r="B265" s="5">
        <v>46007</v>
      </c>
      <c r="C265" s="15">
        <f>WEEKNUM(Orders[[#This Row],[OrderDate]])</f>
        <v>51</v>
      </c>
      <c r="D265" s="15" t="str">
        <f>TEXT(Orders[[#This Row],[OrderDate]],"mmmm")</f>
        <v>December</v>
      </c>
      <c r="E265" s="4" t="s">
        <v>110</v>
      </c>
      <c r="F265" s="4" t="s">
        <v>63</v>
      </c>
      <c r="G265" s="4">
        <v>4</v>
      </c>
      <c r="H265" s="12">
        <v>15723.5</v>
      </c>
      <c r="I265" s="13">
        <v>13364.975</v>
      </c>
      <c r="J265" s="13">
        <f>Orders[[#This Row],[Quantity]]*Orders[[#This Row],[Selling Price]]</f>
        <v>62894</v>
      </c>
      <c r="K265" s="13">
        <f>Orders[[#This Row],[Quantity]]*Orders[[#This Row],[Cost Price]]</f>
        <v>53459.9</v>
      </c>
      <c r="L265" s="13">
        <f>Orders[[#This Row],[Revenue]]-Orders[[#This Row],[Expenses]]</f>
        <v>9434.0999999999985</v>
      </c>
      <c r="M265" t="s">
        <v>2208</v>
      </c>
      <c r="N265" t="str">
        <f>_xlfn.XLOOKUP(Orders[[#This Row],[CustomerID]],Customers[CustomerID],Customers[CustomerName])</f>
        <v>Ngozi Danladi</v>
      </c>
      <c r="O265" t="str">
        <f>_xlfn.XLOOKUP(Orders[[#This Row],[CustomerID]],Customers[CustomerID],Customers[City])</f>
        <v>Washington</v>
      </c>
      <c r="P265" t="str">
        <f>_xlfn.XLOOKUP(Orders[[#This Row],[CustomerID]],Customers[CustomerID],Customers[Gender])</f>
        <v>Female</v>
      </c>
      <c r="Q265">
        <f>_xlfn.XLOOKUP(Orders[[#This Row],[CustomerID]],Customers[CustomerID],Customers[CustomerAge])</f>
        <v>28</v>
      </c>
      <c r="R265" t="str">
        <f>IF(Orders[[#This Row],[CustomerAge]]&gt;=35, "Older", "Young")</f>
        <v>Young</v>
      </c>
      <c r="S265" t="str">
        <f>_xlfn.XLOOKUP(Orders[[#This Row],[ProductID]],Products[ProductID],Products[ProductName])</f>
        <v>Tennis Bat</v>
      </c>
      <c r="T265" t="str">
        <f>_xlfn.XLOOKUP(Orders[[#This Row],[ProductID]],Products[ProductID],Products[Category])</f>
        <v>Sports</v>
      </c>
    </row>
    <row r="266" spans="1:20" x14ac:dyDescent="0.25">
      <c r="A266" s="4" t="s">
        <v>431</v>
      </c>
      <c r="B266" s="5">
        <v>45936</v>
      </c>
      <c r="C266" s="15">
        <f>WEEKNUM(Orders[[#This Row],[OrderDate]])</f>
        <v>41</v>
      </c>
      <c r="D266" s="15" t="str">
        <f>TEXT(Orders[[#This Row],[OrderDate]],"mmmm")</f>
        <v>October</v>
      </c>
      <c r="E266" s="4" t="s">
        <v>91</v>
      </c>
      <c r="F266" s="4" t="s">
        <v>46</v>
      </c>
      <c r="G266" s="4">
        <v>10</v>
      </c>
      <c r="H266" s="12">
        <v>5337.7999999999993</v>
      </c>
      <c r="I266" s="13">
        <v>4537.1299999999992</v>
      </c>
      <c r="J266" s="13">
        <f>Orders[[#This Row],[Quantity]]*Orders[[#This Row],[Selling Price]]</f>
        <v>53377.999999999993</v>
      </c>
      <c r="K266" s="13">
        <f>Orders[[#This Row],[Quantity]]*Orders[[#This Row],[Cost Price]]</f>
        <v>45371.299999999988</v>
      </c>
      <c r="L266" s="13">
        <f>Orders[[#This Row],[Revenue]]-Orders[[#This Row],[Expenses]]</f>
        <v>8006.7000000000044</v>
      </c>
      <c r="M266" t="s">
        <v>2210</v>
      </c>
      <c r="N266" t="str">
        <f>_xlfn.XLOOKUP(Orders[[#This Row],[CustomerID]],Customers[CustomerID],Customers[CustomerName])</f>
        <v>Uche Abubakar</v>
      </c>
      <c r="O266" t="str">
        <f>_xlfn.XLOOKUP(Orders[[#This Row],[CustomerID]],Customers[CustomerID],Customers[City])</f>
        <v>Florida</v>
      </c>
      <c r="P266" t="str">
        <f>_xlfn.XLOOKUP(Orders[[#This Row],[CustomerID]],Customers[CustomerID],Customers[Gender])</f>
        <v>Male</v>
      </c>
      <c r="Q266">
        <f>_xlfn.XLOOKUP(Orders[[#This Row],[CustomerID]],Customers[CustomerID],Customers[CustomerAge])</f>
        <v>28</v>
      </c>
      <c r="R266" t="str">
        <f>IF(Orders[[#This Row],[CustomerAge]]&gt;=35, "Older", "Young")</f>
        <v>Young</v>
      </c>
      <c r="S266" t="str">
        <f>_xlfn.XLOOKUP(Orders[[#This Row],[ProductID]],Products[ProductID],Products[ProductName])</f>
        <v>Turtle Neck</v>
      </c>
      <c r="T266" t="str">
        <f>_xlfn.XLOOKUP(Orders[[#This Row],[ProductID]],Products[ProductID],Products[Category])</f>
        <v>Clothing</v>
      </c>
    </row>
    <row r="267" spans="1:20" x14ac:dyDescent="0.25">
      <c r="A267" s="4" t="s">
        <v>432</v>
      </c>
      <c r="B267" s="5">
        <v>45997</v>
      </c>
      <c r="C267" s="15">
        <f>WEEKNUM(Orders[[#This Row],[OrderDate]])</f>
        <v>49</v>
      </c>
      <c r="D267" s="15" t="str">
        <f>TEXT(Orders[[#This Row],[OrderDate]],"mmmm")</f>
        <v>December</v>
      </c>
      <c r="E267" s="4" t="s">
        <v>223</v>
      </c>
      <c r="F267" s="4" t="s">
        <v>15</v>
      </c>
      <c r="G267" s="4">
        <v>5</v>
      </c>
      <c r="H267" s="12">
        <v>19464.3</v>
      </c>
      <c r="I267" s="13">
        <v>16544.654999999999</v>
      </c>
      <c r="J267" s="13">
        <f>Orders[[#This Row],[Quantity]]*Orders[[#This Row],[Selling Price]]</f>
        <v>97321.5</v>
      </c>
      <c r="K267" s="13">
        <f>Orders[[#This Row],[Quantity]]*Orders[[#This Row],[Cost Price]]</f>
        <v>82723.274999999994</v>
      </c>
      <c r="L267" s="13">
        <f>Orders[[#This Row],[Revenue]]-Orders[[#This Row],[Expenses]]</f>
        <v>14598.225000000006</v>
      </c>
      <c r="M267" t="s">
        <v>2211</v>
      </c>
      <c r="N267" t="str">
        <f>_xlfn.XLOOKUP(Orders[[#This Row],[CustomerID]],Customers[CustomerID],Customers[CustomerName])</f>
        <v>Blessing Danladi</v>
      </c>
      <c r="O267" t="str">
        <f>_xlfn.XLOOKUP(Orders[[#This Row],[CustomerID]],Customers[CustomerID],Customers[City])</f>
        <v>Washington</v>
      </c>
      <c r="P267" t="str">
        <f>_xlfn.XLOOKUP(Orders[[#This Row],[CustomerID]],Customers[CustomerID],Customers[Gender])</f>
        <v>Female</v>
      </c>
      <c r="Q267">
        <f>_xlfn.XLOOKUP(Orders[[#This Row],[CustomerID]],Customers[CustomerID],Customers[CustomerAge])</f>
        <v>20</v>
      </c>
      <c r="R267" t="str">
        <f>IF(Orders[[#This Row],[CustomerAge]]&gt;=35, "Older", "Young")</f>
        <v>Young</v>
      </c>
      <c r="S267" t="str">
        <f>_xlfn.XLOOKUP(Orders[[#This Row],[ProductID]],Products[ProductID],Products[ProductName])</f>
        <v>Monopoly</v>
      </c>
      <c r="T267" t="str">
        <f>_xlfn.XLOOKUP(Orders[[#This Row],[ProductID]],Products[ProductID],Products[Category])</f>
        <v>Games</v>
      </c>
    </row>
    <row r="268" spans="1:20" x14ac:dyDescent="0.25">
      <c r="A268" s="4" t="s">
        <v>433</v>
      </c>
      <c r="B268" s="5">
        <v>45972</v>
      </c>
      <c r="C268" s="15">
        <f>WEEKNUM(Orders[[#This Row],[OrderDate]])</f>
        <v>46</v>
      </c>
      <c r="D268" s="15" t="str">
        <f>TEXT(Orders[[#This Row],[OrderDate]],"mmmm")</f>
        <v>November</v>
      </c>
      <c r="E268" s="4" t="s">
        <v>205</v>
      </c>
      <c r="F268" s="4" t="s">
        <v>168</v>
      </c>
      <c r="G268" s="4">
        <v>9</v>
      </c>
      <c r="H268" s="12">
        <v>14512.9</v>
      </c>
      <c r="I268" s="13">
        <v>12335.965</v>
      </c>
      <c r="J268" s="13">
        <f>Orders[[#This Row],[Quantity]]*Orders[[#This Row],[Selling Price]]</f>
        <v>130616.09999999999</v>
      </c>
      <c r="K268" s="13">
        <f>Orders[[#This Row],[Quantity]]*Orders[[#This Row],[Cost Price]]</f>
        <v>111023.685</v>
      </c>
      <c r="L268" s="13">
        <f>Orders[[#This Row],[Revenue]]-Orders[[#This Row],[Expenses]]</f>
        <v>19592.414999999994</v>
      </c>
      <c r="M268" t="s">
        <v>2200</v>
      </c>
      <c r="N268" t="str">
        <f>_xlfn.XLOOKUP(Orders[[#This Row],[CustomerID]],Customers[CustomerID],Customers[CustomerName])</f>
        <v>Jide Adeyemi</v>
      </c>
      <c r="O268" t="str">
        <f>_xlfn.XLOOKUP(Orders[[#This Row],[CustomerID]],Customers[CustomerID],Customers[City])</f>
        <v>Washington</v>
      </c>
      <c r="P268" t="str">
        <f>_xlfn.XLOOKUP(Orders[[#This Row],[CustomerID]],Customers[CustomerID],Customers[Gender])</f>
        <v>Male</v>
      </c>
      <c r="Q268">
        <f>_xlfn.XLOOKUP(Orders[[#This Row],[CustomerID]],Customers[CustomerID],Customers[CustomerAge])</f>
        <v>19</v>
      </c>
      <c r="R268" t="str">
        <f>IF(Orders[[#This Row],[CustomerAge]]&gt;=35, "Older", "Young")</f>
        <v>Young</v>
      </c>
      <c r="S268" t="str">
        <f>_xlfn.XLOOKUP(Orders[[#This Row],[ProductID]],Products[ProductID],Products[ProductName])</f>
        <v>Dumb Bells</v>
      </c>
      <c r="T268" t="str">
        <f>_xlfn.XLOOKUP(Orders[[#This Row],[ProductID]],Products[ProductID],Products[Category])</f>
        <v>Gym</v>
      </c>
    </row>
    <row r="269" spans="1:20" x14ac:dyDescent="0.25">
      <c r="A269" s="4" t="s">
        <v>434</v>
      </c>
      <c r="B269" s="5">
        <v>46022</v>
      </c>
      <c r="C269" s="15">
        <f>WEEKNUM(Orders[[#This Row],[OrderDate]])</f>
        <v>53</v>
      </c>
      <c r="D269" s="15" t="str">
        <f>TEXT(Orders[[#This Row],[OrderDate]],"mmmm")</f>
        <v>December</v>
      </c>
      <c r="E269" s="4" t="s">
        <v>435</v>
      </c>
      <c r="F269" s="4" t="s">
        <v>46</v>
      </c>
      <c r="G269" s="4">
        <v>3</v>
      </c>
      <c r="H269" s="12">
        <v>8759.5</v>
      </c>
      <c r="I269" s="13">
        <v>7445.5749999999998</v>
      </c>
      <c r="J269" s="13">
        <f>Orders[[#This Row],[Quantity]]*Orders[[#This Row],[Selling Price]]</f>
        <v>26278.5</v>
      </c>
      <c r="K269" s="13">
        <f>Orders[[#This Row],[Quantity]]*Orders[[#This Row],[Cost Price]]</f>
        <v>22336.724999999999</v>
      </c>
      <c r="L269" s="13">
        <f>Orders[[#This Row],[Revenue]]-Orders[[#This Row],[Expenses]]</f>
        <v>3941.7750000000015</v>
      </c>
      <c r="M269" t="s">
        <v>2199</v>
      </c>
      <c r="N269" t="str">
        <f>_xlfn.XLOOKUP(Orders[[#This Row],[CustomerID]],Customers[CustomerID],Customers[CustomerName])</f>
        <v>Amina Balogun</v>
      </c>
      <c r="O269" t="str">
        <f>_xlfn.XLOOKUP(Orders[[#This Row],[CustomerID]],Customers[CustomerID],Customers[City])</f>
        <v>Texas</v>
      </c>
      <c r="P269" t="str">
        <f>_xlfn.XLOOKUP(Orders[[#This Row],[CustomerID]],Customers[CustomerID],Customers[Gender])</f>
        <v>Female</v>
      </c>
      <c r="Q269">
        <f>_xlfn.XLOOKUP(Orders[[#This Row],[CustomerID]],Customers[CustomerID],Customers[CustomerAge])</f>
        <v>32</v>
      </c>
      <c r="R269" t="str">
        <f>IF(Orders[[#This Row],[CustomerAge]]&gt;=35, "Older", "Young")</f>
        <v>Young</v>
      </c>
      <c r="S269" t="str">
        <f>_xlfn.XLOOKUP(Orders[[#This Row],[ProductID]],Products[ProductID],Products[ProductName])</f>
        <v>Turtle Neck</v>
      </c>
      <c r="T269" t="str">
        <f>_xlfn.XLOOKUP(Orders[[#This Row],[ProductID]],Products[ProductID],Products[Category])</f>
        <v>Clothing</v>
      </c>
    </row>
    <row r="270" spans="1:20" x14ac:dyDescent="0.25">
      <c r="A270" s="4" t="s">
        <v>436</v>
      </c>
      <c r="B270" s="5">
        <v>46016</v>
      </c>
      <c r="C270" s="15">
        <f>WEEKNUM(Orders[[#This Row],[OrderDate]])</f>
        <v>52</v>
      </c>
      <c r="D270" s="15" t="str">
        <f>TEXT(Orders[[#This Row],[OrderDate]],"mmmm")</f>
        <v>December</v>
      </c>
      <c r="E270" s="4" t="s">
        <v>282</v>
      </c>
      <c r="F270" s="4" t="s">
        <v>9</v>
      </c>
      <c r="G270" s="4">
        <v>10</v>
      </c>
      <c r="H270" s="12">
        <v>11927.5</v>
      </c>
      <c r="I270" s="13">
        <v>10138.375</v>
      </c>
      <c r="J270" s="13">
        <f>Orders[[#This Row],[Quantity]]*Orders[[#This Row],[Selling Price]]</f>
        <v>119275</v>
      </c>
      <c r="K270" s="13">
        <f>Orders[[#This Row],[Quantity]]*Orders[[#This Row],[Cost Price]]</f>
        <v>101383.75</v>
      </c>
      <c r="L270" s="13">
        <f>Orders[[#This Row],[Revenue]]-Orders[[#This Row],[Expenses]]</f>
        <v>17891.25</v>
      </c>
      <c r="M270" t="s">
        <v>2215</v>
      </c>
      <c r="N270" t="str">
        <f>_xlfn.XLOOKUP(Orders[[#This Row],[CustomerID]],Customers[CustomerID],Customers[CustomerName])</f>
        <v>Bisi Ojo</v>
      </c>
      <c r="O270" t="str">
        <f>_xlfn.XLOOKUP(Orders[[#This Row],[CustomerID]],Customers[CustomerID],Customers[City])</f>
        <v>Texas</v>
      </c>
      <c r="P270" t="str">
        <f>_xlfn.XLOOKUP(Orders[[#This Row],[CustomerID]],Customers[CustomerID],Customers[Gender])</f>
        <v>Female</v>
      </c>
      <c r="Q270">
        <f>_xlfn.XLOOKUP(Orders[[#This Row],[CustomerID]],Customers[CustomerID],Customers[CustomerAge])</f>
        <v>26</v>
      </c>
      <c r="R270" t="str">
        <f>IF(Orders[[#This Row],[CustomerAge]]&gt;=35, "Older", "Young")</f>
        <v>Young</v>
      </c>
      <c r="S270" t="str">
        <f>_xlfn.XLOOKUP(Orders[[#This Row],[ProductID]],Products[ProductID],Products[ProductName])</f>
        <v>Beaded Earrings And Necklaces</v>
      </c>
      <c r="T270" t="str">
        <f>_xlfn.XLOOKUP(Orders[[#This Row],[ProductID]],Products[ProductID],Products[Category])</f>
        <v>Accessories</v>
      </c>
    </row>
    <row r="271" spans="1:20" x14ac:dyDescent="0.25">
      <c r="A271" s="4" t="s">
        <v>437</v>
      </c>
      <c r="B271" s="5">
        <v>46002</v>
      </c>
      <c r="C271" s="15">
        <f>WEEKNUM(Orders[[#This Row],[OrderDate]])</f>
        <v>50</v>
      </c>
      <c r="D271" s="15" t="str">
        <f>TEXT(Orders[[#This Row],[OrderDate]],"mmmm")</f>
        <v>December</v>
      </c>
      <c r="E271" s="4" t="s">
        <v>280</v>
      </c>
      <c r="F271" s="4" t="s">
        <v>20</v>
      </c>
      <c r="G271" s="4">
        <v>4</v>
      </c>
      <c r="H271" s="12">
        <v>10215.1</v>
      </c>
      <c r="I271" s="13">
        <v>8682.8350000000009</v>
      </c>
      <c r="J271" s="13">
        <f>Orders[[#This Row],[Quantity]]*Orders[[#This Row],[Selling Price]]</f>
        <v>40860.400000000001</v>
      </c>
      <c r="K271" s="13">
        <f>Orders[[#This Row],[Quantity]]*Orders[[#This Row],[Cost Price]]</f>
        <v>34731.340000000004</v>
      </c>
      <c r="L271" s="13">
        <f>Orders[[#This Row],[Revenue]]-Orders[[#This Row],[Expenses]]</f>
        <v>6129.0599999999977</v>
      </c>
      <c r="M271" t="s">
        <v>2196</v>
      </c>
      <c r="N271" t="str">
        <f>_xlfn.XLOOKUP(Orders[[#This Row],[CustomerID]],Customers[CustomerID],Customers[CustomerName])</f>
        <v>Folasade Okonkwo</v>
      </c>
      <c r="O271" t="str">
        <f>_xlfn.XLOOKUP(Orders[[#This Row],[CustomerID]],Customers[CustomerID],Customers[City])</f>
        <v>Texas</v>
      </c>
      <c r="P271" t="str">
        <f>_xlfn.XLOOKUP(Orders[[#This Row],[CustomerID]],Customers[CustomerID],Customers[Gender])</f>
        <v>Female</v>
      </c>
      <c r="Q271">
        <f>_xlfn.XLOOKUP(Orders[[#This Row],[CustomerID]],Customers[CustomerID],Customers[CustomerAge])</f>
        <v>21</v>
      </c>
      <c r="R271" t="str">
        <f>IF(Orders[[#This Row],[CustomerAge]]&gt;=35, "Older", "Young")</f>
        <v>Young</v>
      </c>
      <c r="S271" t="str">
        <f>_xlfn.XLOOKUP(Orders[[#This Row],[ProductID]],Products[ProductID],Products[ProductName])</f>
        <v>Gym Bag</v>
      </c>
      <c r="T271" t="str">
        <f>_xlfn.XLOOKUP(Orders[[#This Row],[ProductID]],Products[ProductID],Products[Category])</f>
        <v>Gym</v>
      </c>
    </row>
    <row r="272" spans="1:20" x14ac:dyDescent="0.25">
      <c r="A272" s="4" t="s">
        <v>438</v>
      </c>
      <c r="B272" s="5">
        <v>45938</v>
      </c>
      <c r="C272" s="15">
        <f>WEEKNUM(Orders[[#This Row],[OrderDate]])</f>
        <v>41</v>
      </c>
      <c r="D272" s="15" t="str">
        <f>TEXT(Orders[[#This Row],[OrderDate]],"mmmm")</f>
        <v>October</v>
      </c>
      <c r="E272" s="4" t="s">
        <v>439</v>
      </c>
      <c r="F272" s="4" t="s">
        <v>25</v>
      </c>
      <c r="G272" s="4">
        <v>6</v>
      </c>
      <c r="H272" s="12">
        <v>7566.5</v>
      </c>
      <c r="I272" s="13">
        <v>6431.5249999999996</v>
      </c>
      <c r="J272" s="13">
        <f>Orders[[#This Row],[Quantity]]*Orders[[#This Row],[Selling Price]]</f>
        <v>45399</v>
      </c>
      <c r="K272" s="13">
        <f>Orders[[#This Row],[Quantity]]*Orders[[#This Row],[Cost Price]]</f>
        <v>38589.149999999994</v>
      </c>
      <c r="L272" s="13">
        <f>Orders[[#This Row],[Revenue]]-Orders[[#This Row],[Expenses]]</f>
        <v>6809.8500000000058</v>
      </c>
      <c r="M272" t="s">
        <v>2214</v>
      </c>
      <c r="N272" t="str">
        <f>_xlfn.XLOOKUP(Orders[[#This Row],[CustomerID]],Customers[CustomerID],Customers[CustomerName])</f>
        <v>Efe Abubakar</v>
      </c>
      <c r="O272" t="str">
        <f>_xlfn.XLOOKUP(Orders[[#This Row],[CustomerID]],Customers[CustomerID],Customers[City])</f>
        <v>Texas</v>
      </c>
      <c r="P272" t="str">
        <f>_xlfn.XLOOKUP(Orders[[#This Row],[CustomerID]],Customers[CustomerID],Customers[Gender])</f>
        <v>Female</v>
      </c>
      <c r="Q272">
        <f>_xlfn.XLOOKUP(Orders[[#This Row],[CustomerID]],Customers[CustomerID],Customers[CustomerAge])</f>
        <v>50</v>
      </c>
      <c r="R272" t="str">
        <f>IF(Orders[[#This Row],[CustomerAge]]&gt;=35, "Older", "Young")</f>
        <v>Older</v>
      </c>
      <c r="S272" t="str">
        <f>_xlfn.XLOOKUP(Orders[[#This Row],[ProductID]],Products[ProductID],Products[ProductName])</f>
        <v>Gold Rings</v>
      </c>
      <c r="T272" t="str">
        <f>_xlfn.XLOOKUP(Orders[[#This Row],[ProductID]],Products[ProductID],Products[Category])</f>
        <v>Accessories</v>
      </c>
    </row>
    <row r="273" spans="1:20" x14ac:dyDescent="0.25">
      <c r="A273" s="4" t="s">
        <v>440</v>
      </c>
      <c r="B273" s="5">
        <v>46007</v>
      </c>
      <c r="C273" s="15">
        <f>WEEKNUM(Orders[[#This Row],[OrderDate]])</f>
        <v>51</v>
      </c>
      <c r="D273" s="15" t="str">
        <f>TEXT(Orders[[#This Row],[OrderDate]],"mmmm")</f>
        <v>December</v>
      </c>
      <c r="E273" s="4" t="s">
        <v>129</v>
      </c>
      <c r="F273" s="4" t="s">
        <v>76</v>
      </c>
      <c r="G273" s="4">
        <v>5</v>
      </c>
      <c r="H273" s="12">
        <v>14684.6</v>
      </c>
      <c r="I273" s="13">
        <v>12481.91</v>
      </c>
      <c r="J273" s="13">
        <f>Orders[[#This Row],[Quantity]]*Orders[[#This Row],[Selling Price]]</f>
        <v>73423</v>
      </c>
      <c r="K273" s="13">
        <f>Orders[[#This Row],[Quantity]]*Orders[[#This Row],[Cost Price]]</f>
        <v>62409.55</v>
      </c>
      <c r="L273" s="13">
        <f>Orders[[#This Row],[Revenue]]-Orders[[#This Row],[Expenses]]</f>
        <v>11013.449999999997</v>
      </c>
      <c r="M273" t="s">
        <v>2210</v>
      </c>
      <c r="N273" t="str">
        <f>_xlfn.XLOOKUP(Orders[[#This Row],[CustomerID]],Customers[CustomerID],Customers[CustomerName])</f>
        <v>Chioma Ojo</v>
      </c>
      <c r="O273" t="str">
        <f>_xlfn.XLOOKUP(Orders[[#This Row],[CustomerID]],Customers[CustomerID],Customers[City])</f>
        <v>Washington</v>
      </c>
      <c r="P273" t="str">
        <f>_xlfn.XLOOKUP(Orders[[#This Row],[CustomerID]],Customers[CustomerID],Customers[Gender])</f>
        <v>Female</v>
      </c>
      <c r="Q273">
        <f>_xlfn.XLOOKUP(Orders[[#This Row],[CustomerID]],Customers[CustomerID],Customers[CustomerAge])</f>
        <v>46</v>
      </c>
      <c r="R273" t="str">
        <f>IF(Orders[[#This Row],[CustomerAge]]&gt;=35, "Older", "Young")</f>
        <v>Older</v>
      </c>
      <c r="S273" t="str">
        <f>_xlfn.XLOOKUP(Orders[[#This Row],[ProductID]],Products[ProductID],Products[ProductName])</f>
        <v>Blender</v>
      </c>
      <c r="T273" t="str">
        <f>_xlfn.XLOOKUP(Orders[[#This Row],[ProductID]],Products[ProductID],Products[Category])</f>
        <v>Electronics</v>
      </c>
    </row>
    <row r="274" spans="1:20" x14ac:dyDescent="0.25">
      <c r="A274" s="4" t="s">
        <v>441</v>
      </c>
      <c r="B274" s="5">
        <v>45989</v>
      </c>
      <c r="C274" s="15">
        <f>WEEKNUM(Orders[[#This Row],[OrderDate]])</f>
        <v>48</v>
      </c>
      <c r="D274" s="15" t="str">
        <f>TEXT(Orders[[#This Row],[OrderDate]],"mmmm")</f>
        <v>November</v>
      </c>
      <c r="E274" s="4" t="s">
        <v>52</v>
      </c>
      <c r="F274" s="4" t="s">
        <v>76</v>
      </c>
      <c r="G274" s="4">
        <v>7</v>
      </c>
      <c r="H274" s="12">
        <v>1452.3</v>
      </c>
      <c r="I274" s="13">
        <v>1234.4549999999999</v>
      </c>
      <c r="J274" s="13">
        <f>Orders[[#This Row],[Quantity]]*Orders[[#This Row],[Selling Price]]</f>
        <v>10166.1</v>
      </c>
      <c r="K274" s="13">
        <f>Orders[[#This Row],[Quantity]]*Orders[[#This Row],[Cost Price]]</f>
        <v>8641.1849999999995</v>
      </c>
      <c r="L274" s="13">
        <f>Orders[[#This Row],[Revenue]]-Orders[[#This Row],[Expenses]]</f>
        <v>1524.9150000000009</v>
      </c>
      <c r="M274" t="s">
        <v>2217</v>
      </c>
      <c r="N274" t="str">
        <f>_xlfn.XLOOKUP(Orders[[#This Row],[CustomerID]],Customers[CustomerID],Customers[CustomerName])</f>
        <v>Folasade Ojo</v>
      </c>
      <c r="O274" t="str">
        <f>_xlfn.XLOOKUP(Orders[[#This Row],[CustomerID]],Customers[CustomerID],Customers[City])</f>
        <v>Texas</v>
      </c>
      <c r="P274" t="str">
        <f>_xlfn.XLOOKUP(Orders[[#This Row],[CustomerID]],Customers[CustomerID],Customers[Gender])</f>
        <v>Female</v>
      </c>
      <c r="Q274">
        <f>_xlfn.XLOOKUP(Orders[[#This Row],[CustomerID]],Customers[CustomerID],Customers[CustomerAge])</f>
        <v>29</v>
      </c>
      <c r="R274" t="str">
        <f>IF(Orders[[#This Row],[CustomerAge]]&gt;=35, "Older", "Young")</f>
        <v>Young</v>
      </c>
      <c r="S274" t="str">
        <f>_xlfn.XLOOKUP(Orders[[#This Row],[ProductID]],Products[ProductID],Products[ProductName])</f>
        <v>Blender</v>
      </c>
      <c r="T274" t="str">
        <f>_xlfn.XLOOKUP(Orders[[#This Row],[ProductID]],Products[ProductID],Products[Category])</f>
        <v>Electronics</v>
      </c>
    </row>
    <row r="275" spans="1:20" x14ac:dyDescent="0.25">
      <c r="A275" s="4" t="s">
        <v>442</v>
      </c>
      <c r="B275" s="5">
        <v>45974</v>
      </c>
      <c r="C275" s="15">
        <f>WEEKNUM(Orders[[#This Row],[OrderDate]])</f>
        <v>46</v>
      </c>
      <c r="D275" s="15" t="str">
        <f>TEXT(Orders[[#This Row],[OrderDate]],"mmmm")</f>
        <v>November</v>
      </c>
      <c r="E275" s="4" t="s">
        <v>134</v>
      </c>
      <c r="F275" s="4" t="s">
        <v>120</v>
      </c>
      <c r="G275" s="4">
        <v>7</v>
      </c>
      <c r="H275" s="12">
        <v>4514.7000000000007</v>
      </c>
      <c r="I275" s="13">
        <v>3837.4950000000008</v>
      </c>
      <c r="J275" s="13">
        <f>Orders[[#This Row],[Quantity]]*Orders[[#This Row],[Selling Price]]</f>
        <v>31602.900000000005</v>
      </c>
      <c r="K275" s="13">
        <f>Orders[[#This Row],[Quantity]]*Orders[[#This Row],[Cost Price]]</f>
        <v>26862.465000000004</v>
      </c>
      <c r="L275" s="13">
        <f>Orders[[#This Row],[Revenue]]-Orders[[#This Row],[Expenses]]</f>
        <v>4740.4350000000013</v>
      </c>
      <c r="M275" t="s">
        <v>2202</v>
      </c>
      <c r="N275" t="str">
        <f>_xlfn.XLOOKUP(Orders[[#This Row],[CustomerID]],Customers[CustomerID],Customers[CustomerName])</f>
        <v>Ngozi Ojo</v>
      </c>
      <c r="O275" t="str">
        <f>_xlfn.XLOOKUP(Orders[[#This Row],[CustomerID]],Customers[CustomerID],Customers[City])</f>
        <v>Florida</v>
      </c>
      <c r="P275" t="str">
        <f>_xlfn.XLOOKUP(Orders[[#This Row],[CustomerID]],Customers[CustomerID],Customers[Gender])</f>
        <v>Female</v>
      </c>
      <c r="Q275">
        <f>_xlfn.XLOOKUP(Orders[[#This Row],[CustomerID]],Customers[CustomerID],Customers[CustomerAge])</f>
        <v>18</v>
      </c>
      <c r="R275" t="str">
        <f>IF(Orders[[#This Row],[CustomerAge]]&gt;=35, "Older", "Young")</f>
        <v>Young</v>
      </c>
      <c r="S275" t="str">
        <f>_xlfn.XLOOKUP(Orders[[#This Row],[ProductID]],Products[ProductID],Products[ProductName])</f>
        <v>Chess</v>
      </c>
      <c r="T275" t="str">
        <f>_xlfn.XLOOKUP(Orders[[#This Row],[ProductID]],Products[ProductID],Products[Category])</f>
        <v>Games</v>
      </c>
    </row>
    <row r="276" spans="1:20" x14ac:dyDescent="0.25">
      <c r="A276" s="4" t="s">
        <v>443</v>
      </c>
      <c r="B276" s="5">
        <v>46020</v>
      </c>
      <c r="C276" s="15">
        <f>WEEKNUM(Orders[[#This Row],[OrderDate]])</f>
        <v>53</v>
      </c>
      <c r="D276" s="15" t="str">
        <f>TEXT(Orders[[#This Row],[OrderDate]],"mmmm")</f>
        <v>December</v>
      </c>
      <c r="E276" s="4" t="s">
        <v>444</v>
      </c>
      <c r="F276" s="4" t="s">
        <v>57</v>
      </c>
      <c r="G276" s="4">
        <v>9</v>
      </c>
      <c r="H276" s="12">
        <v>1528.3000000000002</v>
      </c>
      <c r="I276" s="13">
        <v>1299.0550000000001</v>
      </c>
      <c r="J276" s="13">
        <f>Orders[[#This Row],[Quantity]]*Orders[[#This Row],[Selling Price]]</f>
        <v>13754.7</v>
      </c>
      <c r="K276" s="13">
        <f>Orders[[#This Row],[Quantity]]*Orders[[#This Row],[Cost Price]]</f>
        <v>11691.495000000001</v>
      </c>
      <c r="L276" s="13">
        <f>Orders[[#This Row],[Revenue]]-Orders[[#This Row],[Expenses]]</f>
        <v>2063.2049999999999</v>
      </c>
      <c r="M276" t="s">
        <v>2199</v>
      </c>
      <c r="N276" t="str">
        <f>_xlfn.XLOOKUP(Orders[[#This Row],[CustomerID]],Customers[CustomerID],Customers[CustomerName])</f>
        <v>Blessing Eze</v>
      </c>
      <c r="O276" t="str">
        <f>_xlfn.XLOOKUP(Orders[[#This Row],[CustomerID]],Customers[CustomerID],Customers[City])</f>
        <v>Texas</v>
      </c>
      <c r="P276" t="str">
        <f>_xlfn.XLOOKUP(Orders[[#This Row],[CustomerID]],Customers[CustomerID],Customers[Gender])</f>
        <v>Female</v>
      </c>
      <c r="Q276">
        <f>_xlfn.XLOOKUP(Orders[[#This Row],[CustomerID]],Customers[CustomerID],Customers[CustomerAge])</f>
        <v>24</v>
      </c>
      <c r="R276" t="str">
        <f>IF(Orders[[#This Row],[CustomerAge]]&gt;=35, "Older", "Young")</f>
        <v>Young</v>
      </c>
      <c r="S276" t="str">
        <f>_xlfn.XLOOKUP(Orders[[#This Row],[ProductID]],Products[ProductID],Products[ProductName])</f>
        <v>Badminton Racket</v>
      </c>
      <c r="T276" t="str">
        <f>_xlfn.XLOOKUP(Orders[[#This Row],[ProductID]],Products[ProductID],Products[Category])</f>
        <v>Sports</v>
      </c>
    </row>
    <row r="277" spans="1:20" x14ac:dyDescent="0.25">
      <c r="A277" s="4" t="s">
        <v>445</v>
      </c>
      <c r="B277" s="5">
        <v>46007</v>
      </c>
      <c r="C277" s="15">
        <f>WEEKNUM(Orders[[#This Row],[OrderDate]])</f>
        <v>51</v>
      </c>
      <c r="D277" s="15" t="str">
        <f>TEXT(Orders[[#This Row],[OrderDate]],"mmmm")</f>
        <v>December</v>
      </c>
      <c r="E277" s="4" t="s">
        <v>302</v>
      </c>
      <c r="F277" s="4" t="s">
        <v>92</v>
      </c>
      <c r="G277" s="4">
        <v>6</v>
      </c>
      <c r="H277" s="12">
        <v>16171.5</v>
      </c>
      <c r="I277" s="13">
        <v>13745.775</v>
      </c>
      <c r="J277" s="13">
        <f>Orders[[#This Row],[Quantity]]*Orders[[#This Row],[Selling Price]]</f>
        <v>97029</v>
      </c>
      <c r="K277" s="13">
        <f>Orders[[#This Row],[Quantity]]*Orders[[#This Row],[Cost Price]]</f>
        <v>82474.649999999994</v>
      </c>
      <c r="L277" s="13">
        <f>Orders[[#This Row],[Revenue]]-Orders[[#This Row],[Expenses]]</f>
        <v>14554.350000000006</v>
      </c>
      <c r="M277" t="s">
        <v>2217</v>
      </c>
      <c r="N277" t="str">
        <f>_xlfn.XLOOKUP(Orders[[#This Row],[CustomerID]],Customers[CustomerID],Customers[CustomerName])</f>
        <v>Sani Bello</v>
      </c>
      <c r="O277" t="str">
        <f>_xlfn.XLOOKUP(Orders[[#This Row],[CustomerID]],Customers[CustomerID],Customers[City])</f>
        <v>Washington</v>
      </c>
      <c r="P277" t="str">
        <f>_xlfn.XLOOKUP(Orders[[#This Row],[CustomerID]],Customers[CustomerID],Customers[Gender])</f>
        <v>Male</v>
      </c>
      <c r="Q277">
        <f>_xlfn.XLOOKUP(Orders[[#This Row],[CustomerID]],Customers[CustomerID],Customers[CustomerAge])</f>
        <v>23</v>
      </c>
      <c r="R277" t="str">
        <f>IF(Orders[[#This Row],[CustomerAge]]&gt;=35, "Older", "Young")</f>
        <v>Young</v>
      </c>
      <c r="S277" t="str">
        <f>_xlfn.XLOOKUP(Orders[[#This Row],[ProductID]],Products[ProductID],Products[ProductName])</f>
        <v>Chest Expander</v>
      </c>
      <c r="T277" t="str">
        <f>_xlfn.XLOOKUP(Orders[[#This Row],[ProductID]],Products[ProductID],Products[Category])</f>
        <v>Gym</v>
      </c>
    </row>
    <row r="278" spans="1:20" x14ac:dyDescent="0.25">
      <c r="A278" s="4" t="s">
        <v>446</v>
      </c>
      <c r="B278" s="5">
        <v>45987</v>
      </c>
      <c r="C278" s="15">
        <f>WEEKNUM(Orders[[#This Row],[OrderDate]])</f>
        <v>48</v>
      </c>
      <c r="D278" s="15" t="str">
        <f>TEXT(Orders[[#This Row],[OrderDate]],"mmmm")</f>
        <v>November</v>
      </c>
      <c r="E278" s="4" t="s">
        <v>309</v>
      </c>
      <c r="F278" s="4" t="s">
        <v>12</v>
      </c>
      <c r="G278" s="4">
        <v>6</v>
      </c>
      <c r="H278" s="12">
        <v>9909.1</v>
      </c>
      <c r="I278" s="13">
        <v>8422.7350000000006</v>
      </c>
      <c r="J278" s="13">
        <f>Orders[[#This Row],[Quantity]]*Orders[[#This Row],[Selling Price]]</f>
        <v>59454.600000000006</v>
      </c>
      <c r="K278" s="13">
        <f>Orders[[#This Row],[Quantity]]*Orders[[#This Row],[Cost Price]]</f>
        <v>50536.41</v>
      </c>
      <c r="L278" s="13">
        <f>Orders[[#This Row],[Revenue]]-Orders[[#This Row],[Expenses]]</f>
        <v>8918.1900000000023</v>
      </c>
      <c r="M278" t="s">
        <v>2211</v>
      </c>
      <c r="N278" t="str">
        <f>_xlfn.XLOOKUP(Orders[[#This Row],[CustomerID]],Customers[CustomerID],Customers[CustomerName])</f>
        <v>Temi Ojo</v>
      </c>
      <c r="O278" t="str">
        <f>_xlfn.XLOOKUP(Orders[[#This Row],[CustomerID]],Customers[CustomerID],Customers[City])</f>
        <v>Washington</v>
      </c>
      <c r="P278" t="str">
        <f>_xlfn.XLOOKUP(Orders[[#This Row],[CustomerID]],Customers[CustomerID],Customers[Gender])</f>
        <v>Female</v>
      </c>
      <c r="Q278">
        <f>_xlfn.XLOOKUP(Orders[[#This Row],[CustomerID]],Customers[CustomerID],Customers[CustomerAge])</f>
        <v>36</v>
      </c>
      <c r="R278" t="str">
        <f>IF(Orders[[#This Row],[CustomerAge]]&gt;=35, "Older", "Young")</f>
        <v>Older</v>
      </c>
      <c r="S278" t="str">
        <f>_xlfn.XLOOKUP(Orders[[#This Row],[ProductID]],Products[ProductID],Products[ProductName])</f>
        <v>Boubou</v>
      </c>
      <c r="T278" t="str">
        <f>_xlfn.XLOOKUP(Orders[[#This Row],[ProductID]],Products[ProductID],Products[Category])</f>
        <v>Clothing</v>
      </c>
    </row>
    <row r="279" spans="1:20" x14ac:dyDescent="0.25">
      <c r="A279" s="4" t="s">
        <v>447</v>
      </c>
      <c r="B279" s="5">
        <v>45982</v>
      </c>
      <c r="C279" s="15">
        <f>WEEKNUM(Orders[[#This Row],[OrderDate]])</f>
        <v>47</v>
      </c>
      <c r="D279" s="15" t="str">
        <f>TEXT(Orders[[#This Row],[OrderDate]],"mmmm")</f>
        <v>November</v>
      </c>
      <c r="E279" s="4" t="s">
        <v>33</v>
      </c>
      <c r="F279" s="4" t="s">
        <v>157</v>
      </c>
      <c r="G279" s="4">
        <v>7</v>
      </c>
      <c r="H279" s="12">
        <v>16159</v>
      </c>
      <c r="I279" s="13">
        <v>13735.15</v>
      </c>
      <c r="J279" s="13">
        <f>Orders[[#This Row],[Quantity]]*Orders[[#This Row],[Selling Price]]</f>
        <v>113113</v>
      </c>
      <c r="K279" s="13">
        <f>Orders[[#This Row],[Quantity]]*Orders[[#This Row],[Cost Price]]</f>
        <v>96146.05</v>
      </c>
      <c r="L279" s="13">
        <f>Orders[[#This Row],[Revenue]]-Orders[[#This Row],[Expenses]]</f>
        <v>16966.949999999997</v>
      </c>
      <c r="M279" t="s">
        <v>2196</v>
      </c>
      <c r="N279" t="str">
        <f>_xlfn.XLOOKUP(Orders[[#This Row],[CustomerID]],Customers[CustomerID],Customers[CustomerName])</f>
        <v>Okon Balogun</v>
      </c>
      <c r="O279" t="str">
        <f>_xlfn.XLOOKUP(Orders[[#This Row],[CustomerID]],Customers[CustomerID],Customers[City])</f>
        <v>Texas</v>
      </c>
      <c r="P279" t="str">
        <f>_xlfn.XLOOKUP(Orders[[#This Row],[CustomerID]],Customers[CustomerID],Customers[Gender])</f>
        <v>Male</v>
      </c>
      <c r="Q279">
        <f>_xlfn.XLOOKUP(Orders[[#This Row],[CustomerID]],Customers[CustomerID],Customers[CustomerAge])</f>
        <v>28</v>
      </c>
      <c r="R279" t="str">
        <f>IF(Orders[[#This Row],[CustomerAge]]&gt;=35, "Older", "Young")</f>
        <v>Young</v>
      </c>
      <c r="S279" t="str">
        <f>_xlfn.XLOOKUP(Orders[[#This Row],[ProductID]],Products[ProductID],Products[ProductName])</f>
        <v>Football</v>
      </c>
      <c r="T279" t="str">
        <f>_xlfn.XLOOKUP(Orders[[#This Row],[ProductID]],Products[ProductID],Products[Category])</f>
        <v>Sports</v>
      </c>
    </row>
    <row r="280" spans="1:20" x14ac:dyDescent="0.25">
      <c r="A280" s="4" t="s">
        <v>448</v>
      </c>
      <c r="B280" s="5">
        <v>45992</v>
      </c>
      <c r="C280" s="15">
        <f>WEEKNUM(Orders[[#This Row],[OrderDate]])</f>
        <v>49</v>
      </c>
      <c r="D280" s="15" t="str">
        <f>TEXT(Orders[[#This Row],[OrderDate]],"mmmm")</f>
        <v>December</v>
      </c>
      <c r="E280" s="4" t="s">
        <v>103</v>
      </c>
      <c r="F280" s="4" t="s">
        <v>84</v>
      </c>
      <c r="G280" s="4">
        <v>1</v>
      </c>
      <c r="H280" s="12">
        <v>16725.599999999999</v>
      </c>
      <c r="I280" s="13">
        <v>14216.759999999998</v>
      </c>
      <c r="J280" s="13">
        <f>Orders[[#This Row],[Quantity]]*Orders[[#This Row],[Selling Price]]</f>
        <v>16725.599999999999</v>
      </c>
      <c r="K280" s="13">
        <f>Orders[[#This Row],[Quantity]]*Orders[[#This Row],[Cost Price]]</f>
        <v>14216.759999999998</v>
      </c>
      <c r="L280" s="13">
        <f>Orders[[#This Row],[Revenue]]-Orders[[#This Row],[Expenses]]</f>
        <v>2508.84</v>
      </c>
      <c r="M280" t="s">
        <v>2195</v>
      </c>
      <c r="N280" t="str">
        <f>_xlfn.XLOOKUP(Orders[[#This Row],[CustomerID]],Customers[CustomerID],Customers[CustomerName])</f>
        <v>Chioma Adeyemi</v>
      </c>
      <c r="O280" t="str">
        <f>_xlfn.XLOOKUP(Orders[[#This Row],[CustomerID]],Customers[CustomerID],Customers[City])</f>
        <v>Georgia</v>
      </c>
      <c r="P280" t="str">
        <f>_xlfn.XLOOKUP(Orders[[#This Row],[CustomerID]],Customers[CustomerID],Customers[Gender])</f>
        <v>Female</v>
      </c>
      <c r="Q280">
        <f>_xlfn.XLOOKUP(Orders[[#This Row],[CustomerID]],Customers[CustomerID],Customers[CustomerAge])</f>
        <v>31</v>
      </c>
      <c r="R280" t="str">
        <f>IF(Orders[[#This Row],[CustomerAge]]&gt;=35, "Older", "Young")</f>
        <v>Young</v>
      </c>
      <c r="S280" t="str">
        <f>_xlfn.XLOOKUP(Orders[[#This Row],[ProductID]],Products[ProductID],Products[ProductName])</f>
        <v>Gym Wears</v>
      </c>
      <c r="T280" t="str">
        <f>_xlfn.XLOOKUP(Orders[[#This Row],[ProductID]],Products[ProductID],Products[Category])</f>
        <v>Clothing</v>
      </c>
    </row>
    <row r="281" spans="1:20" x14ac:dyDescent="0.25">
      <c r="A281" s="4" t="s">
        <v>449</v>
      </c>
      <c r="B281" s="5">
        <v>45937</v>
      </c>
      <c r="C281" s="15">
        <f>WEEKNUM(Orders[[#This Row],[OrderDate]])</f>
        <v>41</v>
      </c>
      <c r="D281" s="15" t="str">
        <f>TEXT(Orders[[#This Row],[OrderDate]],"mmmm")</f>
        <v>October</v>
      </c>
      <c r="E281" s="4" t="s">
        <v>17</v>
      </c>
      <c r="F281" s="4" t="s">
        <v>9</v>
      </c>
      <c r="G281" s="4">
        <v>1</v>
      </c>
      <c r="H281" s="12">
        <v>1550.2</v>
      </c>
      <c r="I281" s="13">
        <v>1317.67</v>
      </c>
      <c r="J281" s="13">
        <f>Orders[[#This Row],[Quantity]]*Orders[[#This Row],[Selling Price]]</f>
        <v>1550.2</v>
      </c>
      <c r="K281" s="13">
        <f>Orders[[#This Row],[Quantity]]*Orders[[#This Row],[Cost Price]]</f>
        <v>1317.67</v>
      </c>
      <c r="L281" s="13">
        <f>Orders[[#This Row],[Revenue]]-Orders[[#This Row],[Expenses]]</f>
        <v>232.52999999999997</v>
      </c>
      <c r="M281" t="s">
        <v>2219</v>
      </c>
      <c r="N281" t="str">
        <f>_xlfn.XLOOKUP(Orders[[#This Row],[CustomerID]],Customers[CustomerID],Customers[CustomerName])</f>
        <v>Bisi Adeyemi</v>
      </c>
      <c r="O281" t="str">
        <f>_xlfn.XLOOKUP(Orders[[#This Row],[CustomerID]],Customers[CustomerID],Customers[City])</f>
        <v>Illinois</v>
      </c>
      <c r="P281" t="str">
        <f>_xlfn.XLOOKUP(Orders[[#This Row],[CustomerID]],Customers[CustomerID],Customers[Gender])</f>
        <v>Female</v>
      </c>
      <c r="Q281">
        <f>_xlfn.XLOOKUP(Orders[[#This Row],[CustomerID]],Customers[CustomerID],Customers[CustomerAge])</f>
        <v>48</v>
      </c>
      <c r="R281" t="str">
        <f>IF(Orders[[#This Row],[CustomerAge]]&gt;=35, "Older", "Young")</f>
        <v>Older</v>
      </c>
      <c r="S281" t="str">
        <f>_xlfn.XLOOKUP(Orders[[#This Row],[ProductID]],Products[ProductID],Products[ProductName])</f>
        <v>Beaded Earrings And Necklaces</v>
      </c>
      <c r="T281" t="str">
        <f>_xlfn.XLOOKUP(Orders[[#This Row],[ProductID]],Products[ProductID],Products[Category])</f>
        <v>Accessories</v>
      </c>
    </row>
    <row r="282" spans="1:20" x14ac:dyDescent="0.25">
      <c r="A282" s="4" t="s">
        <v>450</v>
      </c>
      <c r="B282" s="5">
        <v>45959</v>
      </c>
      <c r="C282" s="15">
        <f>WEEKNUM(Orders[[#This Row],[OrderDate]])</f>
        <v>44</v>
      </c>
      <c r="D282" s="15" t="str">
        <f>TEXT(Orders[[#This Row],[OrderDate]],"mmmm")</f>
        <v>October</v>
      </c>
      <c r="E282" s="4" t="s">
        <v>212</v>
      </c>
      <c r="F282" s="4" t="s">
        <v>353</v>
      </c>
      <c r="G282" s="4">
        <v>8</v>
      </c>
      <c r="H282" s="12">
        <v>2892.3</v>
      </c>
      <c r="I282" s="13">
        <v>2458.4549999999999</v>
      </c>
      <c r="J282" s="13">
        <f>Orders[[#This Row],[Quantity]]*Orders[[#This Row],[Selling Price]]</f>
        <v>23138.400000000001</v>
      </c>
      <c r="K282" s="13">
        <f>Orders[[#This Row],[Quantity]]*Orders[[#This Row],[Cost Price]]</f>
        <v>19667.64</v>
      </c>
      <c r="L282" s="13">
        <f>Orders[[#This Row],[Revenue]]-Orders[[#This Row],[Expenses]]</f>
        <v>3470.760000000002</v>
      </c>
      <c r="M282" t="s">
        <v>2212</v>
      </c>
      <c r="N282" t="str">
        <f>_xlfn.XLOOKUP(Orders[[#This Row],[CustomerID]],Customers[CustomerID],Customers[CustomerName])</f>
        <v>Ngozi Ojo</v>
      </c>
      <c r="O282" t="str">
        <f>_xlfn.XLOOKUP(Orders[[#This Row],[CustomerID]],Customers[CustomerID],Customers[City])</f>
        <v>Illinois</v>
      </c>
      <c r="P282" t="str">
        <f>_xlfn.XLOOKUP(Orders[[#This Row],[CustomerID]],Customers[CustomerID],Customers[Gender])</f>
        <v>Female</v>
      </c>
      <c r="Q282">
        <f>_xlfn.XLOOKUP(Orders[[#This Row],[CustomerID]],Customers[CustomerID],Customers[CustomerAge])</f>
        <v>53</v>
      </c>
      <c r="R282" t="str">
        <f>IF(Orders[[#This Row],[CustomerAge]]&gt;=35, "Older", "Young")</f>
        <v>Older</v>
      </c>
      <c r="S282" t="str">
        <f>_xlfn.XLOOKUP(Orders[[#This Row],[ProductID]],Products[ProductID],Products[ProductName])</f>
        <v>Silver Earrings And Necklaces</v>
      </c>
      <c r="T282" t="str">
        <f>_xlfn.XLOOKUP(Orders[[#This Row],[ProductID]],Products[ProductID],Products[Category])</f>
        <v>Accessories</v>
      </c>
    </row>
    <row r="283" spans="1:20" x14ac:dyDescent="0.25">
      <c r="A283" s="4" t="s">
        <v>451</v>
      </c>
      <c r="B283" s="5">
        <v>46007</v>
      </c>
      <c r="C283" s="15">
        <f>WEEKNUM(Orders[[#This Row],[OrderDate]])</f>
        <v>51</v>
      </c>
      <c r="D283" s="15" t="str">
        <f>TEXT(Orders[[#This Row],[OrderDate]],"mmmm")</f>
        <v>December</v>
      </c>
      <c r="E283" s="4" t="s">
        <v>68</v>
      </c>
      <c r="F283" s="4" t="s">
        <v>25</v>
      </c>
      <c r="G283" s="4">
        <v>8</v>
      </c>
      <c r="H283" s="12">
        <v>18358.399999999998</v>
      </c>
      <c r="I283" s="13">
        <v>15604.639999999998</v>
      </c>
      <c r="J283" s="13">
        <f>Orders[[#This Row],[Quantity]]*Orders[[#This Row],[Selling Price]]</f>
        <v>146867.19999999998</v>
      </c>
      <c r="K283" s="13">
        <f>Orders[[#This Row],[Quantity]]*Orders[[#This Row],[Cost Price]]</f>
        <v>124837.11999999998</v>
      </c>
      <c r="L283" s="13">
        <f>Orders[[#This Row],[Revenue]]-Orders[[#This Row],[Expenses]]</f>
        <v>22030.080000000002</v>
      </c>
      <c r="M283" t="s">
        <v>2202</v>
      </c>
      <c r="N283" t="str">
        <f>_xlfn.XLOOKUP(Orders[[#This Row],[CustomerID]],Customers[CustomerID],Customers[CustomerName])</f>
        <v>Abiola Balogun</v>
      </c>
      <c r="O283" t="str">
        <f>_xlfn.XLOOKUP(Orders[[#This Row],[CustomerID]],Customers[CustomerID],Customers[City])</f>
        <v>Texas</v>
      </c>
      <c r="P283" t="str">
        <f>_xlfn.XLOOKUP(Orders[[#This Row],[CustomerID]],Customers[CustomerID],Customers[Gender])</f>
        <v>Male</v>
      </c>
      <c r="Q283">
        <f>_xlfn.XLOOKUP(Orders[[#This Row],[CustomerID]],Customers[CustomerID],Customers[CustomerAge])</f>
        <v>29</v>
      </c>
      <c r="R283" t="str">
        <f>IF(Orders[[#This Row],[CustomerAge]]&gt;=35, "Older", "Young")</f>
        <v>Young</v>
      </c>
      <c r="S283" t="str">
        <f>_xlfn.XLOOKUP(Orders[[#This Row],[ProductID]],Products[ProductID],Products[ProductName])</f>
        <v>Gold Rings</v>
      </c>
      <c r="T283" t="str">
        <f>_xlfn.XLOOKUP(Orders[[#This Row],[ProductID]],Products[ProductID],Products[Category])</f>
        <v>Accessories</v>
      </c>
    </row>
    <row r="284" spans="1:20" x14ac:dyDescent="0.25">
      <c r="A284" s="4" t="s">
        <v>452</v>
      </c>
      <c r="B284" s="5">
        <v>45993</v>
      </c>
      <c r="C284" s="15">
        <f>WEEKNUM(Orders[[#This Row],[OrderDate]])</f>
        <v>49</v>
      </c>
      <c r="D284" s="15" t="str">
        <f>TEXT(Orders[[#This Row],[OrderDate]],"mmmm")</f>
        <v>December</v>
      </c>
      <c r="E284" s="4" t="s">
        <v>83</v>
      </c>
      <c r="F284" s="4" t="s">
        <v>63</v>
      </c>
      <c r="G284" s="4">
        <v>2</v>
      </c>
      <c r="H284" s="12">
        <v>6973.2000000000007</v>
      </c>
      <c r="I284" s="13">
        <v>5927.2200000000012</v>
      </c>
      <c r="J284" s="13">
        <f>Orders[[#This Row],[Quantity]]*Orders[[#This Row],[Selling Price]]</f>
        <v>13946.400000000001</v>
      </c>
      <c r="K284" s="13">
        <f>Orders[[#This Row],[Quantity]]*Orders[[#This Row],[Cost Price]]</f>
        <v>11854.440000000002</v>
      </c>
      <c r="L284" s="13">
        <f>Orders[[#This Row],[Revenue]]-Orders[[#This Row],[Expenses]]</f>
        <v>2091.9599999999991</v>
      </c>
      <c r="M284" t="s">
        <v>2193</v>
      </c>
      <c r="N284" t="str">
        <f>_xlfn.XLOOKUP(Orders[[#This Row],[CustomerID]],Customers[CustomerID],Customers[CustomerName])</f>
        <v>Funke Danladi</v>
      </c>
      <c r="O284" t="str">
        <f>_xlfn.XLOOKUP(Orders[[#This Row],[CustomerID]],Customers[CustomerID],Customers[City])</f>
        <v>Florida</v>
      </c>
      <c r="P284" t="str">
        <f>_xlfn.XLOOKUP(Orders[[#This Row],[CustomerID]],Customers[CustomerID],Customers[Gender])</f>
        <v>Female</v>
      </c>
      <c r="Q284">
        <f>_xlfn.XLOOKUP(Orders[[#This Row],[CustomerID]],Customers[CustomerID],Customers[CustomerAge])</f>
        <v>26</v>
      </c>
      <c r="R284" t="str">
        <f>IF(Orders[[#This Row],[CustomerAge]]&gt;=35, "Older", "Young")</f>
        <v>Young</v>
      </c>
      <c r="S284" t="str">
        <f>_xlfn.XLOOKUP(Orders[[#This Row],[ProductID]],Products[ProductID],Products[ProductName])</f>
        <v>Tennis Bat</v>
      </c>
      <c r="T284" t="str">
        <f>_xlfn.XLOOKUP(Orders[[#This Row],[ProductID]],Products[ProductID],Products[Category])</f>
        <v>Sports</v>
      </c>
    </row>
    <row r="285" spans="1:20" x14ac:dyDescent="0.25">
      <c r="A285" s="4" t="s">
        <v>453</v>
      </c>
      <c r="B285" s="5">
        <v>45969</v>
      </c>
      <c r="C285" s="15">
        <f>WEEKNUM(Orders[[#This Row],[OrderDate]])</f>
        <v>45</v>
      </c>
      <c r="D285" s="15" t="str">
        <f>TEXT(Orders[[#This Row],[OrderDate]],"mmmm")</f>
        <v>November</v>
      </c>
      <c r="E285" s="4" t="s">
        <v>107</v>
      </c>
      <c r="F285" s="4" t="s">
        <v>60</v>
      </c>
      <c r="G285" s="4">
        <v>1</v>
      </c>
      <c r="H285" s="12">
        <v>17396.900000000001</v>
      </c>
      <c r="I285" s="13">
        <v>14787.365000000002</v>
      </c>
      <c r="J285" s="13">
        <f>Orders[[#This Row],[Quantity]]*Orders[[#This Row],[Selling Price]]</f>
        <v>17396.900000000001</v>
      </c>
      <c r="K285" s="13">
        <f>Orders[[#This Row],[Quantity]]*Orders[[#This Row],[Cost Price]]</f>
        <v>14787.365000000002</v>
      </c>
      <c r="L285" s="13">
        <f>Orders[[#This Row],[Revenue]]-Orders[[#This Row],[Expenses]]</f>
        <v>2609.5349999999999</v>
      </c>
      <c r="M285" t="s">
        <v>2197</v>
      </c>
      <c r="N285" t="str">
        <f>_xlfn.XLOOKUP(Orders[[#This Row],[CustomerID]],Customers[CustomerID],Customers[CustomerName])</f>
        <v>Blessing Eze</v>
      </c>
      <c r="O285" t="str">
        <f>_xlfn.XLOOKUP(Orders[[#This Row],[CustomerID]],Customers[CustomerID],Customers[City])</f>
        <v>Texas</v>
      </c>
      <c r="P285" t="str">
        <f>_xlfn.XLOOKUP(Orders[[#This Row],[CustomerID]],Customers[CustomerID],Customers[Gender])</f>
        <v>Female</v>
      </c>
      <c r="Q285">
        <f>_xlfn.XLOOKUP(Orders[[#This Row],[CustomerID]],Customers[CustomerID],Customers[CustomerAge])</f>
        <v>44</v>
      </c>
      <c r="R285" t="str">
        <f>IF(Orders[[#This Row],[CustomerAge]]&gt;=35, "Older", "Young")</f>
        <v>Older</v>
      </c>
      <c r="S285" t="str">
        <f>_xlfn.XLOOKUP(Orders[[#This Row],[ProductID]],Products[ProductID],Products[ProductName])</f>
        <v>Silver Rings</v>
      </c>
      <c r="T285" t="str">
        <f>_xlfn.XLOOKUP(Orders[[#This Row],[ProductID]],Products[ProductID],Products[Category])</f>
        <v>Accessories</v>
      </c>
    </row>
    <row r="286" spans="1:20" x14ac:dyDescent="0.25">
      <c r="A286" s="4" t="s">
        <v>454</v>
      </c>
      <c r="B286" s="5">
        <v>45958</v>
      </c>
      <c r="C286" s="15">
        <f>WEEKNUM(Orders[[#This Row],[OrderDate]])</f>
        <v>44</v>
      </c>
      <c r="D286" s="15" t="str">
        <f>TEXT(Orders[[#This Row],[OrderDate]],"mmmm")</f>
        <v>October</v>
      </c>
      <c r="E286" s="4" t="s">
        <v>293</v>
      </c>
      <c r="F286" s="4" t="s">
        <v>66</v>
      </c>
      <c r="G286" s="4">
        <v>9</v>
      </c>
      <c r="H286" s="12">
        <v>5285</v>
      </c>
      <c r="I286" s="13">
        <v>4492.25</v>
      </c>
      <c r="J286" s="13">
        <f>Orders[[#This Row],[Quantity]]*Orders[[#This Row],[Selling Price]]</f>
        <v>47565</v>
      </c>
      <c r="K286" s="13">
        <f>Orders[[#This Row],[Quantity]]*Orders[[#This Row],[Cost Price]]</f>
        <v>40430.25</v>
      </c>
      <c r="L286" s="13">
        <f>Orders[[#This Row],[Revenue]]-Orders[[#This Row],[Expenses]]</f>
        <v>7134.75</v>
      </c>
      <c r="M286" t="s">
        <v>2220</v>
      </c>
      <c r="N286" t="str">
        <f>_xlfn.XLOOKUP(Orders[[#This Row],[CustomerID]],Customers[CustomerID],Customers[CustomerName])</f>
        <v>Tunde Eze</v>
      </c>
      <c r="O286" t="str">
        <f>_xlfn.XLOOKUP(Orders[[#This Row],[CustomerID]],Customers[CustomerID],Customers[City])</f>
        <v>Florida</v>
      </c>
      <c r="P286" t="str">
        <f>_xlfn.XLOOKUP(Orders[[#This Row],[CustomerID]],Customers[CustomerID],Customers[Gender])</f>
        <v>Male</v>
      </c>
      <c r="Q286">
        <f>_xlfn.XLOOKUP(Orders[[#This Row],[CustomerID]],Customers[CustomerID],Customers[CustomerAge])</f>
        <v>46</v>
      </c>
      <c r="R286" t="str">
        <f>IF(Orders[[#This Row],[CustomerAge]]&gt;=35, "Older", "Young")</f>
        <v>Older</v>
      </c>
      <c r="S286" t="str">
        <f>_xlfn.XLOOKUP(Orders[[#This Row],[ProductID]],Products[ProductID],Products[ProductName])</f>
        <v>Microwave</v>
      </c>
      <c r="T286" t="str">
        <f>_xlfn.XLOOKUP(Orders[[#This Row],[ProductID]],Products[ProductID],Products[Category])</f>
        <v>Electronics</v>
      </c>
    </row>
    <row r="287" spans="1:20" x14ac:dyDescent="0.25">
      <c r="A287" s="4" t="s">
        <v>455</v>
      </c>
      <c r="B287" s="5">
        <v>45976</v>
      </c>
      <c r="C287" s="15">
        <f>WEEKNUM(Orders[[#This Row],[OrderDate]])</f>
        <v>46</v>
      </c>
      <c r="D287" s="15" t="str">
        <f>TEXT(Orders[[#This Row],[OrderDate]],"mmmm")</f>
        <v>November</v>
      </c>
      <c r="E287" s="4" t="s">
        <v>205</v>
      </c>
      <c r="F287" s="4" t="s">
        <v>66</v>
      </c>
      <c r="G287" s="4">
        <v>10</v>
      </c>
      <c r="H287" s="12">
        <v>15277.6</v>
      </c>
      <c r="I287" s="13">
        <v>12985.960000000001</v>
      </c>
      <c r="J287" s="13">
        <f>Orders[[#This Row],[Quantity]]*Orders[[#This Row],[Selling Price]]</f>
        <v>152776</v>
      </c>
      <c r="K287" s="13">
        <f>Orders[[#This Row],[Quantity]]*Orders[[#This Row],[Cost Price]]</f>
        <v>129859.6</v>
      </c>
      <c r="L287" s="13">
        <f>Orders[[#This Row],[Revenue]]-Orders[[#This Row],[Expenses]]</f>
        <v>22916.399999999994</v>
      </c>
      <c r="M287" t="s">
        <v>2203</v>
      </c>
      <c r="N287" t="str">
        <f>_xlfn.XLOOKUP(Orders[[#This Row],[CustomerID]],Customers[CustomerID],Customers[CustomerName])</f>
        <v>Jide Adeyemi</v>
      </c>
      <c r="O287" t="str">
        <f>_xlfn.XLOOKUP(Orders[[#This Row],[CustomerID]],Customers[CustomerID],Customers[City])</f>
        <v>Washington</v>
      </c>
      <c r="P287" t="str">
        <f>_xlfn.XLOOKUP(Orders[[#This Row],[CustomerID]],Customers[CustomerID],Customers[Gender])</f>
        <v>Male</v>
      </c>
      <c r="Q287">
        <f>_xlfn.XLOOKUP(Orders[[#This Row],[CustomerID]],Customers[CustomerID],Customers[CustomerAge])</f>
        <v>19</v>
      </c>
      <c r="R287" t="str">
        <f>IF(Orders[[#This Row],[CustomerAge]]&gt;=35, "Older", "Young")</f>
        <v>Young</v>
      </c>
      <c r="S287" t="str">
        <f>_xlfn.XLOOKUP(Orders[[#This Row],[ProductID]],Products[ProductID],Products[ProductName])</f>
        <v>Microwave</v>
      </c>
      <c r="T287" t="str">
        <f>_xlfn.XLOOKUP(Orders[[#This Row],[ProductID]],Products[ProductID],Products[Category])</f>
        <v>Electronics</v>
      </c>
    </row>
    <row r="288" spans="1:20" x14ac:dyDescent="0.25">
      <c r="A288" s="4" t="s">
        <v>456</v>
      </c>
      <c r="B288" s="5">
        <v>46008</v>
      </c>
      <c r="C288" s="15">
        <f>WEEKNUM(Orders[[#This Row],[OrderDate]])</f>
        <v>51</v>
      </c>
      <c r="D288" s="15" t="str">
        <f>TEXT(Orders[[#This Row],[OrderDate]],"mmmm")</f>
        <v>December</v>
      </c>
      <c r="E288" s="4" t="s">
        <v>457</v>
      </c>
      <c r="F288" s="4" t="s">
        <v>70</v>
      </c>
      <c r="G288" s="4">
        <v>8</v>
      </c>
      <c r="H288" s="12">
        <v>19904.100000000002</v>
      </c>
      <c r="I288" s="13">
        <v>16918.485000000001</v>
      </c>
      <c r="J288" s="13">
        <f>Orders[[#This Row],[Quantity]]*Orders[[#This Row],[Selling Price]]</f>
        <v>159232.80000000002</v>
      </c>
      <c r="K288" s="13">
        <f>Orders[[#This Row],[Quantity]]*Orders[[#This Row],[Cost Price]]</f>
        <v>135347.88</v>
      </c>
      <c r="L288" s="13">
        <f>Orders[[#This Row],[Revenue]]-Orders[[#This Row],[Expenses]]</f>
        <v>23884.920000000013</v>
      </c>
      <c r="M288" t="s">
        <v>2205</v>
      </c>
      <c r="N288" t="str">
        <f>_xlfn.XLOOKUP(Orders[[#This Row],[CustomerID]],Customers[CustomerID],Customers[CustomerName])</f>
        <v>Tunde Okonkwo</v>
      </c>
      <c r="O288" t="str">
        <f>_xlfn.XLOOKUP(Orders[[#This Row],[CustomerID]],Customers[CustomerID],Customers[City])</f>
        <v>Illinois</v>
      </c>
      <c r="P288" t="str">
        <f>_xlfn.XLOOKUP(Orders[[#This Row],[CustomerID]],Customers[CustomerID],Customers[Gender])</f>
        <v>Male</v>
      </c>
      <c r="Q288">
        <f>_xlfn.XLOOKUP(Orders[[#This Row],[CustomerID]],Customers[CustomerID],Customers[CustomerAge])</f>
        <v>23</v>
      </c>
      <c r="R288" t="str">
        <f>IF(Orders[[#This Row],[CustomerAge]]&gt;=35, "Older", "Young")</f>
        <v>Young</v>
      </c>
      <c r="S288" t="str">
        <f>_xlfn.XLOOKUP(Orders[[#This Row],[ProductID]],Products[ProductID],Products[ProductName])</f>
        <v>Yoga Mat</v>
      </c>
      <c r="T288" t="str">
        <f>_xlfn.XLOOKUP(Orders[[#This Row],[ProductID]],Products[ProductID],Products[Category])</f>
        <v>Gym</v>
      </c>
    </row>
    <row r="289" spans="1:20" x14ac:dyDescent="0.25">
      <c r="A289" s="4" t="s">
        <v>458</v>
      </c>
      <c r="B289" s="5">
        <v>45995</v>
      </c>
      <c r="C289" s="15">
        <f>WEEKNUM(Orders[[#This Row],[OrderDate]])</f>
        <v>49</v>
      </c>
      <c r="D289" s="15" t="str">
        <f>TEXT(Orders[[#This Row],[OrderDate]],"mmmm")</f>
        <v>December</v>
      </c>
      <c r="E289" s="4" t="s">
        <v>154</v>
      </c>
      <c r="F289" s="4" t="s">
        <v>9</v>
      </c>
      <c r="G289" s="4">
        <v>8</v>
      </c>
      <c r="H289" s="12">
        <v>13223</v>
      </c>
      <c r="I289" s="13">
        <v>11239.55</v>
      </c>
      <c r="J289" s="13">
        <f>Orders[[#This Row],[Quantity]]*Orders[[#This Row],[Selling Price]]</f>
        <v>105784</v>
      </c>
      <c r="K289" s="13">
        <f>Orders[[#This Row],[Quantity]]*Orders[[#This Row],[Cost Price]]</f>
        <v>89916.4</v>
      </c>
      <c r="L289" s="13">
        <f>Orders[[#This Row],[Revenue]]-Orders[[#This Row],[Expenses]]</f>
        <v>15867.600000000006</v>
      </c>
      <c r="M289" t="s">
        <v>2204</v>
      </c>
      <c r="N289" t="str">
        <f>_xlfn.XLOOKUP(Orders[[#This Row],[CustomerID]],Customers[CustomerID],Customers[CustomerName])</f>
        <v>Ronke Danladi</v>
      </c>
      <c r="O289" t="str">
        <f>_xlfn.XLOOKUP(Orders[[#This Row],[CustomerID]],Customers[CustomerID],Customers[City])</f>
        <v>Illinois</v>
      </c>
      <c r="P289" t="str">
        <f>_xlfn.XLOOKUP(Orders[[#This Row],[CustomerID]],Customers[CustomerID],Customers[Gender])</f>
        <v>Female</v>
      </c>
      <c r="Q289">
        <f>_xlfn.XLOOKUP(Orders[[#This Row],[CustomerID]],Customers[CustomerID],Customers[CustomerAge])</f>
        <v>46</v>
      </c>
      <c r="R289" t="str">
        <f>IF(Orders[[#This Row],[CustomerAge]]&gt;=35, "Older", "Young")</f>
        <v>Older</v>
      </c>
      <c r="S289" t="str">
        <f>_xlfn.XLOOKUP(Orders[[#This Row],[ProductID]],Products[ProductID],Products[ProductName])</f>
        <v>Beaded Earrings And Necklaces</v>
      </c>
      <c r="T289" t="str">
        <f>_xlfn.XLOOKUP(Orders[[#This Row],[ProductID]],Products[ProductID],Products[Category])</f>
        <v>Accessories</v>
      </c>
    </row>
    <row r="290" spans="1:20" x14ac:dyDescent="0.25">
      <c r="A290" s="4" t="s">
        <v>459</v>
      </c>
      <c r="B290" s="5">
        <v>46013</v>
      </c>
      <c r="C290" s="15">
        <f>WEEKNUM(Orders[[#This Row],[OrderDate]])</f>
        <v>52</v>
      </c>
      <c r="D290" s="15" t="str">
        <f>TEXT(Orders[[#This Row],[OrderDate]],"mmmm")</f>
        <v>December</v>
      </c>
      <c r="E290" s="4" t="s">
        <v>346</v>
      </c>
      <c r="F290" s="4" t="s">
        <v>130</v>
      </c>
      <c r="G290" s="4">
        <v>1</v>
      </c>
      <c r="H290" s="12">
        <v>3901.7000000000003</v>
      </c>
      <c r="I290" s="13">
        <v>3316.4450000000002</v>
      </c>
      <c r="J290" s="13">
        <f>Orders[[#This Row],[Quantity]]*Orders[[#This Row],[Selling Price]]</f>
        <v>3901.7000000000003</v>
      </c>
      <c r="K290" s="13">
        <f>Orders[[#This Row],[Quantity]]*Orders[[#This Row],[Cost Price]]</f>
        <v>3316.4450000000002</v>
      </c>
      <c r="L290" s="13">
        <f>Orders[[#This Row],[Revenue]]-Orders[[#This Row],[Expenses]]</f>
        <v>585.25500000000011</v>
      </c>
      <c r="M290" t="s">
        <v>2218</v>
      </c>
      <c r="N290" t="str">
        <f>_xlfn.XLOOKUP(Orders[[#This Row],[CustomerID]],Customers[CustomerID],Customers[CustomerName])</f>
        <v>Ngozi Danladi</v>
      </c>
      <c r="O290" t="str">
        <f>_xlfn.XLOOKUP(Orders[[#This Row],[CustomerID]],Customers[CustomerID],Customers[City])</f>
        <v>California</v>
      </c>
      <c r="P290" t="str">
        <f>_xlfn.XLOOKUP(Orders[[#This Row],[CustomerID]],Customers[CustomerID],Customers[Gender])</f>
        <v>Female</v>
      </c>
      <c r="Q290">
        <f>_xlfn.XLOOKUP(Orders[[#This Row],[CustomerID]],Customers[CustomerID],Customers[CustomerAge])</f>
        <v>30</v>
      </c>
      <c r="R290" t="str">
        <f>IF(Orders[[#This Row],[CustomerAge]]&gt;=35, "Older", "Young")</f>
        <v>Young</v>
      </c>
      <c r="S290" t="str">
        <f>_xlfn.XLOOKUP(Orders[[#This Row],[ProductID]],Products[ProductID],Products[ProductName])</f>
        <v>Gold Earrings And Necklaces</v>
      </c>
      <c r="T290" t="str">
        <f>_xlfn.XLOOKUP(Orders[[#This Row],[ProductID]],Products[ProductID],Products[Category])</f>
        <v>Accessories</v>
      </c>
    </row>
    <row r="291" spans="1:20" x14ac:dyDescent="0.25">
      <c r="A291" s="4" t="s">
        <v>460</v>
      </c>
      <c r="B291" s="5">
        <v>45972</v>
      </c>
      <c r="C291" s="15">
        <f>WEEKNUM(Orders[[#This Row],[OrderDate]])</f>
        <v>46</v>
      </c>
      <c r="D291" s="15" t="str">
        <f>TEXT(Orders[[#This Row],[OrderDate]],"mmmm")</f>
        <v>November</v>
      </c>
      <c r="E291" s="4" t="s">
        <v>346</v>
      </c>
      <c r="F291" s="4" t="s">
        <v>120</v>
      </c>
      <c r="G291" s="4">
        <v>7</v>
      </c>
      <c r="H291" s="12">
        <v>11145.5</v>
      </c>
      <c r="I291" s="13">
        <v>9473.6749999999993</v>
      </c>
      <c r="J291" s="13">
        <f>Orders[[#This Row],[Quantity]]*Orders[[#This Row],[Selling Price]]</f>
        <v>78018.5</v>
      </c>
      <c r="K291" s="13">
        <f>Orders[[#This Row],[Quantity]]*Orders[[#This Row],[Cost Price]]</f>
        <v>66315.724999999991</v>
      </c>
      <c r="L291" s="13">
        <f>Orders[[#This Row],[Revenue]]-Orders[[#This Row],[Expenses]]</f>
        <v>11702.775000000009</v>
      </c>
      <c r="M291" t="s">
        <v>2213</v>
      </c>
      <c r="N291" t="str">
        <f>_xlfn.XLOOKUP(Orders[[#This Row],[CustomerID]],Customers[CustomerID],Customers[CustomerName])</f>
        <v>Ngozi Danladi</v>
      </c>
      <c r="O291" t="str">
        <f>_xlfn.XLOOKUP(Orders[[#This Row],[CustomerID]],Customers[CustomerID],Customers[City])</f>
        <v>California</v>
      </c>
      <c r="P291" t="str">
        <f>_xlfn.XLOOKUP(Orders[[#This Row],[CustomerID]],Customers[CustomerID],Customers[Gender])</f>
        <v>Female</v>
      </c>
      <c r="Q291">
        <f>_xlfn.XLOOKUP(Orders[[#This Row],[CustomerID]],Customers[CustomerID],Customers[CustomerAge])</f>
        <v>30</v>
      </c>
      <c r="R291" t="str">
        <f>IF(Orders[[#This Row],[CustomerAge]]&gt;=35, "Older", "Young")</f>
        <v>Young</v>
      </c>
      <c r="S291" t="str">
        <f>_xlfn.XLOOKUP(Orders[[#This Row],[ProductID]],Products[ProductID],Products[ProductName])</f>
        <v>Chess</v>
      </c>
      <c r="T291" t="str">
        <f>_xlfn.XLOOKUP(Orders[[#This Row],[ProductID]],Products[ProductID],Products[Category])</f>
        <v>Games</v>
      </c>
    </row>
    <row r="292" spans="1:20" x14ac:dyDescent="0.25">
      <c r="A292" s="4" t="s">
        <v>461</v>
      </c>
      <c r="B292" s="5">
        <v>46022</v>
      </c>
      <c r="C292" s="15">
        <f>WEEKNUM(Orders[[#This Row],[OrderDate]])</f>
        <v>53</v>
      </c>
      <c r="D292" s="15" t="str">
        <f>TEXT(Orders[[#This Row],[OrderDate]],"mmmm")</f>
        <v>December</v>
      </c>
      <c r="E292" s="4" t="s">
        <v>285</v>
      </c>
      <c r="F292" s="4" t="s">
        <v>20</v>
      </c>
      <c r="G292" s="4">
        <v>2</v>
      </c>
      <c r="H292" s="12">
        <v>17815.3</v>
      </c>
      <c r="I292" s="13">
        <v>15143.004999999999</v>
      </c>
      <c r="J292" s="13">
        <f>Orders[[#This Row],[Quantity]]*Orders[[#This Row],[Selling Price]]</f>
        <v>35630.6</v>
      </c>
      <c r="K292" s="13">
        <f>Orders[[#This Row],[Quantity]]*Orders[[#This Row],[Cost Price]]</f>
        <v>30286.01</v>
      </c>
      <c r="L292" s="13">
        <f>Orders[[#This Row],[Revenue]]-Orders[[#This Row],[Expenses]]</f>
        <v>5344.59</v>
      </c>
      <c r="M292" t="s">
        <v>2203</v>
      </c>
      <c r="N292" t="str">
        <f>_xlfn.XLOOKUP(Orders[[#This Row],[CustomerID]],Customers[CustomerID],Customers[CustomerName])</f>
        <v>Sani Balogun</v>
      </c>
      <c r="O292" t="str">
        <f>_xlfn.XLOOKUP(Orders[[#This Row],[CustomerID]],Customers[CustomerID],Customers[City])</f>
        <v>California</v>
      </c>
      <c r="P292" t="str">
        <f>_xlfn.XLOOKUP(Orders[[#This Row],[CustomerID]],Customers[CustomerID],Customers[Gender])</f>
        <v>Male</v>
      </c>
      <c r="Q292">
        <f>_xlfn.XLOOKUP(Orders[[#This Row],[CustomerID]],Customers[CustomerID],Customers[CustomerAge])</f>
        <v>27</v>
      </c>
      <c r="R292" t="str">
        <f>IF(Orders[[#This Row],[CustomerAge]]&gt;=35, "Older", "Young")</f>
        <v>Young</v>
      </c>
      <c r="S292" t="str">
        <f>_xlfn.XLOOKUP(Orders[[#This Row],[ProductID]],Products[ProductID],Products[ProductName])</f>
        <v>Gym Bag</v>
      </c>
      <c r="T292" t="str">
        <f>_xlfn.XLOOKUP(Orders[[#This Row],[ProductID]],Products[ProductID],Products[Category])</f>
        <v>Gym</v>
      </c>
    </row>
    <row r="293" spans="1:20" x14ac:dyDescent="0.25">
      <c r="A293" s="4" t="s">
        <v>462</v>
      </c>
      <c r="B293" s="5">
        <v>45939</v>
      </c>
      <c r="C293" s="15">
        <f>WEEKNUM(Orders[[#This Row],[OrderDate]])</f>
        <v>41</v>
      </c>
      <c r="D293" s="15" t="str">
        <f>TEXT(Orders[[#This Row],[OrderDate]],"mmmm")</f>
        <v>October</v>
      </c>
      <c r="E293" s="4" t="s">
        <v>418</v>
      </c>
      <c r="F293" s="4" t="s">
        <v>37</v>
      </c>
      <c r="G293" s="4">
        <v>6</v>
      </c>
      <c r="H293" s="12">
        <v>18288.5</v>
      </c>
      <c r="I293" s="13">
        <v>15545.225</v>
      </c>
      <c r="J293" s="13">
        <f>Orders[[#This Row],[Quantity]]*Orders[[#This Row],[Selling Price]]</f>
        <v>109731</v>
      </c>
      <c r="K293" s="13">
        <f>Orders[[#This Row],[Quantity]]*Orders[[#This Row],[Cost Price]]</f>
        <v>93271.35</v>
      </c>
      <c r="L293" s="13">
        <f>Orders[[#This Row],[Revenue]]-Orders[[#This Row],[Expenses]]</f>
        <v>16459.649999999994</v>
      </c>
      <c r="M293" t="s">
        <v>2192</v>
      </c>
      <c r="N293" t="str">
        <f>_xlfn.XLOOKUP(Orders[[#This Row],[CustomerID]],Customers[CustomerID],Customers[CustomerName])</f>
        <v>Amina Danladi</v>
      </c>
      <c r="O293" t="str">
        <f>_xlfn.XLOOKUP(Orders[[#This Row],[CustomerID]],Customers[CustomerID],Customers[City])</f>
        <v>Illinois</v>
      </c>
      <c r="P293" t="str">
        <f>_xlfn.XLOOKUP(Orders[[#This Row],[CustomerID]],Customers[CustomerID],Customers[Gender])</f>
        <v>Female</v>
      </c>
      <c r="Q293">
        <f>_xlfn.XLOOKUP(Orders[[#This Row],[CustomerID]],Customers[CustomerID],Customers[CustomerAge])</f>
        <v>20</v>
      </c>
      <c r="R293" t="str">
        <f>IF(Orders[[#This Row],[CustomerAge]]&gt;=35, "Older", "Young")</f>
        <v>Young</v>
      </c>
      <c r="S293" t="str">
        <f>_xlfn.XLOOKUP(Orders[[#This Row],[ProductID]],Products[ProductID],Products[ProductName])</f>
        <v>Iron</v>
      </c>
      <c r="T293" t="str">
        <f>_xlfn.XLOOKUP(Orders[[#This Row],[ProductID]],Products[ProductID],Products[Category])</f>
        <v>Electronics</v>
      </c>
    </row>
    <row r="294" spans="1:20" x14ac:dyDescent="0.25">
      <c r="A294" s="4" t="s">
        <v>463</v>
      </c>
      <c r="B294" s="5">
        <v>45977</v>
      </c>
      <c r="C294" s="15">
        <f>WEEKNUM(Orders[[#This Row],[OrderDate]])</f>
        <v>47</v>
      </c>
      <c r="D294" s="15" t="str">
        <f>TEXT(Orders[[#This Row],[OrderDate]],"mmmm")</f>
        <v>November</v>
      </c>
      <c r="E294" s="4" t="s">
        <v>27</v>
      </c>
      <c r="F294" s="4" t="s">
        <v>189</v>
      </c>
      <c r="G294" s="4">
        <v>4</v>
      </c>
      <c r="H294" s="12">
        <v>17729.2</v>
      </c>
      <c r="I294" s="13">
        <v>15069.82</v>
      </c>
      <c r="J294" s="13">
        <f>Orders[[#This Row],[Quantity]]*Orders[[#This Row],[Selling Price]]</f>
        <v>70916.800000000003</v>
      </c>
      <c r="K294" s="13">
        <f>Orders[[#This Row],[Quantity]]*Orders[[#This Row],[Cost Price]]</f>
        <v>60279.28</v>
      </c>
      <c r="L294" s="13">
        <f>Orders[[#This Row],[Revenue]]-Orders[[#This Row],[Expenses]]</f>
        <v>10637.520000000004</v>
      </c>
      <c r="M294" t="s">
        <v>2193</v>
      </c>
      <c r="N294" t="str">
        <f>_xlfn.XLOOKUP(Orders[[#This Row],[CustomerID]],Customers[CustomerID],Customers[CustomerName])</f>
        <v>Okon Ojo</v>
      </c>
      <c r="O294" t="str">
        <f>_xlfn.XLOOKUP(Orders[[#This Row],[CustomerID]],Customers[CustomerID],Customers[City])</f>
        <v>Illinois</v>
      </c>
      <c r="P294" t="str">
        <f>_xlfn.XLOOKUP(Orders[[#This Row],[CustomerID]],Customers[CustomerID],Customers[Gender])</f>
        <v>Male</v>
      </c>
      <c r="Q294">
        <f>_xlfn.XLOOKUP(Orders[[#This Row],[CustomerID]],Customers[CustomerID],Customers[CustomerAge])</f>
        <v>32</v>
      </c>
      <c r="R294" t="str">
        <f>IF(Orders[[#This Row],[CustomerAge]]&gt;=35, "Older", "Young")</f>
        <v>Young</v>
      </c>
      <c r="S294" t="str">
        <f>_xlfn.XLOOKUP(Orders[[#This Row],[ProductID]],Products[ProductID],Products[ProductName])</f>
        <v>Scrabble</v>
      </c>
      <c r="T294" t="str">
        <f>_xlfn.XLOOKUP(Orders[[#This Row],[ProductID]],Products[ProductID],Products[Category])</f>
        <v>Games</v>
      </c>
    </row>
    <row r="295" spans="1:20" x14ac:dyDescent="0.25">
      <c r="A295" s="4" t="s">
        <v>464</v>
      </c>
      <c r="B295" s="5">
        <v>45982</v>
      </c>
      <c r="C295" s="15">
        <f>WEEKNUM(Orders[[#This Row],[OrderDate]])</f>
        <v>47</v>
      </c>
      <c r="D295" s="15" t="str">
        <f>TEXT(Orders[[#This Row],[OrderDate]],"mmmm")</f>
        <v>November</v>
      </c>
      <c r="E295" s="4" t="s">
        <v>184</v>
      </c>
      <c r="F295" s="4" t="s">
        <v>28</v>
      </c>
      <c r="G295" s="4">
        <v>3</v>
      </c>
      <c r="H295" s="12">
        <v>15441.5</v>
      </c>
      <c r="I295" s="13">
        <v>13125.275</v>
      </c>
      <c r="J295" s="13">
        <f>Orders[[#This Row],[Quantity]]*Orders[[#This Row],[Selling Price]]</f>
        <v>46324.5</v>
      </c>
      <c r="K295" s="13">
        <f>Orders[[#This Row],[Quantity]]*Orders[[#This Row],[Cost Price]]</f>
        <v>39375.824999999997</v>
      </c>
      <c r="L295" s="13">
        <f>Orders[[#This Row],[Revenue]]-Orders[[#This Row],[Expenses]]</f>
        <v>6948.6750000000029</v>
      </c>
      <c r="M295" t="s">
        <v>2219</v>
      </c>
      <c r="N295" t="str">
        <f>_xlfn.XLOOKUP(Orders[[#This Row],[CustomerID]],Customers[CustomerID],Customers[CustomerName])</f>
        <v>Ngozi Obi</v>
      </c>
      <c r="O295" t="str">
        <f>_xlfn.XLOOKUP(Orders[[#This Row],[CustomerID]],Customers[CustomerID],Customers[City])</f>
        <v>Washington</v>
      </c>
      <c r="P295" t="str">
        <f>_xlfn.XLOOKUP(Orders[[#This Row],[CustomerID]],Customers[CustomerID],Customers[Gender])</f>
        <v>Female</v>
      </c>
      <c r="Q295">
        <f>_xlfn.XLOOKUP(Orders[[#This Row],[CustomerID]],Customers[CustomerID],Customers[CustomerAge])</f>
        <v>32</v>
      </c>
      <c r="R295" t="str">
        <f>IF(Orders[[#This Row],[CustomerAge]]&gt;=35, "Older", "Young")</f>
        <v>Young</v>
      </c>
      <c r="S295" t="str">
        <f>_xlfn.XLOOKUP(Orders[[#This Row],[ProductID]],Products[ProductID],Products[ProductName])</f>
        <v>Sneakers</v>
      </c>
      <c r="T295" t="str">
        <f>_xlfn.XLOOKUP(Orders[[#This Row],[ProductID]],Products[ProductID],Products[Category])</f>
        <v>Sports</v>
      </c>
    </row>
    <row r="296" spans="1:20" x14ac:dyDescent="0.25">
      <c r="A296" s="4" t="s">
        <v>465</v>
      </c>
      <c r="B296" s="5">
        <v>45989</v>
      </c>
      <c r="C296" s="15">
        <f>WEEKNUM(Orders[[#This Row],[OrderDate]])</f>
        <v>48</v>
      </c>
      <c r="D296" s="15" t="str">
        <f>TEXT(Orders[[#This Row],[OrderDate]],"mmmm")</f>
        <v>November</v>
      </c>
      <c r="E296" s="4" t="s">
        <v>140</v>
      </c>
      <c r="F296" s="4" t="s">
        <v>63</v>
      </c>
      <c r="G296" s="4">
        <v>1</v>
      </c>
      <c r="H296" s="12">
        <v>8896.1</v>
      </c>
      <c r="I296" s="13">
        <v>7561.6850000000004</v>
      </c>
      <c r="J296" s="13">
        <f>Orders[[#This Row],[Quantity]]*Orders[[#This Row],[Selling Price]]</f>
        <v>8896.1</v>
      </c>
      <c r="K296" s="13">
        <f>Orders[[#This Row],[Quantity]]*Orders[[#This Row],[Cost Price]]</f>
        <v>7561.6850000000004</v>
      </c>
      <c r="L296" s="13">
        <f>Orders[[#This Row],[Revenue]]-Orders[[#This Row],[Expenses]]</f>
        <v>1334.415</v>
      </c>
      <c r="M296" t="s">
        <v>2209</v>
      </c>
      <c r="N296" t="str">
        <f>_xlfn.XLOOKUP(Orders[[#This Row],[CustomerID]],Customers[CustomerID],Customers[CustomerName])</f>
        <v>Tunde Igwe</v>
      </c>
      <c r="O296" t="str">
        <f>_xlfn.XLOOKUP(Orders[[#This Row],[CustomerID]],Customers[CustomerID],Customers[City])</f>
        <v>Washington</v>
      </c>
      <c r="P296" t="str">
        <f>_xlfn.XLOOKUP(Orders[[#This Row],[CustomerID]],Customers[CustomerID],Customers[Gender])</f>
        <v>Male</v>
      </c>
      <c r="Q296">
        <f>_xlfn.XLOOKUP(Orders[[#This Row],[CustomerID]],Customers[CustomerID],Customers[CustomerAge])</f>
        <v>20</v>
      </c>
      <c r="R296" t="str">
        <f>IF(Orders[[#This Row],[CustomerAge]]&gt;=35, "Older", "Young")</f>
        <v>Young</v>
      </c>
      <c r="S296" t="str">
        <f>_xlfn.XLOOKUP(Orders[[#This Row],[ProductID]],Products[ProductID],Products[ProductName])</f>
        <v>Tennis Bat</v>
      </c>
      <c r="T296" t="str">
        <f>_xlfn.XLOOKUP(Orders[[#This Row],[ProductID]],Products[ProductID],Products[Category])</f>
        <v>Sports</v>
      </c>
    </row>
    <row r="297" spans="1:20" x14ac:dyDescent="0.25">
      <c r="A297" s="4" t="s">
        <v>466</v>
      </c>
      <c r="B297" s="5">
        <v>46018</v>
      </c>
      <c r="C297" s="15">
        <f>WEEKNUM(Orders[[#This Row],[OrderDate]])</f>
        <v>52</v>
      </c>
      <c r="D297" s="15" t="str">
        <f>TEXT(Orders[[#This Row],[OrderDate]],"mmmm")</f>
        <v>December</v>
      </c>
      <c r="E297" s="4" t="s">
        <v>55</v>
      </c>
      <c r="F297" s="4" t="s">
        <v>76</v>
      </c>
      <c r="G297" s="4">
        <v>2</v>
      </c>
      <c r="H297" s="12">
        <v>607.6</v>
      </c>
      <c r="I297" s="13">
        <v>516.46</v>
      </c>
      <c r="J297" s="13">
        <f>Orders[[#This Row],[Quantity]]*Orders[[#This Row],[Selling Price]]</f>
        <v>1215.2</v>
      </c>
      <c r="K297" s="13">
        <f>Orders[[#This Row],[Quantity]]*Orders[[#This Row],[Cost Price]]</f>
        <v>1032.92</v>
      </c>
      <c r="L297" s="13">
        <f>Orders[[#This Row],[Revenue]]-Orders[[#This Row],[Expenses]]</f>
        <v>182.27999999999997</v>
      </c>
      <c r="M297" t="s">
        <v>2213</v>
      </c>
      <c r="N297" t="str">
        <f>_xlfn.XLOOKUP(Orders[[#This Row],[CustomerID]],Customers[CustomerID],Customers[CustomerName])</f>
        <v>Adanma Ojo</v>
      </c>
      <c r="O297" t="str">
        <f>_xlfn.XLOOKUP(Orders[[#This Row],[CustomerID]],Customers[CustomerID],Customers[City])</f>
        <v>California</v>
      </c>
      <c r="P297" t="str">
        <f>_xlfn.XLOOKUP(Orders[[#This Row],[CustomerID]],Customers[CustomerID],Customers[Gender])</f>
        <v>Female</v>
      </c>
      <c r="Q297">
        <f>_xlfn.XLOOKUP(Orders[[#This Row],[CustomerID]],Customers[CustomerID],Customers[CustomerAge])</f>
        <v>48</v>
      </c>
      <c r="R297" t="str">
        <f>IF(Orders[[#This Row],[CustomerAge]]&gt;=35, "Older", "Young")</f>
        <v>Older</v>
      </c>
      <c r="S297" t="str">
        <f>_xlfn.XLOOKUP(Orders[[#This Row],[ProductID]],Products[ProductID],Products[ProductName])</f>
        <v>Blender</v>
      </c>
      <c r="T297" t="str">
        <f>_xlfn.XLOOKUP(Orders[[#This Row],[ProductID]],Products[ProductID],Products[Category])</f>
        <v>Electronics</v>
      </c>
    </row>
    <row r="298" spans="1:20" x14ac:dyDescent="0.25">
      <c r="A298" s="4" t="s">
        <v>467</v>
      </c>
      <c r="B298" s="5">
        <v>45932</v>
      </c>
      <c r="C298" s="15">
        <f>WEEKNUM(Orders[[#This Row],[OrderDate]])</f>
        <v>40</v>
      </c>
      <c r="D298" s="15" t="str">
        <f>TEXT(Orders[[#This Row],[OrderDate]],"mmmm")</f>
        <v>October</v>
      </c>
      <c r="E298" s="4" t="s">
        <v>468</v>
      </c>
      <c r="F298" s="4" t="s">
        <v>70</v>
      </c>
      <c r="G298" s="4">
        <v>10</v>
      </c>
      <c r="H298" s="12">
        <v>11703.199999999999</v>
      </c>
      <c r="I298" s="13">
        <v>9947.7199999999993</v>
      </c>
      <c r="J298" s="13">
        <f>Orders[[#This Row],[Quantity]]*Orders[[#This Row],[Selling Price]]</f>
        <v>117031.99999999999</v>
      </c>
      <c r="K298" s="13">
        <f>Orders[[#This Row],[Quantity]]*Orders[[#This Row],[Cost Price]]</f>
        <v>99477.2</v>
      </c>
      <c r="L298" s="13">
        <f>Orders[[#This Row],[Revenue]]-Orders[[#This Row],[Expenses]]</f>
        <v>17554.799999999988</v>
      </c>
      <c r="M298" t="s">
        <v>2214</v>
      </c>
      <c r="N298" t="str">
        <f>_xlfn.XLOOKUP(Orders[[#This Row],[CustomerID]],Customers[CustomerID],Customers[CustomerName])</f>
        <v>Chioma Adeyemi</v>
      </c>
      <c r="O298" t="str">
        <f>_xlfn.XLOOKUP(Orders[[#This Row],[CustomerID]],Customers[CustomerID],Customers[City])</f>
        <v>California</v>
      </c>
      <c r="P298" t="str">
        <f>_xlfn.XLOOKUP(Orders[[#This Row],[CustomerID]],Customers[CustomerID],Customers[Gender])</f>
        <v>Female</v>
      </c>
      <c r="Q298">
        <f>_xlfn.XLOOKUP(Orders[[#This Row],[CustomerID]],Customers[CustomerID],Customers[CustomerAge])</f>
        <v>23</v>
      </c>
      <c r="R298" t="str">
        <f>IF(Orders[[#This Row],[CustomerAge]]&gt;=35, "Older", "Young")</f>
        <v>Young</v>
      </c>
      <c r="S298" t="str">
        <f>_xlfn.XLOOKUP(Orders[[#This Row],[ProductID]],Products[ProductID],Products[ProductName])</f>
        <v>Yoga Mat</v>
      </c>
      <c r="T298" t="str">
        <f>_xlfn.XLOOKUP(Orders[[#This Row],[ProductID]],Products[ProductID],Products[Category])</f>
        <v>Gym</v>
      </c>
    </row>
    <row r="299" spans="1:20" x14ac:dyDescent="0.25">
      <c r="A299" s="4" t="s">
        <v>469</v>
      </c>
      <c r="B299" s="5">
        <v>45949</v>
      </c>
      <c r="C299" s="15">
        <f>WEEKNUM(Orders[[#This Row],[OrderDate]])</f>
        <v>43</v>
      </c>
      <c r="D299" s="15" t="str">
        <f>TEXT(Orders[[#This Row],[OrderDate]],"mmmm")</f>
        <v>October</v>
      </c>
      <c r="E299" s="4" t="s">
        <v>410</v>
      </c>
      <c r="F299" s="4" t="s">
        <v>31</v>
      </c>
      <c r="G299" s="4">
        <v>6</v>
      </c>
      <c r="H299" s="12">
        <v>6579.6</v>
      </c>
      <c r="I299" s="13">
        <v>5592.66</v>
      </c>
      <c r="J299" s="13">
        <f>Orders[[#This Row],[Quantity]]*Orders[[#This Row],[Selling Price]]</f>
        <v>39477.600000000006</v>
      </c>
      <c r="K299" s="13">
        <f>Orders[[#This Row],[Quantity]]*Orders[[#This Row],[Cost Price]]</f>
        <v>33555.96</v>
      </c>
      <c r="L299" s="13">
        <f>Orders[[#This Row],[Revenue]]-Orders[[#This Row],[Expenses]]</f>
        <v>5921.6400000000067</v>
      </c>
      <c r="M299" t="s">
        <v>2204</v>
      </c>
      <c r="N299" t="str">
        <f>_xlfn.XLOOKUP(Orders[[#This Row],[CustomerID]],Customers[CustomerID],Customers[CustomerName])</f>
        <v>Jane Thomas</v>
      </c>
      <c r="O299" t="str">
        <f>_xlfn.XLOOKUP(Orders[[#This Row],[CustomerID]],Customers[CustomerID],Customers[City])</f>
        <v>Texas</v>
      </c>
      <c r="P299" t="str">
        <f>_xlfn.XLOOKUP(Orders[[#This Row],[CustomerID]],Customers[CustomerID],Customers[Gender])</f>
        <v>Male</v>
      </c>
      <c r="Q299">
        <f>_xlfn.XLOOKUP(Orders[[#This Row],[CustomerID]],Customers[CustomerID],Customers[CustomerAge])</f>
        <v>21</v>
      </c>
      <c r="R299" t="str">
        <f>IF(Orders[[#This Row],[CustomerAge]]&gt;=35, "Older", "Young")</f>
        <v>Young</v>
      </c>
      <c r="S299" t="str">
        <f>_xlfn.XLOOKUP(Orders[[#This Row],[ProductID]],Products[ProductID],Products[ProductName])</f>
        <v>Kids Games</v>
      </c>
      <c r="T299" t="str">
        <f>_xlfn.XLOOKUP(Orders[[#This Row],[ProductID]],Products[ProductID],Products[Category])</f>
        <v>Games</v>
      </c>
    </row>
    <row r="300" spans="1:20" x14ac:dyDescent="0.25">
      <c r="A300" s="4" t="s">
        <v>470</v>
      </c>
      <c r="B300" s="5">
        <v>45962</v>
      </c>
      <c r="C300" s="15">
        <f>WEEKNUM(Orders[[#This Row],[OrderDate]])</f>
        <v>44</v>
      </c>
      <c r="D300" s="15" t="str">
        <f>TEXT(Orders[[#This Row],[OrderDate]],"mmmm")</f>
        <v>November</v>
      </c>
      <c r="E300" s="4" t="s">
        <v>116</v>
      </c>
      <c r="F300" s="4" t="s">
        <v>46</v>
      </c>
      <c r="G300" s="4">
        <v>4</v>
      </c>
      <c r="H300" s="12">
        <v>16464.900000000001</v>
      </c>
      <c r="I300" s="13">
        <v>13995.165000000001</v>
      </c>
      <c r="J300" s="13">
        <f>Orders[[#This Row],[Quantity]]*Orders[[#This Row],[Selling Price]]</f>
        <v>65859.600000000006</v>
      </c>
      <c r="K300" s="13">
        <f>Orders[[#This Row],[Quantity]]*Orders[[#This Row],[Cost Price]]</f>
        <v>55980.66</v>
      </c>
      <c r="L300" s="13">
        <f>Orders[[#This Row],[Revenue]]-Orders[[#This Row],[Expenses]]</f>
        <v>9878.9400000000023</v>
      </c>
      <c r="M300" t="s">
        <v>2192</v>
      </c>
      <c r="N300" t="str">
        <f>_xlfn.XLOOKUP(Orders[[#This Row],[CustomerID]],Customers[CustomerID],Customers[CustomerName])</f>
        <v>Uche Bello</v>
      </c>
      <c r="O300" t="str">
        <f>_xlfn.XLOOKUP(Orders[[#This Row],[CustomerID]],Customers[CustomerID],Customers[City])</f>
        <v>Texas</v>
      </c>
      <c r="P300" t="str">
        <f>_xlfn.XLOOKUP(Orders[[#This Row],[CustomerID]],Customers[CustomerID],Customers[Gender])</f>
        <v>Male</v>
      </c>
      <c r="Q300">
        <f>_xlfn.XLOOKUP(Orders[[#This Row],[CustomerID]],Customers[CustomerID],Customers[CustomerAge])</f>
        <v>21</v>
      </c>
      <c r="R300" t="str">
        <f>IF(Orders[[#This Row],[CustomerAge]]&gt;=35, "Older", "Young")</f>
        <v>Young</v>
      </c>
      <c r="S300" t="str">
        <f>_xlfn.XLOOKUP(Orders[[#This Row],[ProductID]],Products[ProductID],Products[ProductName])</f>
        <v>Turtle Neck</v>
      </c>
      <c r="T300" t="str">
        <f>_xlfn.XLOOKUP(Orders[[#This Row],[ProductID]],Products[ProductID],Products[Category])</f>
        <v>Clothing</v>
      </c>
    </row>
    <row r="301" spans="1:20" x14ac:dyDescent="0.25">
      <c r="A301" s="4" t="s">
        <v>471</v>
      </c>
      <c r="B301" s="5">
        <v>46007</v>
      </c>
      <c r="C301" s="15">
        <f>WEEKNUM(Orders[[#This Row],[OrderDate]])</f>
        <v>51</v>
      </c>
      <c r="D301" s="15" t="str">
        <f>TEXT(Orders[[#This Row],[OrderDate]],"mmmm")</f>
        <v>December</v>
      </c>
      <c r="E301" s="4" t="s">
        <v>302</v>
      </c>
      <c r="F301" s="4" t="s">
        <v>23</v>
      </c>
      <c r="G301" s="4">
        <v>10</v>
      </c>
      <c r="H301" s="12">
        <v>17568.399999999998</v>
      </c>
      <c r="I301" s="13">
        <v>14933.139999999998</v>
      </c>
      <c r="J301" s="13">
        <f>Orders[[#This Row],[Quantity]]*Orders[[#This Row],[Selling Price]]</f>
        <v>175683.99999999997</v>
      </c>
      <c r="K301" s="13">
        <f>Orders[[#This Row],[Quantity]]*Orders[[#This Row],[Cost Price]]</f>
        <v>149331.39999999997</v>
      </c>
      <c r="L301" s="13">
        <f>Orders[[#This Row],[Revenue]]-Orders[[#This Row],[Expenses]]</f>
        <v>26352.600000000006</v>
      </c>
      <c r="M301" t="s">
        <v>2208</v>
      </c>
      <c r="N301" t="str">
        <f>_xlfn.XLOOKUP(Orders[[#This Row],[CustomerID]],Customers[CustomerID],Customers[CustomerName])</f>
        <v>Sani Bello</v>
      </c>
      <c r="O301" t="str">
        <f>_xlfn.XLOOKUP(Orders[[#This Row],[CustomerID]],Customers[CustomerID],Customers[City])</f>
        <v>Washington</v>
      </c>
      <c r="P301" t="str">
        <f>_xlfn.XLOOKUP(Orders[[#This Row],[CustomerID]],Customers[CustomerID],Customers[Gender])</f>
        <v>Male</v>
      </c>
      <c r="Q301">
        <f>_xlfn.XLOOKUP(Orders[[#This Row],[CustomerID]],Customers[CustomerID],Customers[CustomerAge])</f>
        <v>23</v>
      </c>
      <c r="R301" t="str">
        <f>IF(Orders[[#This Row],[CustomerAge]]&gt;=35, "Older", "Young")</f>
        <v>Young</v>
      </c>
      <c r="S301" t="str">
        <f>_xlfn.XLOOKUP(Orders[[#This Row],[ProductID]],Products[ProductID],Products[ProductName])</f>
        <v>Gym Gloves</v>
      </c>
      <c r="T301" t="str">
        <f>_xlfn.XLOOKUP(Orders[[#This Row],[ProductID]],Products[ProductID],Products[Category])</f>
        <v>Gym</v>
      </c>
    </row>
    <row r="302" spans="1:20" x14ac:dyDescent="0.25">
      <c r="A302" s="4" t="s">
        <v>472</v>
      </c>
      <c r="B302" s="5">
        <v>45950</v>
      </c>
      <c r="C302" s="15">
        <f>WEEKNUM(Orders[[#This Row],[OrderDate]])</f>
        <v>43</v>
      </c>
      <c r="D302" s="15" t="str">
        <f>TEXT(Orders[[#This Row],[OrderDate]],"mmmm")</f>
        <v>October</v>
      </c>
      <c r="E302" s="4" t="s">
        <v>317</v>
      </c>
      <c r="F302" s="4" t="s">
        <v>353</v>
      </c>
      <c r="G302" s="4">
        <v>10</v>
      </c>
      <c r="H302" s="12">
        <v>18357</v>
      </c>
      <c r="I302" s="13">
        <v>15603.45</v>
      </c>
      <c r="J302" s="13">
        <f>Orders[[#This Row],[Quantity]]*Orders[[#This Row],[Selling Price]]</f>
        <v>183570</v>
      </c>
      <c r="K302" s="13">
        <f>Orders[[#This Row],[Quantity]]*Orders[[#This Row],[Cost Price]]</f>
        <v>156034.5</v>
      </c>
      <c r="L302" s="13">
        <f>Orders[[#This Row],[Revenue]]-Orders[[#This Row],[Expenses]]</f>
        <v>27535.5</v>
      </c>
      <c r="M302" t="s">
        <v>2219</v>
      </c>
      <c r="N302" t="str">
        <f>_xlfn.XLOOKUP(Orders[[#This Row],[CustomerID]],Customers[CustomerID],Customers[CustomerName])</f>
        <v>Folasade Danladi</v>
      </c>
      <c r="O302" t="str">
        <f>_xlfn.XLOOKUP(Orders[[#This Row],[CustomerID]],Customers[CustomerID],Customers[City])</f>
        <v>Texas</v>
      </c>
      <c r="P302" t="str">
        <f>_xlfn.XLOOKUP(Orders[[#This Row],[CustomerID]],Customers[CustomerID],Customers[Gender])</f>
        <v>Female</v>
      </c>
      <c r="Q302">
        <f>_xlfn.XLOOKUP(Orders[[#This Row],[CustomerID]],Customers[CustomerID],Customers[CustomerAge])</f>
        <v>28</v>
      </c>
      <c r="R302" t="str">
        <f>IF(Orders[[#This Row],[CustomerAge]]&gt;=35, "Older", "Young")</f>
        <v>Young</v>
      </c>
      <c r="S302" t="str">
        <f>_xlfn.XLOOKUP(Orders[[#This Row],[ProductID]],Products[ProductID],Products[ProductName])</f>
        <v>Silver Earrings And Necklaces</v>
      </c>
      <c r="T302" t="str">
        <f>_xlfn.XLOOKUP(Orders[[#This Row],[ProductID]],Products[ProductID],Products[Category])</f>
        <v>Accessories</v>
      </c>
    </row>
    <row r="303" spans="1:20" x14ac:dyDescent="0.25">
      <c r="A303" s="4" t="s">
        <v>473</v>
      </c>
      <c r="B303" s="5">
        <v>45990</v>
      </c>
      <c r="C303" s="15">
        <f>WEEKNUM(Orders[[#This Row],[OrderDate]])</f>
        <v>48</v>
      </c>
      <c r="D303" s="15" t="str">
        <f>TEXT(Orders[[#This Row],[OrderDate]],"mmmm")</f>
        <v>November</v>
      </c>
      <c r="E303" s="4" t="s">
        <v>298</v>
      </c>
      <c r="F303" s="4" t="s">
        <v>28</v>
      </c>
      <c r="G303" s="4">
        <v>2</v>
      </c>
      <c r="H303" s="12">
        <v>11478.900000000001</v>
      </c>
      <c r="I303" s="13">
        <v>9757.0650000000005</v>
      </c>
      <c r="J303" s="13">
        <f>Orders[[#This Row],[Quantity]]*Orders[[#This Row],[Selling Price]]</f>
        <v>22957.800000000003</v>
      </c>
      <c r="K303" s="13">
        <f>Orders[[#This Row],[Quantity]]*Orders[[#This Row],[Cost Price]]</f>
        <v>19514.13</v>
      </c>
      <c r="L303" s="13">
        <f>Orders[[#This Row],[Revenue]]-Orders[[#This Row],[Expenses]]</f>
        <v>3443.6700000000019</v>
      </c>
      <c r="M303" t="s">
        <v>2196</v>
      </c>
      <c r="N303" t="str">
        <f>_xlfn.XLOOKUP(Orders[[#This Row],[CustomerID]],Customers[CustomerID],Customers[CustomerName])</f>
        <v>Amina Obi</v>
      </c>
      <c r="O303" t="str">
        <f>_xlfn.XLOOKUP(Orders[[#This Row],[CustomerID]],Customers[CustomerID],Customers[City])</f>
        <v>Florida</v>
      </c>
      <c r="P303" t="str">
        <f>_xlfn.XLOOKUP(Orders[[#This Row],[CustomerID]],Customers[CustomerID],Customers[Gender])</f>
        <v>Female</v>
      </c>
      <c r="Q303">
        <f>_xlfn.XLOOKUP(Orders[[#This Row],[CustomerID]],Customers[CustomerID],Customers[CustomerAge])</f>
        <v>19</v>
      </c>
      <c r="R303" t="str">
        <f>IF(Orders[[#This Row],[CustomerAge]]&gt;=35, "Older", "Young")</f>
        <v>Young</v>
      </c>
      <c r="S303" t="str">
        <f>_xlfn.XLOOKUP(Orders[[#This Row],[ProductID]],Products[ProductID],Products[ProductName])</f>
        <v>Sneakers</v>
      </c>
      <c r="T303" t="str">
        <f>_xlfn.XLOOKUP(Orders[[#This Row],[ProductID]],Products[ProductID],Products[Category])</f>
        <v>Sports</v>
      </c>
    </row>
    <row r="304" spans="1:20" x14ac:dyDescent="0.25">
      <c r="A304" s="4" t="s">
        <v>474</v>
      </c>
      <c r="B304" s="5">
        <v>45997</v>
      </c>
      <c r="C304" s="15">
        <f>WEEKNUM(Orders[[#This Row],[OrderDate]])</f>
        <v>49</v>
      </c>
      <c r="D304" s="15" t="str">
        <f>TEXT(Orders[[#This Row],[OrderDate]],"mmmm")</f>
        <v>December</v>
      </c>
      <c r="E304" s="4" t="s">
        <v>291</v>
      </c>
      <c r="F304" s="4" t="s">
        <v>76</v>
      </c>
      <c r="G304" s="4">
        <v>10</v>
      </c>
      <c r="H304" s="12">
        <v>7096</v>
      </c>
      <c r="I304" s="13">
        <v>6031.6</v>
      </c>
      <c r="J304" s="13">
        <f>Orders[[#This Row],[Quantity]]*Orders[[#This Row],[Selling Price]]</f>
        <v>70960</v>
      </c>
      <c r="K304" s="13">
        <f>Orders[[#This Row],[Quantity]]*Orders[[#This Row],[Cost Price]]</f>
        <v>60316</v>
      </c>
      <c r="L304" s="13">
        <f>Orders[[#This Row],[Revenue]]-Orders[[#This Row],[Expenses]]</f>
        <v>10644</v>
      </c>
      <c r="M304" t="s">
        <v>2199</v>
      </c>
      <c r="N304" t="str">
        <f>_xlfn.XLOOKUP(Orders[[#This Row],[CustomerID]],Customers[CustomerID],Customers[CustomerName])</f>
        <v>Okon Igwe</v>
      </c>
      <c r="O304" t="str">
        <f>_xlfn.XLOOKUP(Orders[[#This Row],[CustomerID]],Customers[CustomerID],Customers[City])</f>
        <v>Texas</v>
      </c>
      <c r="P304" t="str">
        <f>_xlfn.XLOOKUP(Orders[[#This Row],[CustomerID]],Customers[CustomerID],Customers[Gender])</f>
        <v>Male</v>
      </c>
      <c r="Q304">
        <f>_xlfn.XLOOKUP(Orders[[#This Row],[CustomerID]],Customers[CustomerID],Customers[CustomerAge])</f>
        <v>33</v>
      </c>
      <c r="R304" t="str">
        <f>IF(Orders[[#This Row],[CustomerAge]]&gt;=35, "Older", "Young")</f>
        <v>Young</v>
      </c>
      <c r="S304" t="str">
        <f>_xlfn.XLOOKUP(Orders[[#This Row],[ProductID]],Products[ProductID],Products[ProductName])</f>
        <v>Blender</v>
      </c>
      <c r="T304" t="str">
        <f>_xlfn.XLOOKUP(Orders[[#This Row],[ProductID]],Products[ProductID],Products[Category])</f>
        <v>Electronics</v>
      </c>
    </row>
    <row r="305" spans="1:20" x14ac:dyDescent="0.25">
      <c r="A305" s="4" t="s">
        <v>475</v>
      </c>
      <c r="B305" s="5">
        <v>46004</v>
      </c>
      <c r="C305" s="15">
        <f>WEEKNUM(Orders[[#This Row],[OrderDate]])</f>
        <v>50</v>
      </c>
      <c r="D305" s="15" t="str">
        <f>TEXT(Orders[[#This Row],[OrderDate]],"mmmm")</f>
        <v>December</v>
      </c>
      <c r="E305" s="4" t="s">
        <v>124</v>
      </c>
      <c r="F305" s="4" t="s">
        <v>60</v>
      </c>
      <c r="G305" s="4">
        <v>1</v>
      </c>
      <c r="H305" s="12">
        <v>16799</v>
      </c>
      <c r="I305" s="13">
        <v>14279.15</v>
      </c>
      <c r="J305" s="13">
        <f>Orders[[#This Row],[Quantity]]*Orders[[#This Row],[Selling Price]]</f>
        <v>16799</v>
      </c>
      <c r="K305" s="13">
        <f>Orders[[#This Row],[Quantity]]*Orders[[#This Row],[Cost Price]]</f>
        <v>14279.15</v>
      </c>
      <c r="L305" s="13">
        <f>Orders[[#This Row],[Revenue]]-Orders[[#This Row],[Expenses]]</f>
        <v>2519.8500000000004</v>
      </c>
      <c r="M305" t="s">
        <v>2209</v>
      </c>
      <c r="N305" t="str">
        <f>_xlfn.XLOOKUP(Orders[[#This Row],[CustomerID]],Customers[CustomerID],Customers[CustomerName])</f>
        <v>Ngozi Ojo</v>
      </c>
      <c r="O305" t="str">
        <f>_xlfn.XLOOKUP(Orders[[#This Row],[CustomerID]],Customers[CustomerID],Customers[City])</f>
        <v>Texas</v>
      </c>
      <c r="P305" t="str">
        <f>_xlfn.XLOOKUP(Orders[[#This Row],[CustomerID]],Customers[CustomerID],Customers[Gender])</f>
        <v>Female</v>
      </c>
      <c r="Q305">
        <f>_xlfn.XLOOKUP(Orders[[#This Row],[CustomerID]],Customers[CustomerID],Customers[CustomerAge])</f>
        <v>22</v>
      </c>
      <c r="R305" t="str">
        <f>IF(Orders[[#This Row],[CustomerAge]]&gt;=35, "Older", "Young")</f>
        <v>Young</v>
      </c>
      <c r="S305" t="str">
        <f>_xlfn.XLOOKUP(Orders[[#This Row],[ProductID]],Products[ProductID],Products[ProductName])</f>
        <v>Silver Rings</v>
      </c>
      <c r="T305" t="str">
        <f>_xlfn.XLOOKUP(Orders[[#This Row],[ProductID]],Products[ProductID],Products[Category])</f>
        <v>Accessories</v>
      </c>
    </row>
    <row r="306" spans="1:20" x14ac:dyDescent="0.25">
      <c r="A306" s="4" t="s">
        <v>476</v>
      </c>
      <c r="B306" s="5">
        <v>45999</v>
      </c>
      <c r="C306" s="15">
        <f>WEEKNUM(Orders[[#This Row],[OrderDate]])</f>
        <v>50</v>
      </c>
      <c r="D306" s="15" t="str">
        <f>TEXT(Orders[[#This Row],[OrderDate]],"mmmm")</f>
        <v>December</v>
      </c>
      <c r="E306" s="4" t="s">
        <v>410</v>
      </c>
      <c r="F306" s="4" t="s">
        <v>63</v>
      </c>
      <c r="G306" s="4">
        <v>7</v>
      </c>
      <c r="H306" s="12">
        <v>8511.5</v>
      </c>
      <c r="I306" s="13">
        <v>7234.7749999999996</v>
      </c>
      <c r="J306" s="13">
        <f>Orders[[#This Row],[Quantity]]*Orders[[#This Row],[Selling Price]]</f>
        <v>59580.5</v>
      </c>
      <c r="K306" s="13">
        <f>Orders[[#This Row],[Quantity]]*Orders[[#This Row],[Cost Price]]</f>
        <v>50643.424999999996</v>
      </c>
      <c r="L306" s="13">
        <f>Orders[[#This Row],[Revenue]]-Orders[[#This Row],[Expenses]]</f>
        <v>8937.0750000000044</v>
      </c>
      <c r="M306" t="s">
        <v>2197</v>
      </c>
      <c r="N306" t="str">
        <f>_xlfn.XLOOKUP(Orders[[#This Row],[CustomerID]],Customers[CustomerID],Customers[CustomerName])</f>
        <v>Jane Thomas</v>
      </c>
      <c r="O306" t="str">
        <f>_xlfn.XLOOKUP(Orders[[#This Row],[CustomerID]],Customers[CustomerID],Customers[City])</f>
        <v>Texas</v>
      </c>
      <c r="P306" t="str">
        <f>_xlfn.XLOOKUP(Orders[[#This Row],[CustomerID]],Customers[CustomerID],Customers[Gender])</f>
        <v>Male</v>
      </c>
      <c r="Q306">
        <f>_xlfn.XLOOKUP(Orders[[#This Row],[CustomerID]],Customers[CustomerID],Customers[CustomerAge])</f>
        <v>21</v>
      </c>
      <c r="R306" t="str">
        <f>IF(Orders[[#This Row],[CustomerAge]]&gt;=35, "Older", "Young")</f>
        <v>Young</v>
      </c>
      <c r="S306" t="str">
        <f>_xlfn.XLOOKUP(Orders[[#This Row],[ProductID]],Products[ProductID],Products[ProductName])</f>
        <v>Tennis Bat</v>
      </c>
      <c r="T306" t="str">
        <f>_xlfn.XLOOKUP(Orders[[#This Row],[ProductID]],Products[ProductID],Products[Category])</f>
        <v>Sports</v>
      </c>
    </row>
    <row r="307" spans="1:20" x14ac:dyDescent="0.25">
      <c r="A307" s="4" t="s">
        <v>477</v>
      </c>
      <c r="B307" s="5">
        <v>46005</v>
      </c>
      <c r="C307" s="15">
        <f>WEEKNUM(Orders[[#This Row],[OrderDate]])</f>
        <v>51</v>
      </c>
      <c r="D307" s="15" t="str">
        <f>TEXT(Orders[[#This Row],[OrderDate]],"mmmm")</f>
        <v>December</v>
      </c>
      <c r="E307" s="4" t="s">
        <v>27</v>
      </c>
      <c r="F307" s="4" t="s">
        <v>81</v>
      </c>
      <c r="G307" s="4">
        <v>3</v>
      </c>
      <c r="H307" s="12">
        <v>6933.0999999999995</v>
      </c>
      <c r="I307" s="13">
        <v>5893.1349999999993</v>
      </c>
      <c r="J307" s="13">
        <f>Orders[[#This Row],[Quantity]]*Orders[[#This Row],[Selling Price]]</f>
        <v>20799.3</v>
      </c>
      <c r="K307" s="13">
        <f>Orders[[#This Row],[Quantity]]*Orders[[#This Row],[Cost Price]]</f>
        <v>17679.404999999999</v>
      </c>
      <c r="L307" s="13">
        <f>Orders[[#This Row],[Revenue]]-Orders[[#This Row],[Expenses]]</f>
        <v>3119.8950000000004</v>
      </c>
      <c r="M307" t="s">
        <v>2219</v>
      </c>
      <c r="N307" t="str">
        <f>_xlfn.XLOOKUP(Orders[[#This Row],[CustomerID]],Customers[CustomerID],Customers[CustomerName])</f>
        <v>Okon Ojo</v>
      </c>
      <c r="O307" t="str">
        <f>_xlfn.XLOOKUP(Orders[[#This Row],[CustomerID]],Customers[CustomerID],Customers[City])</f>
        <v>Illinois</v>
      </c>
      <c r="P307" t="str">
        <f>_xlfn.XLOOKUP(Orders[[#This Row],[CustomerID]],Customers[CustomerID],Customers[Gender])</f>
        <v>Male</v>
      </c>
      <c r="Q307">
        <f>_xlfn.XLOOKUP(Orders[[#This Row],[CustomerID]],Customers[CustomerID],Customers[CustomerAge])</f>
        <v>32</v>
      </c>
      <c r="R307" t="str">
        <f>IF(Orders[[#This Row],[CustomerAge]]&gt;=35, "Older", "Young")</f>
        <v>Young</v>
      </c>
      <c r="S307" t="str">
        <f>_xlfn.XLOOKUP(Orders[[#This Row],[ProductID]],Products[ProductID],Products[ProductName])</f>
        <v>Trousers</v>
      </c>
      <c r="T307" t="str">
        <f>_xlfn.XLOOKUP(Orders[[#This Row],[ProductID]],Products[ProductID],Products[Category])</f>
        <v>Clothing</v>
      </c>
    </row>
    <row r="308" spans="1:20" x14ac:dyDescent="0.25">
      <c r="A308" s="4" t="s">
        <v>478</v>
      </c>
      <c r="B308" s="5">
        <v>46018</v>
      </c>
      <c r="C308" s="15">
        <f>WEEKNUM(Orders[[#This Row],[OrderDate]])</f>
        <v>52</v>
      </c>
      <c r="D308" s="15" t="str">
        <f>TEXT(Orders[[#This Row],[OrderDate]],"mmmm")</f>
        <v>December</v>
      </c>
      <c r="E308" s="4" t="s">
        <v>50</v>
      </c>
      <c r="F308" s="4" t="s">
        <v>12</v>
      </c>
      <c r="G308" s="4">
        <v>2</v>
      </c>
      <c r="H308" s="12">
        <v>14571.199999999999</v>
      </c>
      <c r="I308" s="13">
        <v>12385.519999999999</v>
      </c>
      <c r="J308" s="13">
        <f>Orders[[#This Row],[Quantity]]*Orders[[#This Row],[Selling Price]]</f>
        <v>29142.399999999998</v>
      </c>
      <c r="K308" s="13">
        <f>Orders[[#This Row],[Quantity]]*Orders[[#This Row],[Cost Price]]</f>
        <v>24771.039999999997</v>
      </c>
      <c r="L308" s="13">
        <f>Orders[[#This Row],[Revenue]]-Orders[[#This Row],[Expenses]]</f>
        <v>4371.3600000000006</v>
      </c>
      <c r="M308" t="s">
        <v>2192</v>
      </c>
      <c r="N308" t="str">
        <f>_xlfn.XLOOKUP(Orders[[#This Row],[CustomerID]],Customers[CustomerID],Customers[CustomerName])</f>
        <v>Funke Danladi</v>
      </c>
      <c r="O308" t="str">
        <f>_xlfn.XLOOKUP(Orders[[#This Row],[CustomerID]],Customers[CustomerID],Customers[City])</f>
        <v>California</v>
      </c>
      <c r="P308" t="str">
        <f>_xlfn.XLOOKUP(Orders[[#This Row],[CustomerID]],Customers[CustomerID],Customers[Gender])</f>
        <v>Female</v>
      </c>
      <c r="Q308">
        <f>_xlfn.XLOOKUP(Orders[[#This Row],[CustomerID]],Customers[CustomerID],Customers[CustomerAge])</f>
        <v>31</v>
      </c>
      <c r="R308" t="str">
        <f>IF(Orders[[#This Row],[CustomerAge]]&gt;=35, "Older", "Young")</f>
        <v>Young</v>
      </c>
      <c r="S308" t="str">
        <f>_xlfn.XLOOKUP(Orders[[#This Row],[ProductID]],Products[ProductID],Products[ProductName])</f>
        <v>Boubou</v>
      </c>
      <c r="T308" t="str">
        <f>_xlfn.XLOOKUP(Orders[[#This Row],[ProductID]],Products[ProductID],Products[Category])</f>
        <v>Clothing</v>
      </c>
    </row>
    <row r="309" spans="1:20" x14ac:dyDescent="0.25">
      <c r="A309" s="4" t="s">
        <v>479</v>
      </c>
      <c r="B309" s="5">
        <v>46011</v>
      </c>
      <c r="C309" s="15">
        <f>WEEKNUM(Orders[[#This Row],[OrderDate]])</f>
        <v>51</v>
      </c>
      <c r="D309" s="15" t="str">
        <f>TEXT(Orders[[#This Row],[OrderDate]],"mmmm")</f>
        <v>December</v>
      </c>
      <c r="E309" s="4" t="s">
        <v>324</v>
      </c>
      <c r="F309" s="4" t="s">
        <v>34</v>
      </c>
      <c r="G309" s="4">
        <v>2</v>
      </c>
      <c r="H309" s="12">
        <v>7117.7</v>
      </c>
      <c r="I309" s="13">
        <v>6050.0450000000001</v>
      </c>
      <c r="J309" s="13">
        <f>Orders[[#This Row],[Quantity]]*Orders[[#This Row],[Selling Price]]</f>
        <v>14235.4</v>
      </c>
      <c r="K309" s="13">
        <f>Orders[[#This Row],[Quantity]]*Orders[[#This Row],[Cost Price]]</f>
        <v>12100.09</v>
      </c>
      <c r="L309" s="13">
        <f>Orders[[#This Row],[Revenue]]-Orders[[#This Row],[Expenses]]</f>
        <v>2135.3099999999995</v>
      </c>
      <c r="M309" t="s">
        <v>2200</v>
      </c>
      <c r="N309" t="str">
        <f>_xlfn.XLOOKUP(Orders[[#This Row],[CustomerID]],Customers[CustomerID],Customers[CustomerName])</f>
        <v>Tunde Okonkwo</v>
      </c>
      <c r="O309" t="str">
        <f>_xlfn.XLOOKUP(Orders[[#This Row],[CustomerID]],Customers[CustomerID],Customers[City])</f>
        <v>Texas</v>
      </c>
      <c r="P309" t="str">
        <f>_xlfn.XLOOKUP(Orders[[#This Row],[CustomerID]],Customers[CustomerID],Customers[Gender])</f>
        <v>Male</v>
      </c>
      <c r="Q309">
        <f>_xlfn.XLOOKUP(Orders[[#This Row],[CustomerID]],Customers[CustomerID],Customers[CustomerAge])</f>
        <v>25</v>
      </c>
      <c r="R309" t="str">
        <f>IF(Orders[[#This Row],[CustomerAge]]&gt;=35, "Older", "Young")</f>
        <v>Young</v>
      </c>
      <c r="S309" t="str">
        <f>_xlfn.XLOOKUP(Orders[[#This Row],[ProductID]],Products[ProductID],Products[ProductName])</f>
        <v>Gold Bracelets</v>
      </c>
      <c r="T309" t="str">
        <f>_xlfn.XLOOKUP(Orders[[#This Row],[ProductID]],Products[ProductID],Products[Category])</f>
        <v>Accessories</v>
      </c>
    </row>
    <row r="310" spans="1:20" x14ac:dyDescent="0.25">
      <c r="A310" s="4" t="s">
        <v>480</v>
      </c>
      <c r="B310" s="5">
        <v>45981</v>
      </c>
      <c r="C310" s="15">
        <f>WEEKNUM(Orders[[#This Row],[OrderDate]])</f>
        <v>47</v>
      </c>
      <c r="D310" s="15" t="str">
        <f>TEXT(Orders[[#This Row],[OrderDate]],"mmmm")</f>
        <v>November</v>
      </c>
      <c r="E310" s="4" t="s">
        <v>481</v>
      </c>
      <c r="F310" s="4" t="s">
        <v>63</v>
      </c>
      <c r="G310" s="4">
        <v>7</v>
      </c>
      <c r="H310" s="12">
        <v>12970</v>
      </c>
      <c r="I310" s="13">
        <v>11024.5</v>
      </c>
      <c r="J310" s="13">
        <f>Orders[[#This Row],[Quantity]]*Orders[[#This Row],[Selling Price]]</f>
        <v>90790</v>
      </c>
      <c r="K310" s="13">
        <f>Orders[[#This Row],[Quantity]]*Orders[[#This Row],[Cost Price]]</f>
        <v>77171.5</v>
      </c>
      <c r="L310" s="13">
        <f>Orders[[#This Row],[Revenue]]-Orders[[#This Row],[Expenses]]</f>
        <v>13618.5</v>
      </c>
      <c r="M310" t="s">
        <v>2217</v>
      </c>
      <c r="N310" t="str">
        <f>_xlfn.XLOOKUP(Orders[[#This Row],[CustomerID]],Customers[CustomerID],Customers[CustomerName])</f>
        <v>Abiola Bello</v>
      </c>
      <c r="O310" t="str">
        <f>_xlfn.XLOOKUP(Orders[[#This Row],[CustomerID]],Customers[CustomerID],Customers[City])</f>
        <v>Illinois</v>
      </c>
      <c r="P310" t="str">
        <f>_xlfn.XLOOKUP(Orders[[#This Row],[CustomerID]],Customers[CustomerID],Customers[Gender])</f>
        <v>Male</v>
      </c>
      <c r="Q310">
        <f>_xlfn.XLOOKUP(Orders[[#This Row],[CustomerID]],Customers[CustomerID],Customers[CustomerAge])</f>
        <v>33</v>
      </c>
      <c r="R310" t="str">
        <f>IF(Orders[[#This Row],[CustomerAge]]&gt;=35, "Older", "Young")</f>
        <v>Young</v>
      </c>
      <c r="S310" t="str">
        <f>_xlfn.XLOOKUP(Orders[[#This Row],[ProductID]],Products[ProductID],Products[ProductName])</f>
        <v>Tennis Bat</v>
      </c>
      <c r="T310" t="str">
        <f>_xlfn.XLOOKUP(Orders[[#This Row],[ProductID]],Products[ProductID],Products[Category])</f>
        <v>Sports</v>
      </c>
    </row>
    <row r="311" spans="1:20" x14ac:dyDescent="0.25">
      <c r="A311" s="4" t="s">
        <v>482</v>
      </c>
      <c r="B311" s="5">
        <v>45962</v>
      </c>
      <c r="C311" s="15">
        <f>WEEKNUM(Orders[[#This Row],[OrderDate]])</f>
        <v>44</v>
      </c>
      <c r="D311" s="15" t="str">
        <f>TEXT(Orders[[#This Row],[OrderDate]],"mmmm")</f>
        <v>November</v>
      </c>
      <c r="E311" s="4" t="s">
        <v>374</v>
      </c>
      <c r="F311" s="4" t="s">
        <v>76</v>
      </c>
      <c r="G311" s="4">
        <v>1</v>
      </c>
      <c r="H311" s="12">
        <v>10203.4</v>
      </c>
      <c r="I311" s="13">
        <v>8672.89</v>
      </c>
      <c r="J311" s="13">
        <f>Orders[[#This Row],[Quantity]]*Orders[[#This Row],[Selling Price]]</f>
        <v>10203.4</v>
      </c>
      <c r="K311" s="13">
        <f>Orders[[#This Row],[Quantity]]*Orders[[#This Row],[Cost Price]]</f>
        <v>8672.89</v>
      </c>
      <c r="L311" s="13">
        <f>Orders[[#This Row],[Revenue]]-Orders[[#This Row],[Expenses]]</f>
        <v>1530.5100000000002</v>
      </c>
      <c r="M311" t="s">
        <v>2213</v>
      </c>
      <c r="N311" t="str">
        <f>_xlfn.XLOOKUP(Orders[[#This Row],[CustomerID]],Customers[CustomerID],Customers[CustomerName])</f>
        <v>Uche Okonkwo</v>
      </c>
      <c r="O311" t="str">
        <f>_xlfn.XLOOKUP(Orders[[#This Row],[CustomerID]],Customers[CustomerID],Customers[City])</f>
        <v>Texas</v>
      </c>
      <c r="P311" t="str">
        <f>_xlfn.XLOOKUP(Orders[[#This Row],[CustomerID]],Customers[CustomerID],Customers[Gender])</f>
        <v>Male</v>
      </c>
      <c r="Q311">
        <f>_xlfn.XLOOKUP(Orders[[#This Row],[CustomerID]],Customers[CustomerID],Customers[CustomerAge])</f>
        <v>27</v>
      </c>
      <c r="R311" t="str">
        <f>IF(Orders[[#This Row],[CustomerAge]]&gt;=35, "Older", "Young")</f>
        <v>Young</v>
      </c>
      <c r="S311" t="str">
        <f>_xlfn.XLOOKUP(Orders[[#This Row],[ProductID]],Products[ProductID],Products[ProductName])</f>
        <v>Blender</v>
      </c>
      <c r="T311" t="str">
        <f>_xlfn.XLOOKUP(Orders[[#This Row],[ProductID]],Products[ProductID],Products[Category])</f>
        <v>Electronics</v>
      </c>
    </row>
    <row r="312" spans="1:20" x14ac:dyDescent="0.25">
      <c r="A312" s="4" t="s">
        <v>483</v>
      </c>
      <c r="B312" s="5">
        <v>45948</v>
      </c>
      <c r="C312" s="15">
        <f>WEEKNUM(Orders[[#This Row],[OrderDate]])</f>
        <v>42</v>
      </c>
      <c r="D312" s="15" t="str">
        <f>TEXT(Orders[[#This Row],[OrderDate]],"mmmm")</f>
        <v>October</v>
      </c>
      <c r="E312" s="4" t="s">
        <v>161</v>
      </c>
      <c r="F312" s="4" t="s">
        <v>46</v>
      </c>
      <c r="G312" s="4">
        <v>2</v>
      </c>
      <c r="H312" s="12">
        <v>5244.6</v>
      </c>
      <c r="I312" s="13">
        <v>4457.91</v>
      </c>
      <c r="J312" s="13">
        <f>Orders[[#This Row],[Quantity]]*Orders[[#This Row],[Selling Price]]</f>
        <v>10489.2</v>
      </c>
      <c r="K312" s="13">
        <f>Orders[[#This Row],[Quantity]]*Orders[[#This Row],[Cost Price]]</f>
        <v>8915.82</v>
      </c>
      <c r="L312" s="13">
        <f>Orders[[#This Row],[Revenue]]-Orders[[#This Row],[Expenses]]</f>
        <v>1573.380000000001</v>
      </c>
      <c r="M312" t="s">
        <v>2217</v>
      </c>
      <c r="N312" t="str">
        <f>_xlfn.XLOOKUP(Orders[[#This Row],[CustomerID]],Customers[CustomerID],Customers[CustomerName])</f>
        <v>Okon Adeyemi</v>
      </c>
      <c r="O312" t="str">
        <f>_xlfn.XLOOKUP(Orders[[#This Row],[CustomerID]],Customers[CustomerID],Customers[City])</f>
        <v>Georgia</v>
      </c>
      <c r="P312" t="str">
        <f>_xlfn.XLOOKUP(Orders[[#This Row],[CustomerID]],Customers[CustomerID],Customers[Gender])</f>
        <v>Male</v>
      </c>
      <c r="Q312">
        <f>_xlfn.XLOOKUP(Orders[[#This Row],[CustomerID]],Customers[CustomerID],Customers[CustomerAge])</f>
        <v>31</v>
      </c>
      <c r="R312" t="str">
        <f>IF(Orders[[#This Row],[CustomerAge]]&gt;=35, "Older", "Young")</f>
        <v>Young</v>
      </c>
      <c r="S312" t="str">
        <f>_xlfn.XLOOKUP(Orders[[#This Row],[ProductID]],Products[ProductID],Products[ProductName])</f>
        <v>Turtle Neck</v>
      </c>
      <c r="T312" t="str">
        <f>_xlfn.XLOOKUP(Orders[[#This Row],[ProductID]],Products[ProductID],Products[Category])</f>
        <v>Clothing</v>
      </c>
    </row>
    <row r="313" spans="1:20" x14ac:dyDescent="0.25">
      <c r="A313" s="4" t="s">
        <v>484</v>
      </c>
      <c r="B313" s="5">
        <v>45996</v>
      </c>
      <c r="C313" s="15">
        <f>WEEKNUM(Orders[[#This Row],[OrderDate]])</f>
        <v>49</v>
      </c>
      <c r="D313" s="15" t="str">
        <f>TEXT(Orders[[#This Row],[OrderDate]],"mmmm")</f>
        <v>December</v>
      </c>
      <c r="E313" s="4" t="s">
        <v>91</v>
      </c>
      <c r="F313" s="4" t="s">
        <v>28</v>
      </c>
      <c r="G313" s="4">
        <v>9</v>
      </c>
      <c r="H313" s="12">
        <v>4984.2</v>
      </c>
      <c r="I313" s="13">
        <v>4236.57</v>
      </c>
      <c r="J313" s="13">
        <f>Orders[[#This Row],[Quantity]]*Orders[[#This Row],[Selling Price]]</f>
        <v>44857.799999999996</v>
      </c>
      <c r="K313" s="13">
        <f>Orders[[#This Row],[Quantity]]*Orders[[#This Row],[Cost Price]]</f>
        <v>38129.129999999997</v>
      </c>
      <c r="L313" s="13">
        <f>Orders[[#This Row],[Revenue]]-Orders[[#This Row],[Expenses]]</f>
        <v>6728.6699999999983</v>
      </c>
      <c r="M313" t="s">
        <v>2195</v>
      </c>
      <c r="N313" t="str">
        <f>_xlfn.XLOOKUP(Orders[[#This Row],[CustomerID]],Customers[CustomerID],Customers[CustomerName])</f>
        <v>Uche Abubakar</v>
      </c>
      <c r="O313" t="str">
        <f>_xlfn.XLOOKUP(Orders[[#This Row],[CustomerID]],Customers[CustomerID],Customers[City])</f>
        <v>Florida</v>
      </c>
      <c r="P313" t="str">
        <f>_xlfn.XLOOKUP(Orders[[#This Row],[CustomerID]],Customers[CustomerID],Customers[Gender])</f>
        <v>Male</v>
      </c>
      <c r="Q313">
        <f>_xlfn.XLOOKUP(Orders[[#This Row],[CustomerID]],Customers[CustomerID],Customers[CustomerAge])</f>
        <v>28</v>
      </c>
      <c r="R313" t="str">
        <f>IF(Orders[[#This Row],[CustomerAge]]&gt;=35, "Older", "Young")</f>
        <v>Young</v>
      </c>
      <c r="S313" t="str">
        <f>_xlfn.XLOOKUP(Orders[[#This Row],[ProductID]],Products[ProductID],Products[ProductName])</f>
        <v>Sneakers</v>
      </c>
      <c r="T313" t="str">
        <f>_xlfn.XLOOKUP(Orders[[#This Row],[ProductID]],Products[ProductID],Products[Category])</f>
        <v>Sports</v>
      </c>
    </row>
    <row r="314" spans="1:20" x14ac:dyDescent="0.25">
      <c r="A314" s="4" t="s">
        <v>485</v>
      </c>
      <c r="B314" s="5">
        <v>45946</v>
      </c>
      <c r="C314" s="15">
        <f>WEEKNUM(Orders[[#This Row],[OrderDate]])</f>
        <v>42</v>
      </c>
      <c r="D314" s="15" t="str">
        <f>TEXT(Orders[[#This Row],[OrderDate]],"mmmm")</f>
        <v>October</v>
      </c>
      <c r="E314" s="4" t="s">
        <v>98</v>
      </c>
      <c r="F314" s="4" t="s">
        <v>127</v>
      </c>
      <c r="G314" s="4">
        <v>2</v>
      </c>
      <c r="H314" s="12">
        <v>6178.5</v>
      </c>
      <c r="I314" s="13">
        <v>5251.7250000000004</v>
      </c>
      <c r="J314" s="13">
        <f>Orders[[#This Row],[Quantity]]*Orders[[#This Row],[Selling Price]]</f>
        <v>12357</v>
      </c>
      <c r="K314" s="13">
        <f>Orders[[#This Row],[Quantity]]*Orders[[#This Row],[Cost Price]]</f>
        <v>10503.45</v>
      </c>
      <c r="L314" s="13">
        <f>Orders[[#This Row],[Revenue]]-Orders[[#This Row],[Expenses]]</f>
        <v>1853.5499999999993</v>
      </c>
      <c r="M314" t="s">
        <v>2200</v>
      </c>
      <c r="N314" t="str">
        <f>_xlfn.XLOOKUP(Orders[[#This Row],[CustomerID]],Customers[CustomerID],Customers[CustomerName])</f>
        <v>Chioma Adeyemi</v>
      </c>
      <c r="O314" t="str">
        <f>_xlfn.XLOOKUP(Orders[[#This Row],[CustomerID]],Customers[CustomerID],Customers[City])</f>
        <v>Illinois</v>
      </c>
      <c r="P314" t="str">
        <f>_xlfn.XLOOKUP(Orders[[#This Row],[CustomerID]],Customers[CustomerID],Customers[Gender])</f>
        <v>Female</v>
      </c>
      <c r="Q314">
        <f>_xlfn.XLOOKUP(Orders[[#This Row],[CustomerID]],Customers[CustomerID],Customers[CustomerAge])</f>
        <v>23</v>
      </c>
      <c r="R314" t="str">
        <f>IF(Orders[[#This Row],[CustomerAge]]&gt;=35, "Older", "Young")</f>
        <v>Young</v>
      </c>
      <c r="S314" t="str">
        <f>_xlfn.XLOOKUP(Orders[[#This Row],[ProductID]],Products[ProductID],Products[ProductName])</f>
        <v>Tops</v>
      </c>
      <c r="T314" t="str">
        <f>_xlfn.XLOOKUP(Orders[[#This Row],[ProductID]],Products[ProductID],Products[Category])</f>
        <v>Clothing</v>
      </c>
    </row>
    <row r="315" spans="1:20" x14ac:dyDescent="0.25">
      <c r="A315" s="4" t="s">
        <v>486</v>
      </c>
      <c r="B315" s="5">
        <v>46020</v>
      </c>
      <c r="C315" s="15">
        <f>WEEKNUM(Orders[[#This Row],[OrderDate]])</f>
        <v>53</v>
      </c>
      <c r="D315" s="15" t="str">
        <f>TEXT(Orders[[#This Row],[OrderDate]],"mmmm")</f>
        <v>December</v>
      </c>
      <c r="E315" s="4" t="s">
        <v>129</v>
      </c>
      <c r="F315" s="4" t="s">
        <v>70</v>
      </c>
      <c r="G315" s="4">
        <v>10</v>
      </c>
      <c r="H315" s="12">
        <v>13191.900000000001</v>
      </c>
      <c r="I315" s="13">
        <v>11213.115000000002</v>
      </c>
      <c r="J315" s="13">
        <f>Orders[[#This Row],[Quantity]]*Orders[[#This Row],[Selling Price]]</f>
        <v>131919</v>
      </c>
      <c r="K315" s="13">
        <f>Orders[[#This Row],[Quantity]]*Orders[[#This Row],[Cost Price]]</f>
        <v>112131.15000000002</v>
      </c>
      <c r="L315" s="13">
        <f>Orders[[#This Row],[Revenue]]-Orders[[#This Row],[Expenses]]</f>
        <v>19787.849999999977</v>
      </c>
      <c r="M315" t="s">
        <v>2197</v>
      </c>
      <c r="N315" t="str">
        <f>_xlfn.XLOOKUP(Orders[[#This Row],[CustomerID]],Customers[CustomerID],Customers[CustomerName])</f>
        <v>Chioma Ojo</v>
      </c>
      <c r="O315" t="str">
        <f>_xlfn.XLOOKUP(Orders[[#This Row],[CustomerID]],Customers[CustomerID],Customers[City])</f>
        <v>Washington</v>
      </c>
      <c r="P315" t="str">
        <f>_xlfn.XLOOKUP(Orders[[#This Row],[CustomerID]],Customers[CustomerID],Customers[Gender])</f>
        <v>Female</v>
      </c>
      <c r="Q315">
        <f>_xlfn.XLOOKUP(Orders[[#This Row],[CustomerID]],Customers[CustomerID],Customers[CustomerAge])</f>
        <v>46</v>
      </c>
      <c r="R315" t="str">
        <f>IF(Orders[[#This Row],[CustomerAge]]&gt;=35, "Older", "Young")</f>
        <v>Older</v>
      </c>
      <c r="S315" t="str">
        <f>_xlfn.XLOOKUP(Orders[[#This Row],[ProductID]],Products[ProductID],Products[ProductName])</f>
        <v>Yoga Mat</v>
      </c>
      <c r="T315" t="str">
        <f>_xlfn.XLOOKUP(Orders[[#This Row],[ProductID]],Products[ProductID],Products[Category])</f>
        <v>Gym</v>
      </c>
    </row>
    <row r="316" spans="1:20" x14ac:dyDescent="0.25">
      <c r="A316" s="4" t="s">
        <v>487</v>
      </c>
      <c r="B316" s="5">
        <v>45982</v>
      </c>
      <c r="C316" s="15">
        <f>WEEKNUM(Orders[[#This Row],[OrderDate]])</f>
        <v>47</v>
      </c>
      <c r="D316" s="15" t="str">
        <f>TEXT(Orders[[#This Row],[OrderDate]],"mmmm")</f>
        <v>November</v>
      </c>
      <c r="E316" s="4" t="s">
        <v>258</v>
      </c>
      <c r="F316" s="4" t="s">
        <v>70</v>
      </c>
      <c r="G316" s="4">
        <v>3</v>
      </c>
      <c r="H316" s="12">
        <v>18406.7</v>
      </c>
      <c r="I316" s="13">
        <v>15645.695</v>
      </c>
      <c r="J316" s="13">
        <f>Orders[[#This Row],[Quantity]]*Orders[[#This Row],[Selling Price]]</f>
        <v>55220.100000000006</v>
      </c>
      <c r="K316" s="13">
        <f>Orders[[#This Row],[Quantity]]*Orders[[#This Row],[Cost Price]]</f>
        <v>46937.084999999999</v>
      </c>
      <c r="L316" s="13">
        <f>Orders[[#This Row],[Revenue]]-Orders[[#This Row],[Expenses]]</f>
        <v>8283.0150000000067</v>
      </c>
      <c r="M316" t="s">
        <v>2199</v>
      </c>
      <c r="N316" t="str">
        <f>_xlfn.XLOOKUP(Orders[[#This Row],[CustomerID]],Customers[CustomerID],Customers[CustomerName])</f>
        <v>Sani Abubakar</v>
      </c>
      <c r="O316" t="str">
        <f>_xlfn.XLOOKUP(Orders[[#This Row],[CustomerID]],Customers[CustomerID],Customers[City])</f>
        <v>Washington</v>
      </c>
      <c r="P316" t="str">
        <f>_xlfn.XLOOKUP(Orders[[#This Row],[CustomerID]],Customers[CustomerID],Customers[Gender])</f>
        <v>Male</v>
      </c>
      <c r="Q316">
        <f>_xlfn.XLOOKUP(Orders[[#This Row],[CustomerID]],Customers[CustomerID],Customers[CustomerAge])</f>
        <v>37</v>
      </c>
      <c r="R316" t="str">
        <f>IF(Orders[[#This Row],[CustomerAge]]&gt;=35, "Older", "Young")</f>
        <v>Older</v>
      </c>
      <c r="S316" t="str">
        <f>_xlfn.XLOOKUP(Orders[[#This Row],[ProductID]],Products[ProductID],Products[ProductName])</f>
        <v>Yoga Mat</v>
      </c>
      <c r="T316" t="str">
        <f>_xlfn.XLOOKUP(Orders[[#This Row],[ProductID]],Products[ProductID],Products[Category])</f>
        <v>Gym</v>
      </c>
    </row>
    <row r="317" spans="1:20" x14ac:dyDescent="0.25">
      <c r="A317" s="4" t="s">
        <v>488</v>
      </c>
      <c r="B317" s="5">
        <v>45996</v>
      </c>
      <c r="C317" s="15">
        <f>WEEKNUM(Orders[[#This Row],[OrderDate]])</f>
        <v>49</v>
      </c>
      <c r="D317" s="15" t="str">
        <f>TEXT(Orders[[#This Row],[OrderDate]],"mmmm")</f>
        <v>December</v>
      </c>
      <c r="E317" s="4" t="s">
        <v>287</v>
      </c>
      <c r="F317" s="4" t="s">
        <v>111</v>
      </c>
      <c r="G317" s="4">
        <v>9</v>
      </c>
      <c r="H317" s="12">
        <v>3505.2999999999997</v>
      </c>
      <c r="I317" s="13">
        <v>2979.5049999999997</v>
      </c>
      <c r="J317" s="13">
        <f>Orders[[#This Row],[Quantity]]*Orders[[#This Row],[Selling Price]]</f>
        <v>31547.699999999997</v>
      </c>
      <c r="K317" s="13">
        <f>Orders[[#This Row],[Quantity]]*Orders[[#This Row],[Cost Price]]</f>
        <v>26815.544999999998</v>
      </c>
      <c r="L317" s="13">
        <f>Orders[[#This Row],[Revenue]]-Orders[[#This Row],[Expenses]]</f>
        <v>4732.1549999999988</v>
      </c>
      <c r="M317" t="s">
        <v>2194</v>
      </c>
      <c r="N317" t="str">
        <f>_xlfn.XLOOKUP(Orders[[#This Row],[CustomerID]],Customers[CustomerID],Customers[CustomerName])</f>
        <v>Okon Obi</v>
      </c>
      <c r="O317" t="str">
        <f>_xlfn.XLOOKUP(Orders[[#This Row],[CustomerID]],Customers[CustomerID],Customers[City])</f>
        <v>Texas</v>
      </c>
      <c r="P317" t="str">
        <f>_xlfn.XLOOKUP(Orders[[#This Row],[CustomerID]],Customers[CustomerID],Customers[Gender])</f>
        <v>Male</v>
      </c>
      <c r="Q317">
        <f>_xlfn.XLOOKUP(Orders[[#This Row],[CustomerID]],Customers[CustomerID],Customers[CustomerAge])</f>
        <v>55</v>
      </c>
      <c r="R317" t="str">
        <f>IF(Orders[[#This Row],[CustomerAge]]&gt;=35, "Older", "Young")</f>
        <v>Older</v>
      </c>
      <c r="S317" t="str">
        <f>_xlfn.XLOOKUP(Orders[[#This Row],[ProductID]],Products[ProductID],Products[ProductName])</f>
        <v>Refrigerator</v>
      </c>
      <c r="T317" t="str">
        <f>_xlfn.XLOOKUP(Orders[[#This Row],[ProductID]],Products[ProductID],Products[Category])</f>
        <v>Electronics</v>
      </c>
    </row>
    <row r="318" spans="1:20" x14ac:dyDescent="0.25">
      <c r="A318" s="4" t="s">
        <v>489</v>
      </c>
      <c r="B318" s="5">
        <v>45949</v>
      </c>
      <c r="C318" s="15">
        <f>WEEKNUM(Orders[[#This Row],[OrderDate]])</f>
        <v>43</v>
      </c>
      <c r="D318" s="15" t="str">
        <f>TEXT(Orders[[#This Row],[OrderDate]],"mmmm")</f>
        <v>October</v>
      </c>
      <c r="E318" s="4" t="s">
        <v>14</v>
      </c>
      <c r="F318" s="4" t="s">
        <v>60</v>
      </c>
      <c r="G318" s="4">
        <v>4</v>
      </c>
      <c r="H318" s="12">
        <v>856</v>
      </c>
      <c r="I318" s="13">
        <v>727.6</v>
      </c>
      <c r="J318" s="13">
        <f>Orders[[#This Row],[Quantity]]*Orders[[#This Row],[Selling Price]]</f>
        <v>3424</v>
      </c>
      <c r="K318" s="13">
        <f>Orders[[#This Row],[Quantity]]*Orders[[#This Row],[Cost Price]]</f>
        <v>2910.4</v>
      </c>
      <c r="L318" s="13">
        <f>Orders[[#This Row],[Revenue]]-Orders[[#This Row],[Expenses]]</f>
        <v>513.59999999999991</v>
      </c>
      <c r="M318" t="s">
        <v>2205</v>
      </c>
      <c r="N318" t="str">
        <f>_xlfn.XLOOKUP(Orders[[#This Row],[CustomerID]],Customers[CustomerID],Customers[CustomerName])</f>
        <v>Abiola Igwe</v>
      </c>
      <c r="O318" t="str">
        <f>_xlfn.XLOOKUP(Orders[[#This Row],[CustomerID]],Customers[CustomerID],Customers[City])</f>
        <v>Texas</v>
      </c>
      <c r="P318" t="str">
        <f>_xlfn.XLOOKUP(Orders[[#This Row],[CustomerID]],Customers[CustomerID],Customers[Gender])</f>
        <v>Male</v>
      </c>
      <c r="Q318">
        <f>_xlfn.XLOOKUP(Orders[[#This Row],[CustomerID]],Customers[CustomerID],Customers[CustomerAge])</f>
        <v>39</v>
      </c>
      <c r="R318" t="str">
        <f>IF(Orders[[#This Row],[CustomerAge]]&gt;=35, "Older", "Young")</f>
        <v>Older</v>
      </c>
      <c r="S318" t="str">
        <f>_xlfn.XLOOKUP(Orders[[#This Row],[ProductID]],Products[ProductID],Products[ProductName])</f>
        <v>Silver Rings</v>
      </c>
      <c r="T318" t="str">
        <f>_xlfn.XLOOKUP(Orders[[#This Row],[ProductID]],Products[ProductID],Products[Category])</f>
        <v>Accessories</v>
      </c>
    </row>
    <row r="319" spans="1:20" x14ac:dyDescent="0.25">
      <c r="A319" s="4" t="s">
        <v>490</v>
      </c>
      <c r="B319" s="5">
        <v>45957</v>
      </c>
      <c r="C319" s="15">
        <f>WEEKNUM(Orders[[#This Row],[OrderDate]])</f>
        <v>44</v>
      </c>
      <c r="D319" s="15" t="str">
        <f>TEXT(Orders[[#This Row],[OrderDate]],"mmmm")</f>
        <v>October</v>
      </c>
      <c r="E319" s="4" t="s">
        <v>159</v>
      </c>
      <c r="F319" s="4" t="s">
        <v>151</v>
      </c>
      <c r="G319" s="4">
        <v>2</v>
      </c>
      <c r="H319" s="12">
        <v>14661.5</v>
      </c>
      <c r="I319" s="13">
        <v>12462.275</v>
      </c>
      <c r="J319" s="13">
        <f>Orders[[#This Row],[Quantity]]*Orders[[#This Row],[Selling Price]]</f>
        <v>29323</v>
      </c>
      <c r="K319" s="13">
        <f>Orders[[#This Row],[Quantity]]*Orders[[#This Row],[Cost Price]]</f>
        <v>24924.55</v>
      </c>
      <c r="L319" s="13">
        <f>Orders[[#This Row],[Revenue]]-Orders[[#This Row],[Expenses]]</f>
        <v>4398.4500000000007</v>
      </c>
      <c r="M319" t="s">
        <v>2213</v>
      </c>
      <c r="N319" t="str">
        <f>_xlfn.XLOOKUP(Orders[[#This Row],[CustomerID]],Customers[CustomerID],Customers[CustomerName])</f>
        <v>Ibrahim Okonkwo</v>
      </c>
      <c r="O319" t="str">
        <f>_xlfn.XLOOKUP(Orders[[#This Row],[CustomerID]],Customers[CustomerID],Customers[City])</f>
        <v>Florida</v>
      </c>
      <c r="P319" t="str">
        <f>_xlfn.XLOOKUP(Orders[[#This Row],[CustomerID]],Customers[CustomerID],Customers[Gender])</f>
        <v>Male</v>
      </c>
      <c r="Q319">
        <f>_xlfn.XLOOKUP(Orders[[#This Row],[CustomerID]],Customers[CustomerID],Customers[CustomerAge])</f>
        <v>49</v>
      </c>
      <c r="R319" t="str">
        <f>IF(Orders[[#This Row],[CustomerAge]]&gt;=35, "Older", "Young")</f>
        <v>Older</v>
      </c>
      <c r="S319" t="str">
        <f>_xlfn.XLOOKUP(Orders[[#This Row],[ProductID]],Products[ProductID],Products[ProductName])</f>
        <v>Checkers</v>
      </c>
      <c r="T319" t="str">
        <f>_xlfn.XLOOKUP(Orders[[#This Row],[ProductID]],Products[ProductID],Products[Category])</f>
        <v>Games</v>
      </c>
    </row>
    <row r="320" spans="1:20" x14ac:dyDescent="0.25">
      <c r="A320" s="4" t="s">
        <v>491</v>
      </c>
      <c r="B320" s="5">
        <v>45971</v>
      </c>
      <c r="C320" s="15">
        <f>WEEKNUM(Orders[[#This Row],[OrderDate]])</f>
        <v>46</v>
      </c>
      <c r="D320" s="15" t="str">
        <f>TEXT(Orders[[#This Row],[OrderDate]],"mmmm")</f>
        <v>November</v>
      </c>
      <c r="E320" s="4" t="s">
        <v>116</v>
      </c>
      <c r="F320" s="4" t="s">
        <v>70</v>
      </c>
      <c r="G320" s="4">
        <v>8</v>
      </c>
      <c r="H320" s="12">
        <v>12217.4</v>
      </c>
      <c r="I320" s="13">
        <v>10384.789999999999</v>
      </c>
      <c r="J320" s="13">
        <f>Orders[[#This Row],[Quantity]]*Orders[[#This Row],[Selling Price]]</f>
        <v>97739.199999999997</v>
      </c>
      <c r="K320" s="13">
        <f>Orders[[#This Row],[Quantity]]*Orders[[#This Row],[Cost Price]]</f>
        <v>83078.319999999992</v>
      </c>
      <c r="L320" s="13">
        <f>Orders[[#This Row],[Revenue]]-Orders[[#This Row],[Expenses]]</f>
        <v>14660.880000000005</v>
      </c>
      <c r="M320" t="s">
        <v>2213</v>
      </c>
      <c r="N320" t="str">
        <f>_xlfn.XLOOKUP(Orders[[#This Row],[CustomerID]],Customers[CustomerID],Customers[CustomerName])</f>
        <v>Uche Bello</v>
      </c>
      <c r="O320" t="str">
        <f>_xlfn.XLOOKUP(Orders[[#This Row],[CustomerID]],Customers[CustomerID],Customers[City])</f>
        <v>Texas</v>
      </c>
      <c r="P320" t="str">
        <f>_xlfn.XLOOKUP(Orders[[#This Row],[CustomerID]],Customers[CustomerID],Customers[Gender])</f>
        <v>Male</v>
      </c>
      <c r="Q320">
        <f>_xlfn.XLOOKUP(Orders[[#This Row],[CustomerID]],Customers[CustomerID],Customers[CustomerAge])</f>
        <v>21</v>
      </c>
      <c r="R320" t="str">
        <f>IF(Orders[[#This Row],[CustomerAge]]&gt;=35, "Older", "Young")</f>
        <v>Young</v>
      </c>
      <c r="S320" t="str">
        <f>_xlfn.XLOOKUP(Orders[[#This Row],[ProductID]],Products[ProductID],Products[ProductName])</f>
        <v>Yoga Mat</v>
      </c>
      <c r="T320" t="str">
        <f>_xlfn.XLOOKUP(Orders[[#This Row],[ProductID]],Products[ProductID],Products[Category])</f>
        <v>Gym</v>
      </c>
    </row>
    <row r="321" spans="1:20" x14ac:dyDescent="0.25">
      <c r="A321" s="4" t="s">
        <v>492</v>
      </c>
      <c r="B321" s="5">
        <v>45993</v>
      </c>
      <c r="C321" s="15">
        <f>WEEKNUM(Orders[[#This Row],[OrderDate]])</f>
        <v>49</v>
      </c>
      <c r="D321" s="15" t="str">
        <f>TEXT(Orders[[#This Row],[OrderDate]],"mmmm")</f>
        <v>December</v>
      </c>
      <c r="E321" s="4" t="s">
        <v>110</v>
      </c>
      <c r="F321" s="4" t="s">
        <v>76</v>
      </c>
      <c r="G321" s="4">
        <v>6</v>
      </c>
      <c r="H321" s="12">
        <v>9925.8000000000011</v>
      </c>
      <c r="I321" s="13">
        <v>8436.93</v>
      </c>
      <c r="J321" s="13">
        <f>Orders[[#This Row],[Quantity]]*Orders[[#This Row],[Selling Price]]</f>
        <v>59554.8</v>
      </c>
      <c r="K321" s="13">
        <f>Orders[[#This Row],[Quantity]]*Orders[[#This Row],[Cost Price]]</f>
        <v>50621.58</v>
      </c>
      <c r="L321" s="13">
        <f>Orders[[#This Row],[Revenue]]-Orders[[#This Row],[Expenses]]</f>
        <v>8933.2200000000012</v>
      </c>
      <c r="M321" t="s">
        <v>2202</v>
      </c>
      <c r="N321" t="str">
        <f>_xlfn.XLOOKUP(Orders[[#This Row],[CustomerID]],Customers[CustomerID],Customers[CustomerName])</f>
        <v>Ngozi Danladi</v>
      </c>
      <c r="O321" t="str">
        <f>_xlfn.XLOOKUP(Orders[[#This Row],[CustomerID]],Customers[CustomerID],Customers[City])</f>
        <v>Washington</v>
      </c>
      <c r="P321" t="str">
        <f>_xlfn.XLOOKUP(Orders[[#This Row],[CustomerID]],Customers[CustomerID],Customers[Gender])</f>
        <v>Female</v>
      </c>
      <c r="Q321">
        <f>_xlfn.XLOOKUP(Orders[[#This Row],[CustomerID]],Customers[CustomerID],Customers[CustomerAge])</f>
        <v>28</v>
      </c>
      <c r="R321" t="str">
        <f>IF(Orders[[#This Row],[CustomerAge]]&gt;=35, "Older", "Young")</f>
        <v>Young</v>
      </c>
      <c r="S321" t="str">
        <f>_xlfn.XLOOKUP(Orders[[#This Row],[ProductID]],Products[ProductID],Products[ProductName])</f>
        <v>Blender</v>
      </c>
      <c r="T321" t="str">
        <f>_xlfn.XLOOKUP(Orders[[#This Row],[ProductID]],Products[ProductID],Products[Category])</f>
        <v>Electronics</v>
      </c>
    </row>
    <row r="322" spans="1:20" x14ac:dyDescent="0.25">
      <c r="A322" s="4" t="s">
        <v>493</v>
      </c>
      <c r="B322" s="5">
        <v>45976</v>
      </c>
      <c r="C322" s="15">
        <f>WEEKNUM(Orders[[#This Row],[OrderDate]])</f>
        <v>46</v>
      </c>
      <c r="D322" s="15" t="str">
        <f>TEXT(Orders[[#This Row],[OrderDate]],"mmmm")</f>
        <v>November</v>
      </c>
      <c r="E322" s="4" t="s">
        <v>333</v>
      </c>
      <c r="F322" s="4" t="s">
        <v>57</v>
      </c>
      <c r="G322" s="4">
        <v>9</v>
      </c>
      <c r="H322" s="12">
        <v>17542.599999999999</v>
      </c>
      <c r="I322" s="13">
        <v>14911.21</v>
      </c>
      <c r="J322" s="13">
        <f>Orders[[#This Row],[Quantity]]*Orders[[#This Row],[Selling Price]]</f>
        <v>157883.4</v>
      </c>
      <c r="K322" s="13">
        <f>Orders[[#This Row],[Quantity]]*Orders[[#This Row],[Cost Price]]</f>
        <v>134200.88999999998</v>
      </c>
      <c r="L322" s="13">
        <f>Orders[[#This Row],[Revenue]]-Orders[[#This Row],[Expenses]]</f>
        <v>23682.510000000009</v>
      </c>
      <c r="M322" t="s">
        <v>2215</v>
      </c>
      <c r="N322" t="str">
        <f>_xlfn.XLOOKUP(Orders[[#This Row],[CustomerID]],Customers[CustomerID],Customers[CustomerName])</f>
        <v>Emeka Obi</v>
      </c>
      <c r="O322" t="str">
        <f>_xlfn.XLOOKUP(Orders[[#This Row],[CustomerID]],Customers[CustomerID],Customers[City])</f>
        <v>Washington</v>
      </c>
      <c r="P322" t="str">
        <f>_xlfn.XLOOKUP(Orders[[#This Row],[CustomerID]],Customers[CustomerID],Customers[Gender])</f>
        <v>Male</v>
      </c>
      <c r="Q322">
        <f>_xlfn.XLOOKUP(Orders[[#This Row],[CustomerID]],Customers[CustomerID],Customers[CustomerAge])</f>
        <v>44</v>
      </c>
      <c r="R322" t="str">
        <f>IF(Orders[[#This Row],[CustomerAge]]&gt;=35, "Older", "Young")</f>
        <v>Older</v>
      </c>
      <c r="S322" t="str">
        <f>_xlfn.XLOOKUP(Orders[[#This Row],[ProductID]],Products[ProductID],Products[ProductName])</f>
        <v>Badminton Racket</v>
      </c>
      <c r="T322" t="str">
        <f>_xlfn.XLOOKUP(Orders[[#This Row],[ProductID]],Products[ProductID],Products[Category])</f>
        <v>Sports</v>
      </c>
    </row>
    <row r="323" spans="1:20" x14ac:dyDescent="0.25">
      <c r="A323" s="4" t="s">
        <v>494</v>
      </c>
      <c r="B323" s="5">
        <v>45993</v>
      </c>
      <c r="C323" s="15">
        <f>WEEKNUM(Orders[[#This Row],[OrderDate]])</f>
        <v>49</v>
      </c>
      <c r="D323" s="15" t="str">
        <f>TEXT(Orders[[#This Row],[OrderDate]],"mmmm")</f>
        <v>December</v>
      </c>
      <c r="E323" s="4" t="s">
        <v>150</v>
      </c>
      <c r="F323" s="4" t="s">
        <v>66</v>
      </c>
      <c r="G323" s="4">
        <v>6</v>
      </c>
      <c r="H323" s="12">
        <v>16511.199999999997</v>
      </c>
      <c r="I323" s="13">
        <v>14034.519999999997</v>
      </c>
      <c r="J323" s="13">
        <f>Orders[[#This Row],[Quantity]]*Orders[[#This Row],[Selling Price]]</f>
        <v>99067.199999999983</v>
      </c>
      <c r="K323" s="13">
        <f>Orders[[#This Row],[Quantity]]*Orders[[#This Row],[Cost Price]]</f>
        <v>84207.119999999981</v>
      </c>
      <c r="L323" s="13">
        <f>Orders[[#This Row],[Revenue]]-Orders[[#This Row],[Expenses]]</f>
        <v>14860.080000000002</v>
      </c>
      <c r="M323" t="s">
        <v>2216</v>
      </c>
      <c r="N323" t="str">
        <f>_xlfn.XLOOKUP(Orders[[#This Row],[CustomerID]],Customers[CustomerID],Customers[CustomerName])</f>
        <v>Ronke Eze</v>
      </c>
      <c r="O323" t="str">
        <f>_xlfn.XLOOKUP(Orders[[#This Row],[CustomerID]],Customers[CustomerID],Customers[City])</f>
        <v>Georgia</v>
      </c>
      <c r="P323" t="str">
        <f>_xlfn.XLOOKUP(Orders[[#This Row],[CustomerID]],Customers[CustomerID],Customers[Gender])</f>
        <v>Female</v>
      </c>
      <c r="Q323">
        <f>_xlfn.XLOOKUP(Orders[[#This Row],[CustomerID]],Customers[CustomerID],Customers[CustomerAge])</f>
        <v>23</v>
      </c>
      <c r="R323" t="str">
        <f>IF(Orders[[#This Row],[CustomerAge]]&gt;=35, "Older", "Young")</f>
        <v>Young</v>
      </c>
      <c r="S323" t="str">
        <f>_xlfn.XLOOKUP(Orders[[#This Row],[ProductID]],Products[ProductID],Products[ProductName])</f>
        <v>Microwave</v>
      </c>
      <c r="T323" t="str">
        <f>_xlfn.XLOOKUP(Orders[[#This Row],[ProductID]],Products[ProductID],Products[Category])</f>
        <v>Electronics</v>
      </c>
    </row>
    <row r="324" spans="1:20" x14ac:dyDescent="0.25">
      <c r="A324" s="4" t="s">
        <v>495</v>
      </c>
      <c r="B324" s="5">
        <v>45988</v>
      </c>
      <c r="C324" s="15">
        <f>WEEKNUM(Orders[[#This Row],[OrderDate]])</f>
        <v>48</v>
      </c>
      <c r="D324" s="15" t="str">
        <f>TEXT(Orders[[#This Row],[OrderDate]],"mmmm")</f>
        <v>November</v>
      </c>
      <c r="E324" s="4" t="s">
        <v>33</v>
      </c>
      <c r="F324" s="4" t="s">
        <v>111</v>
      </c>
      <c r="G324" s="4">
        <v>4</v>
      </c>
      <c r="H324" s="12">
        <v>19350.5</v>
      </c>
      <c r="I324" s="13">
        <v>16447.924999999999</v>
      </c>
      <c r="J324" s="13">
        <f>Orders[[#This Row],[Quantity]]*Orders[[#This Row],[Selling Price]]</f>
        <v>77402</v>
      </c>
      <c r="K324" s="13">
        <f>Orders[[#This Row],[Quantity]]*Orders[[#This Row],[Cost Price]]</f>
        <v>65791.7</v>
      </c>
      <c r="L324" s="13">
        <f>Orders[[#This Row],[Revenue]]-Orders[[#This Row],[Expenses]]</f>
        <v>11610.300000000003</v>
      </c>
      <c r="M324" t="s">
        <v>2195</v>
      </c>
      <c r="N324" t="str">
        <f>_xlfn.XLOOKUP(Orders[[#This Row],[CustomerID]],Customers[CustomerID],Customers[CustomerName])</f>
        <v>Okon Balogun</v>
      </c>
      <c r="O324" t="str">
        <f>_xlfn.XLOOKUP(Orders[[#This Row],[CustomerID]],Customers[CustomerID],Customers[City])</f>
        <v>Texas</v>
      </c>
      <c r="P324" t="str">
        <f>_xlfn.XLOOKUP(Orders[[#This Row],[CustomerID]],Customers[CustomerID],Customers[Gender])</f>
        <v>Male</v>
      </c>
      <c r="Q324">
        <f>_xlfn.XLOOKUP(Orders[[#This Row],[CustomerID]],Customers[CustomerID],Customers[CustomerAge])</f>
        <v>28</v>
      </c>
      <c r="R324" t="str">
        <f>IF(Orders[[#This Row],[CustomerAge]]&gt;=35, "Older", "Young")</f>
        <v>Young</v>
      </c>
      <c r="S324" t="str">
        <f>_xlfn.XLOOKUP(Orders[[#This Row],[ProductID]],Products[ProductID],Products[ProductName])</f>
        <v>Refrigerator</v>
      </c>
      <c r="T324" t="str">
        <f>_xlfn.XLOOKUP(Orders[[#This Row],[ProductID]],Products[ProductID],Products[Category])</f>
        <v>Electronics</v>
      </c>
    </row>
    <row r="325" spans="1:20" x14ac:dyDescent="0.25">
      <c r="A325" s="4" t="s">
        <v>496</v>
      </c>
      <c r="B325" s="5">
        <v>45997</v>
      </c>
      <c r="C325" s="15">
        <f>WEEKNUM(Orders[[#This Row],[OrderDate]])</f>
        <v>49</v>
      </c>
      <c r="D325" s="15" t="str">
        <f>TEXT(Orders[[#This Row],[OrderDate]],"mmmm")</f>
        <v>December</v>
      </c>
      <c r="E325" s="4" t="s">
        <v>223</v>
      </c>
      <c r="F325" s="4" t="s">
        <v>120</v>
      </c>
      <c r="G325" s="4">
        <v>8</v>
      </c>
      <c r="H325" s="12">
        <v>19228.5</v>
      </c>
      <c r="I325" s="13">
        <v>16344.225</v>
      </c>
      <c r="J325" s="13">
        <f>Orders[[#This Row],[Quantity]]*Orders[[#This Row],[Selling Price]]</f>
        <v>153828</v>
      </c>
      <c r="K325" s="13">
        <f>Orders[[#This Row],[Quantity]]*Orders[[#This Row],[Cost Price]]</f>
        <v>130753.8</v>
      </c>
      <c r="L325" s="13">
        <f>Orders[[#This Row],[Revenue]]-Orders[[#This Row],[Expenses]]</f>
        <v>23074.199999999997</v>
      </c>
      <c r="M325" t="s">
        <v>2205</v>
      </c>
      <c r="N325" t="str">
        <f>_xlfn.XLOOKUP(Orders[[#This Row],[CustomerID]],Customers[CustomerID],Customers[CustomerName])</f>
        <v>Blessing Danladi</v>
      </c>
      <c r="O325" t="str">
        <f>_xlfn.XLOOKUP(Orders[[#This Row],[CustomerID]],Customers[CustomerID],Customers[City])</f>
        <v>Washington</v>
      </c>
      <c r="P325" t="str">
        <f>_xlfn.XLOOKUP(Orders[[#This Row],[CustomerID]],Customers[CustomerID],Customers[Gender])</f>
        <v>Female</v>
      </c>
      <c r="Q325">
        <f>_xlfn.XLOOKUP(Orders[[#This Row],[CustomerID]],Customers[CustomerID],Customers[CustomerAge])</f>
        <v>20</v>
      </c>
      <c r="R325" t="str">
        <f>IF(Orders[[#This Row],[CustomerAge]]&gt;=35, "Older", "Young")</f>
        <v>Young</v>
      </c>
      <c r="S325" t="str">
        <f>_xlfn.XLOOKUP(Orders[[#This Row],[ProductID]],Products[ProductID],Products[ProductName])</f>
        <v>Chess</v>
      </c>
      <c r="T325" t="str">
        <f>_xlfn.XLOOKUP(Orders[[#This Row],[ProductID]],Products[ProductID],Products[Category])</f>
        <v>Games</v>
      </c>
    </row>
    <row r="326" spans="1:20" x14ac:dyDescent="0.25">
      <c r="A326" s="4" t="s">
        <v>497</v>
      </c>
      <c r="B326" s="5">
        <v>45964</v>
      </c>
      <c r="C326" s="15">
        <f>WEEKNUM(Orders[[#This Row],[OrderDate]])</f>
        <v>45</v>
      </c>
      <c r="D326" s="15" t="str">
        <f>TEXT(Orders[[#This Row],[OrderDate]],"mmmm")</f>
        <v>November</v>
      </c>
      <c r="E326" s="4" t="s">
        <v>122</v>
      </c>
      <c r="F326" s="4" t="s">
        <v>81</v>
      </c>
      <c r="G326" s="4">
        <v>6</v>
      </c>
      <c r="H326" s="12">
        <v>10647.8</v>
      </c>
      <c r="I326" s="13">
        <v>9050.6299999999992</v>
      </c>
      <c r="J326" s="13">
        <f>Orders[[#This Row],[Quantity]]*Orders[[#This Row],[Selling Price]]</f>
        <v>63886.799999999996</v>
      </c>
      <c r="K326" s="13">
        <f>Orders[[#This Row],[Quantity]]*Orders[[#This Row],[Cost Price]]</f>
        <v>54303.78</v>
      </c>
      <c r="L326" s="13">
        <f>Orders[[#This Row],[Revenue]]-Orders[[#This Row],[Expenses]]</f>
        <v>9583.0199999999968</v>
      </c>
      <c r="M326" t="s">
        <v>2208</v>
      </c>
      <c r="N326" t="str">
        <f>_xlfn.XLOOKUP(Orders[[#This Row],[CustomerID]],Customers[CustomerID],Customers[CustomerName])</f>
        <v>Ibrahim Eze</v>
      </c>
      <c r="O326" t="str">
        <f>_xlfn.XLOOKUP(Orders[[#This Row],[CustomerID]],Customers[CustomerID],Customers[City])</f>
        <v>Texas</v>
      </c>
      <c r="P326" t="str">
        <f>_xlfn.XLOOKUP(Orders[[#This Row],[CustomerID]],Customers[CustomerID],Customers[Gender])</f>
        <v>Male</v>
      </c>
      <c r="Q326">
        <f>_xlfn.XLOOKUP(Orders[[#This Row],[CustomerID]],Customers[CustomerID],Customers[CustomerAge])</f>
        <v>52</v>
      </c>
      <c r="R326" t="str">
        <f>IF(Orders[[#This Row],[CustomerAge]]&gt;=35, "Older", "Young")</f>
        <v>Older</v>
      </c>
      <c r="S326" t="str">
        <f>_xlfn.XLOOKUP(Orders[[#This Row],[ProductID]],Products[ProductID],Products[ProductName])</f>
        <v>Trousers</v>
      </c>
      <c r="T326" t="str">
        <f>_xlfn.XLOOKUP(Orders[[#This Row],[ProductID]],Products[ProductID],Products[Category])</f>
        <v>Clothing</v>
      </c>
    </row>
    <row r="327" spans="1:20" x14ac:dyDescent="0.25">
      <c r="A327" s="4" t="s">
        <v>498</v>
      </c>
      <c r="B327" s="5">
        <v>45972</v>
      </c>
      <c r="C327" s="15">
        <f>WEEKNUM(Orders[[#This Row],[OrderDate]])</f>
        <v>46</v>
      </c>
      <c r="D327" s="15" t="str">
        <f>TEXT(Orders[[#This Row],[OrderDate]],"mmmm")</f>
        <v>November</v>
      </c>
      <c r="E327" s="4" t="s">
        <v>22</v>
      </c>
      <c r="F327" s="4" t="s">
        <v>232</v>
      </c>
      <c r="G327" s="4">
        <v>6</v>
      </c>
      <c r="H327" s="12">
        <v>13558.099999999999</v>
      </c>
      <c r="I327" s="13">
        <v>11524.384999999998</v>
      </c>
      <c r="J327" s="13">
        <f>Orders[[#This Row],[Quantity]]*Orders[[#This Row],[Selling Price]]</f>
        <v>81348.599999999991</v>
      </c>
      <c r="K327" s="13">
        <f>Orders[[#This Row],[Quantity]]*Orders[[#This Row],[Cost Price]]</f>
        <v>69146.31</v>
      </c>
      <c r="L327" s="13">
        <f>Orders[[#This Row],[Revenue]]-Orders[[#This Row],[Expenses]]</f>
        <v>12202.289999999994</v>
      </c>
      <c r="M327" t="s">
        <v>2192</v>
      </c>
      <c r="N327" t="str">
        <f>_xlfn.XLOOKUP(Orders[[#This Row],[CustomerID]],Customers[CustomerID],Customers[CustomerName])</f>
        <v>Temi Bello</v>
      </c>
      <c r="O327" t="str">
        <f>_xlfn.XLOOKUP(Orders[[#This Row],[CustomerID]],Customers[CustomerID],Customers[City])</f>
        <v>Texas</v>
      </c>
      <c r="P327" t="str">
        <f>_xlfn.XLOOKUP(Orders[[#This Row],[CustomerID]],Customers[CustomerID],Customers[Gender])</f>
        <v>Female</v>
      </c>
      <c r="Q327">
        <f>_xlfn.XLOOKUP(Orders[[#This Row],[CustomerID]],Customers[CustomerID],Customers[CustomerAge])</f>
        <v>52</v>
      </c>
      <c r="R327" t="str">
        <f>IF(Orders[[#This Row],[CustomerAge]]&gt;=35, "Older", "Young")</f>
        <v>Older</v>
      </c>
      <c r="S327" t="str">
        <f>_xlfn.XLOOKUP(Orders[[#This Row],[ProductID]],Products[ProductID],Products[ProductName])</f>
        <v>Ankara</v>
      </c>
      <c r="T327" t="str">
        <f>_xlfn.XLOOKUP(Orders[[#This Row],[ProductID]],Products[ProductID],Products[Category])</f>
        <v>Clothing</v>
      </c>
    </row>
    <row r="328" spans="1:20" x14ac:dyDescent="0.25">
      <c r="A328" s="4" t="s">
        <v>499</v>
      </c>
      <c r="B328" s="5">
        <v>45935</v>
      </c>
      <c r="C328" s="15">
        <f>WEEKNUM(Orders[[#This Row],[OrderDate]])</f>
        <v>41</v>
      </c>
      <c r="D328" s="15" t="str">
        <f>TEXT(Orders[[#This Row],[OrderDate]],"mmmm")</f>
        <v>October</v>
      </c>
      <c r="E328" s="4" t="s">
        <v>150</v>
      </c>
      <c r="F328" s="4" t="s">
        <v>31</v>
      </c>
      <c r="G328" s="4">
        <v>9</v>
      </c>
      <c r="H328" s="12">
        <v>3820.8999999999996</v>
      </c>
      <c r="I328" s="13">
        <v>3247.7649999999999</v>
      </c>
      <c r="J328" s="13">
        <f>Orders[[#This Row],[Quantity]]*Orders[[#This Row],[Selling Price]]</f>
        <v>34388.1</v>
      </c>
      <c r="K328" s="13">
        <f>Orders[[#This Row],[Quantity]]*Orders[[#This Row],[Cost Price]]</f>
        <v>29229.884999999998</v>
      </c>
      <c r="L328" s="13">
        <f>Orders[[#This Row],[Revenue]]-Orders[[#This Row],[Expenses]]</f>
        <v>5158.2150000000001</v>
      </c>
      <c r="M328" t="s">
        <v>2206</v>
      </c>
      <c r="N328" t="str">
        <f>_xlfn.XLOOKUP(Orders[[#This Row],[CustomerID]],Customers[CustomerID],Customers[CustomerName])</f>
        <v>Ronke Eze</v>
      </c>
      <c r="O328" t="str">
        <f>_xlfn.XLOOKUP(Orders[[#This Row],[CustomerID]],Customers[CustomerID],Customers[City])</f>
        <v>Georgia</v>
      </c>
      <c r="P328" t="str">
        <f>_xlfn.XLOOKUP(Orders[[#This Row],[CustomerID]],Customers[CustomerID],Customers[Gender])</f>
        <v>Female</v>
      </c>
      <c r="Q328">
        <f>_xlfn.XLOOKUP(Orders[[#This Row],[CustomerID]],Customers[CustomerID],Customers[CustomerAge])</f>
        <v>23</v>
      </c>
      <c r="R328" t="str">
        <f>IF(Orders[[#This Row],[CustomerAge]]&gt;=35, "Older", "Young")</f>
        <v>Young</v>
      </c>
      <c r="S328" t="str">
        <f>_xlfn.XLOOKUP(Orders[[#This Row],[ProductID]],Products[ProductID],Products[ProductName])</f>
        <v>Kids Games</v>
      </c>
      <c r="T328" t="str">
        <f>_xlfn.XLOOKUP(Orders[[#This Row],[ProductID]],Products[ProductID],Products[Category])</f>
        <v>Games</v>
      </c>
    </row>
    <row r="329" spans="1:20" x14ac:dyDescent="0.25">
      <c r="A329" s="4" t="s">
        <v>500</v>
      </c>
      <c r="B329" s="5">
        <v>45977</v>
      </c>
      <c r="C329" s="15">
        <f>WEEKNUM(Orders[[#This Row],[OrderDate]])</f>
        <v>47</v>
      </c>
      <c r="D329" s="15" t="str">
        <f>TEXT(Orders[[#This Row],[OrderDate]],"mmmm")</f>
        <v>November</v>
      </c>
      <c r="E329" s="4" t="s">
        <v>87</v>
      </c>
      <c r="F329" s="4" t="s">
        <v>125</v>
      </c>
      <c r="G329" s="4">
        <v>2</v>
      </c>
      <c r="H329" s="12">
        <v>9755.1</v>
      </c>
      <c r="I329" s="13">
        <v>8291.8350000000009</v>
      </c>
      <c r="J329" s="13">
        <f>Orders[[#This Row],[Quantity]]*Orders[[#This Row],[Selling Price]]</f>
        <v>19510.2</v>
      </c>
      <c r="K329" s="13">
        <f>Orders[[#This Row],[Quantity]]*Orders[[#This Row],[Cost Price]]</f>
        <v>16583.670000000002</v>
      </c>
      <c r="L329" s="13">
        <f>Orders[[#This Row],[Revenue]]-Orders[[#This Row],[Expenses]]</f>
        <v>2926.5299999999988</v>
      </c>
      <c r="M329" t="s">
        <v>2207</v>
      </c>
      <c r="N329" t="str">
        <f>_xlfn.XLOOKUP(Orders[[#This Row],[CustomerID]],Customers[CustomerID],Customers[CustomerName])</f>
        <v>Efe Igwe</v>
      </c>
      <c r="O329" t="str">
        <f>_xlfn.XLOOKUP(Orders[[#This Row],[CustomerID]],Customers[CustomerID],Customers[City])</f>
        <v>Illinois</v>
      </c>
      <c r="P329" t="str">
        <f>_xlfn.XLOOKUP(Orders[[#This Row],[CustomerID]],Customers[CustomerID],Customers[Gender])</f>
        <v>Female</v>
      </c>
      <c r="Q329">
        <f>_xlfn.XLOOKUP(Orders[[#This Row],[CustomerID]],Customers[CustomerID],Customers[CustomerAge])</f>
        <v>34</v>
      </c>
      <c r="R329" t="str">
        <f>IF(Orders[[#This Row],[CustomerAge]]&gt;=35, "Older", "Young")</f>
        <v>Young</v>
      </c>
      <c r="S329" t="str">
        <f>_xlfn.XLOOKUP(Orders[[#This Row],[ProductID]],Products[ProductID],Products[ProductName])</f>
        <v>Earrings</v>
      </c>
      <c r="T329" t="str">
        <f>_xlfn.XLOOKUP(Orders[[#This Row],[ProductID]],Products[ProductID],Products[Category])</f>
        <v>Accessories</v>
      </c>
    </row>
    <row r="330" spans="1:20" x14ac:dyDescent="0.25">
      <c r="A330" s="4" t="s">
        <v>501</v>
      </c>
      <c r="B330" s="5">
        <v>45947</v>
      </c>
      <c r="C330" s="15">
        <f>WEEKNUM(Orders[[#This Row],[OrderDate]])</f>
        <v>42</v>
      </c>
      <c r="D330" s="15" t="str">
        <f>TEXT(Orders[[#This Row],[OrderDate]],"mmmm")</f>
        <v>October</v>
      </c>
      <c r="E330" s="4" t="s">
        <v>502</v>
      </c>
      <c r="F330" s="4" t="s">
        <v>157</v>
      </c>
      <c r="G330" s="4">
        <v>2</v>
      </c>
      <c r="H330" s="12">
        <v>19051.7</v>
      </c>
      <c r="I330" s="13">
        <v>16193.945</v>
      </c>
      <c r="J330" s="13">
        <f>Orders[[#This Row],[Quantity]]*Orders[[#This Row],[Selling Price]]</f>
        <v>38103.4</v>
      </c>
      <c r="K330" s="13">
        <f>Orders[[#This Row],[Quantity]]*Orders[[#This Row],[Cost Price]]</f>
        <v>32387.89</v>
      </c>
      <c r="L330" s="13">
        <f>Orders[[#This Row],[Revenue]]-Orders[[#This Row],[Expenses]]</f>
        <v>5715.510000000002</v>
      </c>
      <c r="M330" t="s">
        <v>2192</v>
      </c>
      <c r="N330" t="str">
        <f>_xlfn.XLOOKUP(Orders[[#This Row],[CustomerID]],Customers[CustomerID],Customers[CustomerName])</f>
        <v>Obi Eze</v>
      </c>
      <c r="O330" t="str">
        <f>_xlfn.XLOOKUP(Orders[[#This Row],[CustomerID]],Customers[CustomerID],Customers[City])</f>
        <v>Texas</v>
      </c>
      <c r="P330" t="str">
        <f>_xlfn.XLOOKUP(Orders[[#This Row],[CustomerID]],Customers[CustomerID],Customers[Gender])</f>
        <v>Male</v>
      </c>
      <c r="Q330">
        <f>_xlfn.XLOOKUP(Orders[[#This Row],[CustomerID]],Customers[CustomerID],Customers[CustomerAge])</f>
        <v>24</v>
      </c>
      <c r="R330" t="str">
        <f>IF(Orders[[#This Row],[CustomerAge]]&gt;=35, "Older", "Young")</f>
        <v>Young</v>
      </c>
      <c r="S330" t="str">
        <f>_xlfn.XLOOKUP(Orders[[#This Row],[ProductID]],Products[ProductID],Products[ProductName])</f>
        <v>Football</v>
      </c>
      <c r="T330" t="str">
        <f>_xlfn.XLOOKUP(Orders[[#This Row],[ProductID]],Products[ProductID],Products[Category])</f>
        <v>Sports</v>
      </c>
    </row>
    <row r="331" spans="1:20" x14ac:dyDescent="0.25">
      <c r="A331" s="4" t="s">
        <v>503</v>
      </c>
      <c r="B331" s="5">
        <v>45967</v>
      </c>
      <c r="C331" s="15">
        <f>WEEKNUM(Orders[[#This Row],[OrderDate]])</f>
        <v>45</v>
      </c>
      <c r="D331" s="15" t="str">
        <f>TEXT(Orders[[#This Row],[OrderDate]],"mmmm")</f>
        <v>November</v>
      </c>
      <c r="E331" s="4" t="s">
        <v>41</v>
      </c>
      <c r="F331" s="4" t="s">
        <v>92</v>
      </c>
      <c r="G331" s="4">
        <v>2</v>
      </c>
      <c r="H331" s="12">
        <v>4432.2000000000007</v>
      </c>
      <c r="I331" s="13">
        <v>3767.3700000000008</v>
      </c>
      <c r="J331" s="13">
        <f>Orders[[#This Row],[Quantity]]*Orders[[#This Row],[Selling Price]]</f>
        <v>8864.4000000000015</v>
      </c>
      <c r="K331" s="13">
        <f>Orders[[#This Row],[Quantity]]*Orders[[#This Row],[Cost Price]]</f>
        <v>7534.7400000000016</v>
      </c>
      <c r="L331" s="13">
        <f>Orders[[#This Row],[Revenue]]-Orders[[#This Row],[Expenses]]</f>
        <v>1329.6599999999999</v>
      </c>
      <c r="M331" t="s">
        <v>2197</v>
      </c>
      <c r="N331" t="str">
        <f>_xlfn.XLOOKUP(Orders[[#This Row],[CustomerID]],Customers[CustomerID],Customers[CustomerName])</f>
        <v>Mustafa Balogun</v>
      </c>
      <c r="O331" t="str">
        <f>_xlfn.XLOOKUP(Orders[[#This Row],[CustomerID]],Customers[CustomerID],Customers[City])</f>
        <v>Texas</v>
      </c>
      <c r="P331" t="str">
        <f>_xlfn.XLOOKUP(Orders[[#This Row],[CustomerID]],Customers[CustomerID],Customers[Gender])</f>
        <v>Male</v>
      </c>
      <c r="Q331">
        <f>_xlfn.XLOOKUP(Orders[[#This Row],[CustomerID]],Customers[CustomerID],Customers[CustomerAge])</f>
        <v>40</v>
      </c>
      <c r="R331" t="str">
        <f>IF(Orders[[#This Row],[CustomerAge]]&gt;=35, "Older", "Young")</f>
        <v>Older</v>
      </c>
      <c r="S331" t="str">
        <f>_xlfn.XLOOKUP(Orders[[#This Row],[ProductID]],Products[ProductID],Products[ProductName])</f>
        <v>Chest Expander</v>
      </c>
      <c r="T331" t="str">
        <f>_xlfn.XLOOKUP(Orders[[#This Row],[ProductID]],Products[ProductID],Products[Category])</f>
        <v>Gym</v>
      </c>
    </row>
    <row r="332" spans="1:20" x14ac:dyDescent="0.25">
      <c r="A332" s="4" t="s">
        <v>504</v>
      </c>
      <c r="B332" s="5">
        <v>45991</v>
      </c>
      <c r="C332" s="15">
        <f>WEEKNUM(Orders[[#This Row],[OrderDate]])</f>
        <v>49</v>
      </c>
      <c r="D332" s="15" t="str">
        <f>TEXT(Orders[[#This Row],[OrderDate]],"mmmm")</f>
        <v>November</v>
      </c>
      <c r="E332" s="4" t="s">
        <v>333</v>
      </c>
      <c r="F332" s="4" t="s">
        <v>76</v>
      </c>
      <c r="G332" s="4">
        <v>4</v>
      </c>
      <c r="H332" s="12">
        <v>9413.7999999999993</v>
      </c>
      <c r="I332" s="13">
        <v>8001.73</v>
      </c>
      <c r="J332" s="13">
        <f>Orders[[#This Row],[Quantity]]*Orders[[#This Row],[Selling Price]]</f>
        <v>37655.199999999997</v>
      </c>
      <c r="K332" s="13">
        <f>Orders[[#This Row],[Quantity]]*Orders[[#This Row],[Cost Price]]</f>
        <v>32006.92</v>
      </c>
      <c r="L332" s="13">
        <f>Orders[[#This Row],[Revenue]]-Orders[[#This Row],[Expenses]]</f>
        <v>5648.2799999999988</v>
      </c>
      <c r="M332" t="s">
        <v>2217</v>
      </c>
      <c r="N332" t="str">
        <f>_xlfn.XLOOKUP(Orders[[#This Row],[CustomerID]],Customers[CustomerID],Customers[CustomerName])</f>
        <v>Emeka Obi</v>
      </c>
      <c r="O332" t="str">
        <f>_xlfn.XLOOKUP(Orders[[#This Row],[CustomerID]],Customers[CustomerID],Customers[City])</f>
        <v>Washington</v>
      </c>
      <c r="P332" t="str">
        <f>_xlfn.XLOOKUP(Orders[[#This Row],[CustomerID]],Customers[CustomerID],Customers[Gender])</f>
        <v>Male</v>
      </c>
      <c r="Q332">
        <f>_xlfn.XLOOKUP(Orders[[#This Row],[CustomerID]],Customers[CustomerID],Customers[CustomerAge])</f>
        <v>44</v>
      </c>
      <c r="R332" t="str">
        <f>IF(Orders[[#This Row],[CustomerAge]]&gt;=35, "Older", "Young")</f>
        <v>Older</v>
      </c>
      <c r="S332" t="str">
        <f>_xlfn.XLOOKUP(Orders[[#This Row],[ProductID]],Products[ProductID],Products[ProductName])</f>
        <v>Blender</v>
      </c>
      <c r="T332" t="str">
        <f>_xlfn.XLOOKUP(Orders[[#This Row],[ProductID]],Products[ProductID],Products[Category])</f>
        <v>Electronics</v>
      </c>
    </row>
    <row r="333" spans="1:20" x14ac:dyDescent="0.25">
      <c r="A333" s="4" t="s">
        <v>505</v>
      </c>
      <c r="B333" s="5">
        <v>45975</v>
      </c>
      <c r="C333" s="15">
        <f>WEEKNUM(Orders[[#This Row],[OrderDate]])</f>
        <v>46</v>
      </c>
      <c r="D333" s="15" t="str">
        <f>TEXT(Orders[[#This Row],[OrderDate]],"mmmm")</f>
        <v>November</v>
      </c>
      <c r="E333" s="4" t="s">
        <v>218</v>
      </c>
      <c r="F333" s="4" t="s">
        <v>20</v>
      </c>
      <c r="G333" s="4">
        <v>2</v>
      </c>
      <c r="H333" s="12">
        <v>4159.5</v>
      </c>
      <c r="I333" s="13">
        <v>3535.5749999999998</v>
      </c>
      <c r="J333" s="13">
        <f>Orders[[#This Row],[Quantity]]*Orders[[#This Row],[Selling Price]]</f>
        <v>8319</v>
      </c>
      <c r="K333" s="13">
        <f>Orders[[#This Row],[Quantity]]*Orders[[#This Row],[Cost Price]]</f>
        <v>7071.15</v>
      </c>
      <c r="L333" s="13">
        <f>Orders[[#This Row],[Revenue]]-Orders[[#This Row],[Expenses]]</f>
        <v>1247.8500000000004</v>
      </c>
      <c r="M333" t="s">
        <v>2216</v>
      </c>
      <c r="N333" t="str">
        <f>_xlfn.XLOOKUP(Orders[[#This Row],[CustomerID]],Customers[CustomerID],Customers[CustomerName])</f>
        <v>Temi Danladi</v>
      </c>
      <c r="O333" t="str">
        <f>_xlfn.XLOOKUP(Orders[[#This Row],[CustomerID]],Customers[CustomerID],Customers[City])</f>
        <v>Florida</v>
      </c>
      <c r="P333" t="str">
        <f>_xlfn.XLOOKUP(Orders[[#This Row],[CustomerID]],Customers[CustomerID],Customers[Gender])</f>
        <v>Female</v>
      </c>
      <c r="Q333">
        <f>_xlfn.XLOOKUP(Orders[[#This Row],[CustomerID]],Customers[CustomerID],Customers[CustomerAge])</f>
        <v>48</v>
      </c>
      <c r="R333" t="str">
        <f>IF(Orders[[#This Row],[CustomerAge]]&gt;=35, "Older", "Young")</f>
        <v>Older</v>
      </c>
      <c r="S333" t="str">
        <f>_xlfn.XLOOKUP(Orders[[#This Row],[ProductID]],Products[ProductID],Products[ProductName])</f>
        <v>Gym Bag</v>
      </c>
      <c r="T333" t="str">
        <f>_xlfn.XLOOKUP(Orders[[#This Row],[ProductID]],Products[ProductID],Products[Category])</f>
        <v>Gym</v>
      </c>
    </row>
    <row r="334" spans="1:20" x14ac:dyDescent="0.25">
      <c r="A334" s="4" t="s">
        <v>506</v>
      </c>
      <c r="B334" s="5">
        <v>45996</v>
      </c>
      <c r="C334" s="15">
        <f>WEEKNUM(Orders[[#This Row],[OrderDate]])</f>
        <v>49</v>
      </c>
      <c r="D334" s="15" t="str">
        <f>TEXT(Orders[[#This Row],[OrderDate]],"mmmm")</f>
        <v>December</v>
      </c>
      <c r="E334" s="4" t="s">
        <v>507</v>
      </c>
      <c r="F334" s="4" t="s">
        <v>127</v>
      </c>
      <c r="G334" s="4">
        <v>4</v>
      </c>
      <c r="H334" s="12">
        <v>13305.8</v>
      </c>
      <c r="I334" s="13">
        <v>11309.93</v>
      </c>
      <c r="J334" s="13">
        <f>Orders[[#This Row],[Quantity]]*Orders[[#This Row],[Selling Price]]</f>
        <v>53223.199999999997</v>
      </c>
      <c r="K334" s="13">
        <f>Orders[[#This Row],[Quantity]]*Orders[[#This Row],[Cost Price]]</f>
        <v>45239.72</v>
      </c>
      <c r="L334" s="13">
        <f>Orders[[#This Row],[Revenue]]-Orders[[#This Row],[Expenses]]</f>
        <v>7983.4799999999959</v>
      </c>
      <c r="M334" t="s">
        <v>2215</v>
      </c>
      <c r="N334" t="str">
        <f>_xlfn.XLOOKUP(Orders[[#This Row],[CustomerID]],Customers[CustomerID],Customers[CustomerName])</f>
        <v>Temi Okonkwo</v>
      </c>
      <c r="O334" t="str">
        <f>_xlfn.XLOOKUP(Orders[[#This Row],[CustomerID]],Customers[CustomerID],Customers[City])</f>
        <v>Washington</v>
      </c>
      <c r="P334" t="str">
        <f>_xlfn.XLOOKUP(Orders[[#This Row],[CustomerID]],Customers[CustomerID],Customers[Gender])</f>
        <v>Female</v>
      </c>
      <c r="Q334">
        <f>_xlfn.XLOOKUP(Orders[[#This Row],[CustomerID]],Customers[CustomerID],Customers[CustomerAge])</f>
        <v>35</v>
      </c>
      <c r="R334" t="str">
        <f>IF(Orders[[#This Row],[CustomerAge]]&gt;=35, "Older", "Young")</f>
        <v>Older</v>
      </c>
      <c r="S334" t="str">
        <f>_xlfn.XLOOKUP(Orders[[#This Row],[ProductID]],Products[ProductID],Products[ProductName])</f>
        <v>Tops</v>
      </c>
      <c r="T334" t="str">
        <f>_xlfn.XLOOKUP(Orders[[#This Row],[ProductID]],Products[ProductID],Products[Category])</f>
        <v>Clothing</v>
      </c>
    </row>
    <row r="335" spans="1:20" x14ac:dyDescent="0.25">
      <c r="A335" s="4" t="s">
        <v>508</v>
      </c>
      <c r="B335" s="5">
        <v>45998</v>
      </c>
      <c r="C335" s="15">
        <f>WEEKNUM(Orders[[#This Row],[OrderDate]])</f>
        <v>50</v>
      </c>
      <c r="D335" s="15" t="str">
        <f>TEXT(Orders[[#This Row],[OrderDate]],"mmmm")</f>
        <v>December</v>
      </c>
      <c r="E335" s="4" t="s">
        <v>258</v>
      </c>
      <c r="F335" s="4" t="s">
        <v>34</v>
      </c>
      <c r="G335" s="4">
        <v>5</v>
      </c>
      <c r="H335" s="12">
        <v>18995.099999999999</v>
      </c>
      <c r="I335" s="13">
        <v>16145.834999999999</v>
      </c>
      <c r="J335" s="13">
        <f>Orders[[#This Row],[Quantity]]*Orders[[#This Row],[Selling Price]]</f>
        <v>94975.5</v>
      </c>
      <c r="K335" s="13">
        <f>Orders[[#This Row],[Quantity]]*Orders[[#This Row],[Cost Price]]</f>
        <v>80729.174999999988</v>
      </c>
      <c r="L335" s="13">
        <f>Orders[[#This Row],[Revenue]]-Orders[[#This Row],[Expenses]]</f>
        <v>14246.325000000012</v>
      </c>
      <c r="M335" t="s">
        <v>2213</v>
      </c>
      <c r="N335" t="str">
        <f>_xlfn.XLOOKUP(Orders[[#This Row],[CustomerID]],Customers[CustomerID],Customers[CustomerName])</f>
        <v>Sani Abubakar</v>
      </c>
      <c r="O335" t="str">
        <f>_xlfn.XLOOKUP(Orders[[#This Row],[CustomerID]],Customers[CustomerID],Customers[City])</f>
        <v>Washington</v>
      </c>
      <c r="P335" t="str">
        <f>_xlfn.XLOOKUP(Orders[[#This Row],[CustomerID]],Customers[CustomerID],Customers[Gender])</f>
        <v>Male</v>
      </c>
      <c r="Q335">
        <f>_xlfn.XLOOKUP(Orders[[#This Row],[CustomerID]],Customers[CustomerID],Customers[CustomerAge])</f>
        <v>37</v>
      </c>
      <c r="R335" t="str">
        <f>IF(Orders[[#This Row],[CustomerAge]]&gt;=35, "Older", "Young")</f>
        <v>Older</v>
      </c>
      <c r="S335" t="str">
        <f>_xlfn.XLOOKUP(Orders[[#This Row],[ProductID]],Products[ProductID],Products[ProductName])</f>
        <v>Gold Bracelets</v>
      </c>
      <c r="T335" t="str">
        <f>_xlfn.XLOOKUP(Orders[[#This Row],[ProductID]],Products[ProductID],Products[Category])</f>
        <v>Accessories</v>
      </c>
    </row>
    <row r="336" spans="1:20" x14ac:dyDescent="0.25">
      <c r="A336" s="4" t="s">
        <v>509</v>
      </c>
      <c r="B336" s="5">
        <v>45935</v>
      </c>
      <c r="C336" s="15">
        <f>WEEKNUM(Orders[[#This Row],[OrderDate]])</f>
        <v>41</v>
      </c>
      <c r="D336" s="15" t="str">
        <f>TEXT(Orders[[#This Row],[OrderDate]],"mmmm")</f>
        <v>October</v>
      </c>
      <c r="E336" s="4" t="s">
        <v>260</v>
      </c>
      <c r="F336" s="4" t="s">
        <v>76</v>
      </c>
      <c r="G336" s="4">
        <v>3</v>
      </c>
      <c r="H336" s="12">
        <v>5188.7</v>
      </c>
      <c r="I336" s="13">
        <v>4410.3949999999995</v>
      </c>
      <c r="J336" s="13">
        <f>Orders[[#This Row],[Quantity]]*Orders[[#This Row],[Selling Price]]</f>
        <v>15566.099999999999</v>
      </c>
      <c r="K336" s="13">
        <f>Orders[[#This Row],[Quantity]]*Orders[[#This Row],[Cost Price]]</f>
        <v>13231.184999999998</v>
      </c>
      <c r="L336" s="13">
        <f>Orders[[#This Row],[Revenue]]-Orders[[#This Row],[Expenses]]</f>
        <v>2334.9150000000009</v>
      </c>
      <c r="M336" t="s">
        <v>2220</v>
      </c>
      <c r="N336" t="str">
        <f>_xlfn.XLOOKUP(Orders[[#This Row],[CustomerID]],Customers[CustomerID],Customers[CustomerName])</f>
        <v>Amina Obi</v>
      </c>
      <c r="O336" t="str">
        <f>_xlfn.XLOOKUP(Orders[[#This Row],[CustomerID]],Customers[CustomerID],Customers[City])</f>
        <v>Florida</v>
      </c>
      <c r="P336" t="str">
        <f>_xlfn.XLOOKUP(Orders[[#This Row],[CustomerID]],Customers[CustomerID],Customers[Gender])</f>
        <v>Female</v>
      </c>
      <c r="Q336">
        <f>_xlfn.XLOOKUP(Orders[[#This Row],[CustomerID]],Customers[CustomerID],Customers[CustomerAge])</f>
        <v>29</v>
      </c>
      <c r="R336" t="str">
        <f>IF(Orders[[#This Row],[CustomerAge]]&gt;=35, "Older", "Young")</f>
        <v>Young</v>
      </c>
      <c r="S336" t="str">
        <f>_xlfn.XLOOKUP(Orders[[#This Row],[ProductID]],Products[ProductID],Products[ProductName])</f>
        <v>Blender</v>
      </c>
      <c r="T336" t="str">
        <f>_xlfn.XLOOKUP(Orders[[#This Row],[ProductID]],Products[ProductID],Products[Category])</f>
        <v>Electronics</v>
      </c>
    </row>
    <row r="337" spans="1:20" x14ac:dyDescent="0.25">
      <c r="A337" s="4" t="s">
        <v>510</v>
      </c>
      <c r="B337" s="5">
        <v>45935</v>
      </c>
      <c r="C337" s="15">
        <f>WEEKNUM(Orders[[#This Row],[OrderDate]])</f>
        <v>41</v>
      </c>
      <c r="D337" s="15" t="str">
        <f>TEXT(Orders[[#This Row],[OrderDate]],"mmmm")</f>
        <v>October</v>
      </c>
      <c r="E337" s="4" t="s">
        <v>201</v>
      </c>
      <c r="F337" s="4" t="s">
        <v>151</v>
      </c>
      <c r="G337" s="4">
        <v>2</v>
      </c>
      <c r="H337" s="12">
        <v>13582.8</v>
      </c>
      <c r="I337" s="13">
        <v>11545.38</v>
      </c>
      <c r="J337" s="13">
        <f>Orders[[#This Row],[Quantity]]*Orders[[#This Row],[Selling Price]]</f>
        <v>27165.599999999999</v>
      </c>
      <c r="K337" s="13">
        <f>Orders[[#This Row],[Quantity]]*Orders[[#This Row],[Cost Price]]</f>
        <v>23090.76</v>
      </c>
      <c r="L337" s="13">
        <f>Orders[[#This Row],[Revenue]]-Orders[[#This Row],[Expenses]]</f>
        <v>4074.84</v>
      </c>
      <c r="M337" t="s">
        <v>2193</v>
      </c>
      <c r="N337" t="str">
        <f>_xlfn.XLOOKUP(Orders[[#This Row],[CustomerID]],Customers[CustomerID],Customers[CustomerName])</f>
        <v>Sani Igwe</v>
      </c>
      <c r="O337" t="str">
        <f>_xlfn.XLOOKUP(Orders[[#This Row],[CustomerID]],Customers[CustomerID],Customers[City])</f>
        <v>Georgia</v>
      </c>
      <c r="P337" t="str">
        <f>_xlfn.XLOOKUP(Orders[[#This Row],[CustomerID]],Customers[CustomerID],Customers[Gender])</f>
        <v>Male</v>
      </c>
      <c r="Q337">
        <f>_xlfn.XLOOKUP(Orders[[#This Row],[CustomerID]],Customers[CustomerID],Customers[CustomerAge])</f>
        <v>20</v>
      </c>
      <c r="R337" t="str">
        <f>IF(Orders[[#This Row],[CustomerAge]]&gt;=35, "Older", "Young")</f>
        <v>Young</v>
      </c>
      <c r="S337" t="str">
        <f>_xlfn.XLOOKUP(Orders[[#This Row],[ProductID]],Products[ProductID],Products[ProductName])</f>
        <v>Checkers</v>
      </c>
      <c r="T337" t="str">
        <f>_xlfn.XLOOKUP(Orders[[#This Row],[ProductID]],Products[ProductID],Products[Category])</f>
        <v>Games</v>
      </c>
    </row>
    <row r="338" spans="1:20" x14ac:dyDescent="0.25">
      <c r="A338" s="4" t="s">
        <v>511</v>
      </c>
      <c r="B338" s="5">
        <v>46016</v>
      </c>
      <c r="C338" s="15">
        <f>WEEKNUM(Orders[[#This Row],[OrderDate]])</f>
        <v>52</v>
      </c>
      <c r="D338" s="15" t="str">
        <f>TEXT(Orders[[#This Row],[OrderDate]],"mmmm")</f>
        <v>December</v>
      </c>
      <c r="E338" s="4" t="s">
        <v>214</v>
      </c>
      <c r="F338" s="4" t="s">
        <v>23</v>
      </c>
      <c r="G338" s="4">
        <v>5</v>
      </c>
      <c r="H338" s="12">
        <v>19680.7</v>
      </c>
      <c r="I338" s="13">
        <v>16728.595000000001</v>
      </c>
      <c r="J338" s="13">
        <f>Orders[[#This Row],[Quantity]]*Orders[[#This Row],[Selling Price]]</f>
        <v>98403.5</v>
      </c>
      <c r="K338" s="13">
        <f>Orders[[#This Row],[Quantity]]*Orders[[#This Row],[Cost Price]]</f>
        <v>83642.975000000006</v>
      </c>
      <c r="L338" s="13">
        <f>Orders[[#This Row],[Revenue]]-Orders[[#This Row],[Expenses]]</f>
        <v>14760.524999999994</v>
      </c>
      <c r="M338" t="s">
        <v>2220</v>
      </c>
      <c r="N338" t="str">
        <f>_xlfn.XLOOKUP(Orders[[#This Row],[CustomerID]],Customers[CustomerID],Customers[CustomerName])</f>
        <v>Adanma Okonkwo</v>
      </c>
      <c r="O338" t="str">
        <f>_xlfn.XLOOKUP(Orders[[#This Row],[CustomerID]],Customers[CustomerID],Customers[City])</f>
        <v>California</v>
      </c>
      <c r="P338" t="str">
        <f>_xlfn.XLOOKUP(Orders[[#This Row],[CustomerID]],Customers[CustomerID],Customers[Gender])</f>
        <v>Female</v>
      </c>
      <c r="Q338">
        <f>_xlfn.XLOOKUP(Orders[[#This Row],[CustomerID]],Customers[CustomerID],Customers[CustomerAge])</f>
        <v>20</v>
      </c>
      <c r="R338" t="str">
        <f>IF(Orders[[#This Row],[CustomerAge]]&gt;=35, "Older", "Young")</f>
        <v>Young</v>
      </c>
      <c r="S338" t="str">
        <f>_xlfn.XLOOKUP(Orders[[#This Row],[ProductID]],Products[ProductID],Products[ProductName])</f>
        <v>Gym Gloves</v>
      </c>
      <c r="T338" t="str">
        <f>_xlfn.XLOOKUP(Orders[[#This Row],[ProductID]],Products[ProductID],Products[Category])</f>
        <v>Gym</v>
      </c>
    </row>
    <row r="339" spans="1:20" x14ac:dyDescent="0.25">
      <c r="A339" s="4" t="s">
        <v>512</v>
      </c>
      <c r="B339" s="5">
        <v>46022</v>
      </c>
      <c r="C339" s="15">
        <f>WEEKNUM(Orders[[#This Row],[OrderDate]])</f>
        <v>53</v>
      </c>
      <c r="D339" s="15" t="str">
        <f>TEXT(Orders[[#This Row],[OrderDate]],"mmmm")</f>
        <v>December</v>
      </c>
      <c r="E339" s="4" t="s">
        <v>502</v>
      </c>
      <c r="F339" s="4" t="s">
        <v>46</v>
      </c>
      <c r="G339" s="4">
        <v>10</v>
      </c>
      <c r="H339" s="12">
        <v>9883.7999999999993</v>
      </c>
      <c r="I339" s="13">
        <v>8401.23</v>
      </c>
      <c r="J339" s="13">
        <f>Orders[[#This Row],[Quantity]]*Orders[[#This Row],[Selling Price]]</f>
        <v>98838</v>
      </c>
      <c r="K339" s="13">
        <f>Orders[[#This Row],[Quantity]]*Orders[[#This Row],[Cost Price]]</f>
        <v>84012.299999999988</v>
      </c>
      <c r="L339" s="13">
        <f>Orders[[#This Row],[Revenue]]-Orders[[#This Row],[Expenses]]</f>
        <v>14825.700000000012</v>
      </c>
      <c r="M339" t="s">
        <v>2202</v>
      </c>
      <c r="N339" t="str">
        <f>_xlfn.XLOOKUP(Orders[[#This Row],[CustomerID]],Customers[CustomerID],Customers[CustomerName])</f>
        <v>Obi Eze</v>
      </c>
      <c r="O339" t="str">
        <f>_xlfn.XLOOKUP(Orders[[#This Row],[CustomerID]],Customers[CustomerID],Customers[City])</f>
        <v>Texas</v>
      </c>
      <c r="P339" t="str">
        <f>_xlfn.XLOOKUP(Orders[[#This Row],[CustomerID]],Customers[CustomerID],Customers[Gender])</f>
        <v>Male</v>
      </c>
      <c r="Q339">
        <f>_xlfn.XLOOKUP(Orders[[#This Row],[CustomerID]],Customers[CustomerID],Customers[CustomerAge])</f>
        <v>24</v>
      </c>
      <c r="R339" t="str">
        <f>IF(Orders[[#This Row],[CustomerAge]]&gt;=35, "Older", "Young")</f>
        <v>Young</v>
      </c>
      <c r="S339" t="str">
        <f>_xlfn.XLOOKUP(Orders[[#This Row],[ProductID]],Products[ProductID],Products[ProductName])</f>
        <v>Turtle Neck</v>
      </c>
      <c r="T339" t="str">
        <f>_xlfn.XLOOKUP(Orders[[#This Row],[ProductID]],Products[ProductID],Products[Category])</f>
        <v>Clothing</v>
      </c>
    </row>
    <row r="340" spans="1:20" x14ac:dyDescent="0.25">
      <c r="A340" s="4" t="s">
        <v>513</v>
      </c>
      <c r="B340" s="5">
        <v>46003</v>
      </c>
      <c r="C340" s="15">
        <f>WEEKNUM(Orders[[#This Row],[OrderDate]])</f>
        <v>50</v>
      </c>
      <c r="D340" s="15" t="str">
        <f>TEXT(Orders[[#This Row],[OrderDate]],"mmmm")</f>
        <v>December</v>
      </c>
      <c r="E340" s="4" t="s">
        <v>514</v>
      </c>
      <c r="F340" s="4" t="s">
        <v>120</v>
      </c>
      <c r="G340" s="4">
        <v>8</v>
      </c>
      <c r="H340" s="12">
        <v>11664.5</v>
      </c>
      <c r="I340" s="13">
        <v>9914.8250000000007</v>
      </c>
      <c r="J340" s="13">
        <f>Orders[[#This Row],[Quantity]]*Orders[[#This Row],[Selling Price]]</f>
        <v>93316</v>
      </c>
      <c r="K340" s="13">
        <f>Orders[[#This Row],[Quantity]]*Orders[[#This Row],[Cost Price]]</f>
        <v>79318.600000000006</v>
      </c>
      <c r="L340" s="13">
        <f>Orders[[#This Row],[Revenue]]-Orders[[#This Row],[Expenses]]</f>
        <v>13997.399999999994</v>
      </c>
      <c r="M340" t="s">
        <v>2210</v>
      </c>
      <c r="N340" t="str">
        <f>_xlfn.XLOOKUP(Orders[[#This Row],[CustomerID]],Customers[CustomerID],Customers[CustomerName])</f>
        <v>Ibrahim Okonkwo</v>
      </c>
      <c r="O340" t="str">
        <f>_xlfn.XLOOKUP(Orders[[#This Row],[CustomerID]],Customers[CustomerID],Customers[City])</f>
        <v>Florida</v>
      </c>
      <c r="P340" t="str">
        <f>_xlfn.XLOOKUP(Orders[[#This Row],[CustomerID]],Customers[CustomerID],Customers[Gender])</f>
        <v>Male</v>
      </c>
      <c r="Q340">
        <f>_xlfn.XLOOKUP(Orders[[#This Row],[CustomerID]],Customers[CustomerID],Customers[CustomerAge])</f>
        <v>28</v>
      </c>
      <c r="R340" t="str">
        <f>IF(Orders[[#This Row],[CustomerAge]]&gt;=35, "Older", "Young")</f>
        <v>Young</v>
      </c>
      <c r="S340" t="str">
        <f>_xlfn.XLOOKUP(Orders[[#This Row],[ProductID]],Products[ProductID],Products[ProductName])</f>
        <v>Chess</v>
      </c>
      <c r="T340" t="str">
        <f>_xlfn.XLOOKUP(Orders[[#This Row],[ProductID]],Products[ProductID],Products[Category])</f>
        <v>Games</v>
      </c>
    </row>
    <row r="341" spans="1:20" x14ac:dyDescent="0.25">
      <c r="A341" s="4" t="s">
        <v>515</v>
      </c>
      <c r="B341" s="5">
        <v>45984</v>
      </c>
      <c r="C341" s="15">
        <f>WEEKNUM(Orders[[#This Row],[OrderDate]])</f>
        <v>48</v>
      </c>
      <c r="D341" s="15" t="str">
        <f>TEXT(Orders[[#This Row],[OrderDate]],"mmmm")</f>
        <v>November</v>
      </c>
      <c r="E341" s="4" t="s">
        <v>36</v>
      </c>
      <c r="F341" s="4" t="s">
        <v>25</v>
      </c>
      <c r="G341" s="4">
        <v>2</v>
      </c>
      <c r="H341" s="12">
        <v>3356</v>
      </c>
      <c r="I341" s="13">
        <v>2852.6</v>
      </c>
      <c r="J341" s="13">
        <f>Orders[[#This Row],[Quantity]]*Orders[[#This Row],[Selling Price]]</f>
        <v>6712</v>
      </c>
      <c r="K341" s="13">
        <f>Orders[[#This Row],[Quantity]]*Orders[[#This Row],[Cost Price]]</f>
        <v>5705.2</v>
      </c>
      <c r="L341" s="13">
        <f>Orders[[#This Row],[Revenue]]-Orders[[#This Row],[Expenses]]</f>
        <v>1006.8000000000002</v>
      </c>
      <c r="M341" t="s">
        <v>2205</v>
      </c>
      <c r="N341" t="str">
        <f>_xlfn.XLOOKUP(Orders[[#This Row],[CustomerID]],Customers[CustomerID],Customers[CustomerName])</f>
        <v>Jide Eze</v>
      </c>
      <c r="O341" t="str">
        <f>_xlfn.XLOOKUP(Orders[[#This Row],[CustomerID]],Customers[CustomerID],Customers[City])</f>
        <v>California</v>
      </c>
      <c r="P341" t="str">
        <f>_xlfn.XLOOKUP(Orders[[#This Row],[CustomerID]],Customers[CustomerID],Customers[Gender])</f>
        <v>Male</v>
      </c>
      <c r="Q341">
        <f>_xlfn.XLOOKUP(Orders[[#This Row],[CustomerID]],Customers[CustomerID],Customers[CustomerAge])</f>
        <v>21</v>
      </c>
      <c r="R341" t="str">
        <f>IF(Orders[[#This Row],[CustomerAge]]&gt;=35, "Older", "Young")</f>
        <v>Young</v>
      </c>
      <c r="S341" t="str">
        <f>_xlfn.XLOOKUP(Orders[[#This Row],[ProductID]],Products[ProductID],Products[ProductName])</f>
        <v>Gold Rings</v>
      </c>
      <c r="T341" t="str">
        <f>_xlfn.XLOOKUP(Orders[[#This Row],[ProductID]],Products[ProductID],Products[Category])</f>
        <v>Accessories</v>
      </c>
    </row>
    <row r="342" spans="1:20" x14ac:dyDescent="0.25">
      <c r="A342" s="4" t="s">
        <v>516</v>
      </c>
      <c r="B342" s="5">
        <v>45945</v>
      </c>
      <c r="C342" s="15">
        <f>WEEKNUM(Orders[[#This Row],[OrderDate]])</f>
        <v>42</v>
      </c>
      <c r="D342" s="15" t="str">
        <f>TEXT(Orders[[#This Row],[OrderDate]],"mmmm")</f>
        <v>October</v>
      </c>
      <c r="E342" s="4" t="s">
        <v>517</v>
      </c>
      <c r="F342" s="4" t="s">
        <v>189</v>
      </c>
      <c r="G342" s="4">
        <v>2</v>
      </c>
      <c r="H342" s="12">
        <v>15376</v>
      </c>
      <c r="I342" s="13">
        <v>13069.6</v>
      </c>
      <c r="J342" s="13">
        <f>Orders[[#This Row],[Quantity]]*Orders[[#This Row],[Selling Price]]</f>
        <v>30752</v>
      </c>
      <c r="K342" s="13">
        <f>Orders[[#This Row],[Quantity]]*Orders[[#This Row],[Cost Price]]</f>
        <v>26139.200000000001</v>
      </c>
      <c r="L342" s="13">
        <f>Orders[[#This Row],[Revenue]]-Orders[[#This Row],[Expenses]]</f>
        <v>4612.7999999999993</v>
      </c>
      <c r="M342" t="s">
        <v>2193</v>
      </c>
      <c r="N342" t="str">
        <f>_xlfn.XLOOKUP(Orders[[#This Row],[CustomerID]],Customers[CustomerID],Customers[CustomerName])</f>
        <v>Efe Adeyemi</v>
      </c>
      <c r="O342" t="str">
        <f>_xlfn.XLOOKUP(Orders[[#This Row],[CustomerID]],Customers[CustomerID],Customers[City])</f>
        <v>Florida</v>
      </c>
      <c r="P342" t="str">
        <f>_xlfn.XLOOKUP(Orders[[#This Row],[CustomerID]],Customers[CustomerID],Customers[Gender])</f>
        <v>Female</v>
      </c>
      <c r="Q342">
        <f>_xlfn.XLOOKUP(Orders[[#This Row],[CustomerID]],Customers[CustomerID],Customers[CustomerAge])</f>
        <v>25</v>
      </c>
      <c r="R342" t="str">
        <f>IF(Orders[[#This Row],[CustomerAge]]&gt;=35, "Older", "Young")</f>
        <v>Young</v>
      </c>
      <c r="S342" t="str">
        <f>_xlfn.XLOOKUP(Orders[[#This Row],[ProductID]],Products[ProductID],Products[ProductName])</f>
        <v>Scrabble</v>
      </c>
      <c r="T342" t="str">
        <f>_xlfn.XLOOKUP(Orders[[#This Row],[ProductID]],Products[ProductID],Products[Category])</f>
        <v>Games</v>
      </c>
    </row>
    <row r="343" spans="1:20" x14ac:dyDescent="0.25">
      <c r="A343" s="4" t="s">
        <v>518</v>
      </c>
      <c r="B343" s="5">
        <v>45974</v>
      </c>
      <c r="C343" s="15">
        <f>WEEKNUM(Orders[[#This Row],[OrderDate]])</f>
        <v>46</v>
      </c>
      <c r="D343" s="15" t="str">
        <f>TEXT(Orders[[#This Row],[OrderDate]],"mmmm")</f>
        <v>November</v>
      </c>
      <c r="E343" s="4" t="s">
        <v>517</v>
      </c>
      <c r="F343" s="4" t="s">
        <v>130</v>
      </c>
      <c r="G343" s="4">
        <v>5</v>
      </c>
      <c r="H343" s="12">
        <v>11644.6</v>
      </c>
      <c r="I343" s="13">
        <v>9897.91</v>
      </c>
      <c r="J343" s="13">
        <f>Orders[[#This Row],[Quantity]]*Orders[[#This Row],[Selling Price]]</f>
        <v>58223</v>
      </c>
      <c r="K343" s="13">
        <f>Orders[[#This Row],[Quantity]]*Orders[[#This Row],[Cost Price]]</f>
        <v>49489.55</v>
      </c>
      <c r="L343" s="13">
        <f>Orders[[#This Row],[Revenue]]-Orders[[#This Row],[Expenses]]</f>
        <v>8733.4499999999971</v>
      </c>
      <c r="M343" t="s">
        <v>2208</v>
      </c>
      <c r="N343" t="str">
        <f>_xlfn.XLOOKUP(Orders[[#This Row],[CustomerID]],Customers[CustomerID],Customers[CustomerName])</f>
        <v>Efe Adeyemi</v>
      </c>
      <c r="O343" t="str">
        <f>_xlfn.XLOOKUP(Orders[[#This Row],[CustomerID]],Customers[CustomerID],Customers[City])</f>
        <v>Florida</v>
      </c>
      <c r="P343" t="str">
        <f>_xlfn.XLOOKUP(Orders[[#This Row],[CustomerID]],Customers[CustomerID],Customers[Gender])</f>
        <v>Female</v>
      </c>
      <c r="Q343">
        <f>_xlfn.XLOOKUP(Orders[[#This Row],[CustomerID]],Customers[CustomerID],Customers[CustomerAge])</f>
        <v>25</v>
      </c>
      <c r="R343" t="str">
        <f>IF(Orders[[#This Row],[CustomerAge]]&gt;=35, "Older", "Young")</f>
        <v>Young</v>
      </c>
      <c r="S343" t="str">
        <f>_xlfn.XLOOKUP(Orders[[#This Row],[ProductID]],Products[ProductID],Products[ProductName])</f>
        <v>Gold Earrings And Necklaces</v>
      </c>
      <c r="T343" t="str">
        <f>_xlfn.XLOOKUP(Orders[[#This Row],[ProductID]],Products[ProductID],Products[Category])</f>
        <v>Accessories</v>
      </c>
    </row>
    <row r="344" spans="1:20" x14ac:dyDescent="0.25">
      <c r="A344" s="4" t="s">
        <v>519</v>
      </c>
      <c r="B344" s="5">
        <v>46014</v>
      </c>
      <c r="C344" s="15">
        <f>WEEKNUM(Orders[[#This Row],[OrderDate]])</f>
        <v>52</v>
      </c>
      <c r="D344" s="15" t="str">
        <f>TEXT(Orders[[#This Row],[OrderDate]],"mmmm")</f>
        <v>December</v>
      </c>
      <c r="E344" s="4" t="s">
        <v>203</v>
      </c>
      <c r="F344" s="4" t="s">
        <v>25</v>
      </c>
      <c r="G344" s="4">
        <v>1</v>
      </c>
      <c r="H344" s="12">
        <v>6400.5999999999995</v>
      </c>
      <c r="I344" s="13">
        <v>5440.5099999999993</v>
      </c>
      <c r="J344" s="13">
        <f>Orders[[#This Row],[Quantity]]*Orders[[#This Row],[Selling Price]]</f>
        <v>6400.5999999999995</v>
      </c>
      <c r="K344" s="13">
        <f>Orders[[#This Row],[Quantity]]*Orders[[#This Row],[Cost Price]]</f>
        <v>5440.5099999999993</v>
      </c>
      <c r="L344" s="13">
        <f>Orders[[#This Row],[Revenue]]-Orders[[#This Row],[Expenses]]</f>
        <v>960.09000000000015</v>
      </c>
      <c r="M344" t="s">
        <v>2205</v>
      </c>
      <c r="N344" t="str">
        <f>_xlfn.XLOOKUP(Orders[[#This Row],[CustomerID]],Customers[CustomerID],Customers[CustomerName])</f>
        <v>Okon Bello</v>
      </c>
      <c r="O344" t="str">
        <f>_xlfn.XLOOKUP(Orders[[#This Row],[CustomerID]],Customers[CustomerID],Customers[City])</f>
        <v>Texas</v>
      </c>
      <c r="P344" t="str">
        <f>_xlfn.XLOOKUP(Orders[[#This Row],[CustomerID]],Customers[CustomerID],Customers[Gender])</f>
        <v>Male</v>
      </c>
      <c r="Q344">
        <f>_xlfn.XLOOKUP(Orders[[#This Row],[CustomerID]],Customers[CustomerID],Customers[CustomerAge])</f>
        <v>20</v>
      </c>
      <c r="R344" t="str">
        <f>IF(Orders[[#This Row],[CustomerAge]]&gt;=35, "Older", "Young")</f>
        <v>Young</v>
      </c>
      <c r="S344" t="str">
        <f>_xlfn.XLOOKUP(Orders[[#This Row],[ProductID]],Products[ProductID],Products[ProductName])</f>
        <v>Gold Rings</v>
      </c>
      <c r="T344" t="str">
        <f>_xlfn.XLOOKUP(Orders[[#This Row],[ProductID]],Products[ProductID],Products[Category])</f>
        <v>Accessories</v>
      </c>
    </row>
    <row r="345" spans="1:20" x14ac:dyDescent="0.25">
      <c r="A345" s="4" t="s">
        <v>520</v>
      </c>
      <c r="B345" s="5">
        <v>45936</v>
      </c>
      <c r="C345" s="15">
        <f>WEEKNUM(Orders[[#This Row],[OrderDate]])</f>
        <v>41</v>
      </c>
      <c r="D345" s="15" t="str">
        <f>TEXT(Orders[[#This Row],[OrderDate]],"mmmm")</f>
        <v>October</v>
      </c>
      <c r="E345" s="4" t="s">
        <v>521</v>
      </c>
      <c r="F345" s="4" t="s">
        <v>353</v>
      </c>
      <c r="G345" s="4">
        <v>5</v>
      </c>
      <c r="H345" s="12">
        <v>8343.9</v>
      </c>
      <c r="I345" s="13">
        <v>7092.3149999999996</v>
      </c>
      <c r="J345" s="13">
        <f>Orders[[#This Row],[Quantity]]*Orders[[#This Row],[Selling Price]]</f>
        <v>41719.5</v>
      </c>
      <c r="K345" s="13">
        <f>Orders[[#This Row],[Quantity]]*Orders[[#This Row],[Cost Price]]</f>
        <v>35461.574999999997</v>
      </c>
      <c r="L345" s="13">
        <f>Orders[[#This Row],[Revenue]]-Orders[[#This Row],[Expenses]]</f>
        <v>6257.9250000000029</v>
      </c>
      <c r="M345" t="s">
        <v>2204</v>
      </c>
      <c r="N345" t="str">
        <f>_xlfn.XLOOKUP(Orders[[#This Row],[CustomerID]],Customers[CustomerID],Customers[CustomerName])</f>
        <v>Ronke Eze</v>
      </c>
      <c r="O345" t="str">
        <f>_xlfn.XLOOKUP(Orders[[#This Row],[CustomerID]],Customers[CustomerID],Customers[City])</f>
        <v>Illinois</v>
      </c>
      <c r="P345" t="str">
        <f>_xlfn.XLOOKUP(Orders[[#This Row],[CustomerID]],Customers[CustomerID],Customers[Gender])</f>
        <v>Female</v>
      </c>
      <c r="Q345">
        <f>_xlfn.XLOOKUP(Orders[[#This Row],[CustomerID]],Customers[CustomerID],Customers[CustomerAge])</f>
        <v>25</v>
      </c>
      <c r="R345" t="str">
        <f>IF(Orders[[#This Row],[CustomerAge]]&gt;=35, "Older", "Young")</f>
        <v>Young</v>
      </c>
      <c r="S345" t="str">
        <f>_xlfn.XLOOKUP(Orders[[#This Row],[ProductID]],Products[ProductID],Products[ProductName])</f>
        <v>Silver Earrings And Necklaces</v>
      </c>
      <c r="T345" t="str">
        <f>_xlfn.XLOOKUP(Orders[[#This Row],[ProductID]],Products[ProductID],Products[Category])</f>
        <v>Accessories</v>
      </c>
    </row>
    <row r="346" spans="1:20" x14ac:dyDescent="0.25">
      <c r="A346" s="4" t="s">
        <v>522</v>
      </c>
      <c r="B346" s="5">
        <v>45990</v>
      </c>
      <c r="C346" s="15">
        <f>WEEKNUM(Orders[[#This Row],[OrderDate]])</f>
        <v>48</v>
      </c>
      <c r="D346" s="15" t="str">
        <f>TEXT(Orders[[#This Row],[OrderDate]],"mmmm")</f>
        <v>November</v>
      </c>
      <c r="E346" s="4" t="s">
        <v>352</v>
      </c>
      <c r="F346" s="4" t="s">
        <v>46</v>
      </c>
      <c r="G346" s="4">
        <v>10</v>
      </c>
      <c r="H346" s="12">
        <v>12025.2</v>
      </c>
      <c r="I346" s="13">
        <v>10221.42</v>
      </c>
      <c r="J346" s="13">
        <f>Orders[[#This Row],[Quantity]]*Orders[[#This Row],[Selling Price]]</f>
        <v>120252</v>
      </c>
      <c r="K346" s="13">
        <f>Orders[[#This Row],[Quantity]]*Orders[[#This Row],[Cost Price]]</f>
        <v>102214.2</v>
      </c>
      <c r="L346" s="13">
        <f>Orders[[#This Row],[Revenue]]-Orders[[#This Row],[Expenses]]</f>
        <v>18037.800000000003</v>
      </c>
      <c r="M346" t="s">
        <v>2200</v>
      </c>
      <c r="N346" t="str">
        <f>_xlfn.XLOOKUP(Orders[[#This Row],[CustomerID]],Customers[CustomerID],Customers[CustomerName])</f>
        <v>Zainab Eze</v>
      </c>
      <c r="O346" t="str">
        <f>_xlfn.XLOOKUP(Orders[[#This Row],[CustomerID]],Customers[CustomerID],Customers[City])</f>
        <v>Texas</v>
      </c>
      <c r="P346" t="str">
        <f>_xlfn.XLOOKUP(Orders[[#This Row],[CustomerID]],Customers[CustomerID],Customers[Gender])</f>
        <v>Female</v>
      </c>
      <c r="Q346">
        <f>_xlfn.XLOOKUP(Orders[[#This Row],[CustomerID]],Customers[CustomerID],Customers[CustomerAge])</f>
        <v>40</v>
      </c>
      <c r="R346" t="str">
        <f>IF(Orders[[#This Row],[CustomerAge]]&gt;=35, "Older", "Young")</f>
        <v>Older</v>
      </c>
      <c r="S346" t="str">
        <f>_xlfn.XLOOKUP(Orders[[#This Row],[ProductID]],Products[ProductID],Products[ProductName])</f>
        <v>Turtle Neck</v>
      </c>
      <c r="T346" t="str">
        <f>_xlfn.XLOOKUP(Orders[[#This Row],[ProductID]],Products[ProductID],Products[Category])</f>
        <v>Clothing</v>
      </c>
    </row>
    <row r="347" spans="1:20" x14ac:dyDescent="0.25">
      <c r="A347" s="4" t="s">
        <v>523</v>
      </c>
      <c r="B347" s="5">
        <v>45941</v>
      </c>
      <c r="C347" s="15">
        <f>WEEKNUM(Orders[[#This Row],[OrderDate]])</f>
        <v>41</v>
      </c>
      <c r="D347" s="15" t="str">
        <f>TEXT(Orders[[#This Row],[OrderDate]],"mmmm")</f>
        <v>October</v>
      </c>
      <c r="E347" s="4" t="s">
        <v>524</v>
      </c>
      <c r="F347" s="4" t="s">
        <v>92</v>
      </c>
      <c r="G347" s="4">
        <v>2</v>
      </c>
      <c r="H347" s="12">
        <v>19895</v>
      </c>
      <c r="I347" s="13">
        <v>16910.75</v>
      </c>
      <c r="J347" s="13">
        <f>Orders[[#This Row],[Quantity]]*Orders[[#This Row],[Selling Price]]</f>
        <v>39790</v>
      </c>
      <c r="K347" s="13">
        <f>Orders[[#This Row],[Quantity]]*Orders[[#This Row],[Cost Price]]</f>
        <v>33821.5</v>
      </c>
      <c r="L347" s="13">
        <f>Orders[[#This Row],[Revenue]]-Orders[[#This Row],[Expenses]]</f>
        <v>5968.5</v>
      </c>
      <c r="M347" t="s">
        <v>2202</v>
      </c>
      <c r="N347" t="str">
        <f>_xlfn.XLOOKUP(Orders[[#This Row],[CustomerID]],Customers[CustomerID],Customers[CustomerName])</f>
        <v>Chinedu Igwe</v>
      </c>
      <c r="O347" t="str">
        <f>_xlfn.XLOOKUP(Orders[[#This Row],[CustomerID]],Customers[CustomerID],Customers[City])</f>
        <v>Florida</v>
      </c>
      <c r="P347" t="str">
        <f>_xlfn.XLOOKUP(Orders[[#This Row],[CustomerID]],Customers[CustomerID],Customers[Gender])</f>
        <v>Male</v>
      </c>
      <c r="Q347">
        <f>_xlfn.XLOOKUP(Orders[[#This Row],[CustomerID]],Customers[CustomerID],Customers[CustomerAge])</f>
        <v>21</v>
      </c>
      <c r="R347" t="str">
        <f>IF(Orders[[#This Row],[CustomerAge]]&gt;=35, "Older", "Young")</f>
        <v>Young</v>
      </c>
      <c r="S347" t="str">
        <f>_xlfn.XLOOKUP(Orders[[#This Row],[ProductID]],Products[ProductID],Products[ProductName])</f>
        <v>Chest Expander</v>
      </c>
      <c r="T347" t="str">
        <f>_xlfn.XLOOKUP(Orders[[#This Row],[ProductID]],Products[ProductID],Products[Category])</f>
        <v>Gym</v>
      </c>
    </row>
    <row r="348" spans="1:20" x14ac:dyDescent="0.25">
      <c r="A348" s="4" t="s">
        <v>525</v>
      </c>
      <c r="B348" s="5">
        <v>45998</v>
      </c>
      <c r="C348" s="15">
        <f>WEEKNUM(Orders[[#This Row],[OrderDate]])</f>
        <v>50</v>
      </c>
      <c r="D348" s="15" t="str">
        <f>TEXT(Orders[[#This Row],[OrderDate]],"mmmm")</f>
        <v>December</v>
      </c>
      <c r="E348" s="4" t="s">
        <v>27</v>
      </c>
      <c r="F348" s="4" t="s">
        <v>20</v>
      </c>
      <c r="G348" s="4">
        <v>1</v>
      </c>
      <c r="H348" s="12">
        <v>10388</v>
      </c>
      <c r="I348" s="13">
        <v>8829.7999999999993</v>
      </c>
      <c r="J348" s="13">
        <f>Orders[[#This Row],[Quantity]]*Orders[[#This Row],[Selling Price]]</f>
        <v>10388</v>
      </c>
      <c r="K348" s="13">
        <f>Orders[[#This Row],[Quantity]]*Orders[[#This Row],[Cost Price]]</f>
        <v>8829.7999999999993</v>
      </c>
      <c r="L348" s="13">
        <f>Orders[[#This Row],[Revenue]]-Orders[[#This Row],[Expenses]]</f>
        <v>1558.2000000000007</v>
      </c>
      <c r="M348" t="s">
        <v>2206</v>
      </c>
      <c r="N348" t="str">
        <f>_xlfn.XLOOKUP(Orders[[#This Row],[CustomerID]],Customers[CustomerID],Customers[CustomerName])</f>
        <v>Okon Ojo</v>
      </c>
      <c r="O348" t="str">
        <f>_xlfn.XLOOKUP(Orders[[#This Row],[CustomerID]],Customers[CustomerID],Customers[City])</f>
        <v>Illinois</v>
      </c>
      <c r="P348" t="str">
        <f>_xlfn.XLOOKUP(Orders[[#This Row],[CustomerID]],Customers[CustomerID],Customers[Gender])</f>
        <v>Male</v>
      </c>
      <c r="Q348">
        <f>_xlfn.XLOOKUP(Orders[[#This Row],[CustomerID]],Customers[CustomerID],Customers[CustomerAge])</f>
        <v>32</v>
      </c>
      <c r="R348" t="str">
        <f>IF(Orders[[#This Row],[CustomerAge]]&gt;=35, "Older", "Young")</f>
        <v>Young</v>
      </c>
      <c r="S348" t="str">
        <f>_xlfn.XLOOKUP(Orders[[#This Row],[ProductID]],Products[ProductID],Products[ProductName])</f>
        <v>Gym Bag</v>
      </c>
      <c r="T348" t="str">
        <f>_xlfn.XLOOKUP(Orders[[#This Row],[ProductID]],Products[ProductID],Products[Category])</f>
        <v>Gym</v>
      </c>
    </row>
    <row r="349" spans="1:20" x14ac:dyDescent="0.25">
      <c r="A349" s="4" t="s">
        <v>526</v>
      </c>
      <c r="B349" s="5">
        <v>45990</v>
      </c>
      <c r="C349" s="15">
        <f>WEEKNUM(Orders[[#This Row],[OrderDate]])</f>
        <v>48</v>
      </c>
      <c r="D349" s="15" t="str">
        <f>TEXT(Orders[[#This Row],[OrderDate]],"mmmm")</f>
        <v>November</v>
      </c>
      <c r="E349" s="4" t="s">
        <v>207</v>
      </c>
      <c r="F349" s="4" t="s">
        <v>63</v>
      </c>
      <c r="G349" s="4">
        <v>10</v>
      </c>
      <c r="H349" s="12">
        <v>2121.1999999999998</v>
      </c>
      <c r="I349" s="13">
        <v>1803.02</v>
      </c>
      <c r="J349" s="13">
        <f>Orders[[#This Row],[Quantity]]*Orders[[#This Row],[Selling Price]]</f>
        <v>21212</v>
      </c>
      <c r="K349" s="13">
        <f>Orders[[#This Row],[Quantity]]*Orders[[#This Row],[Cost Price]]</f>
        <v>18030.2</v>
      </c>
      <c r="L349" s="13">
        <f>Orders[[#This Row],[Revenue]]-Orders[[#This Row],[Expenses]]</f>
        <v>3181.7999999999993</v>
      </c>
      <c r="M349" t="s">
        <v>2213</v>
      </c>
      <c r="N349" t="str">
        <f>_xlfn.XLOOKUP(Orders[[#This Row],[CustomerID]],Customers[CustomerID],Customers[CustomerName])</f>
        <v>Bisi Eze</v>
      </c>
      <c r="O349" t="str">
        <f>_xlfn.XLOOKUP(Orders[[#This Row],[CustomerID]],Customers[CustomerID],Customers[City])</f>
        <v>Florida</v>
      </c>
      <c r="P349" t="str">
        <f>_xlfn.XLOOKUP(Orders[[#This Row],[CustomerID]],Customers[CustomerID],Customers[Gender])</f>
        <v>Female</v>
      </c>
      <c r="Q349">
        <f>_xlfn.XLOOKUP(Orders[[#This Row],[CustomerID]],Customers[CustomerID],Customers[CustomerAge])</f>
        <v>37</v>
      </c>
      <c r="R349" t="str">
        <f>IF(Orders[[#This Row],[CustomerAge]]&gt;=35, "Older", "Young")</f>
        <v>Older</v>
      </c>
      <c r="S349" t="str">
        <f>_xlfn.XLOOKUP(Orders[[#This Row],[ProductID]],Products[ProductID],Products[ProductName])</f>
        <v>Tennis Bat</v>
      </c>
      <c r="T349" t="str">
        <f>_xlfn.XLOOKUP(Orders[[#This Row],[ProductID]],Products[ProductID],Products[Category])</f>
        <v>Sports</v>
      </c>
    </row>
    <row r="350" spans="1:20" x14ac:dyDescent="0.25">
      <c r="A350" s="4" t="s">
        <v>527</v>
      </c>
      <c r="B350" s="5">
        <v>45942</v>
      </c>
      <c r="C350" s="15">
        <f>WEEKNUM(Orders[[#This Row],[OrderDate]])</f>
        <v>42</v>
      </c>
      <c r="D350" s="15" t="str">
        <f>TEXT(Orders[[#This Row],[OrderDate]],"mmmm")</f>
        <v>October</v>
      </c>
      <c r="E350" s="4" t="s">
        <v>19</v>
      </c>
      <c r="F350" s="4" t="s">
        <v>20</v>
      </c>
      <c r="G350" s="4">
        <v>3</v>
      </c>
      <c r="H350" s="12">
        <v>10062.700000000001</v>
      </c>
      <c r="I350" s="13">
        <v>8553.2950000000001</v>
      </c>
      <c r="J350" s="13">
        <f>Orders[[#This Row],[Quantity]]*Orders[[#This Row],[Selling Price]]</f>
        <v>30188.100000000002</v>
      </c>
      <c r="K350" s="13">
        <f>Orders[[#This Row],[Quantity]]*Orders[[#This Row],[Cost Price]]</f>
        <v>25659.885000000002</v>
      </c>
      <c r="L350" s="13">
        <f>Orders[[#This Row],[Revenue]]-Orders[[#This Row],[Expenses]]</f>
        <v>4528.2150000000001</v>
      </c>
      <c r="M350" t="s">
        <v>2202</v>
      </c>
      <c r="N350" t="str">
        <f>_xlfn.XLOOKUP(Orders[[#This Row],[CustomerID]],Customers[CustomerID],Customers[CustomerName])</f>
        <v>Obi Adeyemi</v>
      </c>
      <c r="O350" t="str">
        <f>_xlfn.XLOOKUP(Orders[[#This Row],[CustomerID]],Customers[CustomerID],Customers[City])</f>
        <v>California</v>
      </c>
      <c r="P350" t="str">
        <f>_xlfn.XLOOKUP(Orders[[#This Row],[CustomerID]],Customers[CustomerID],Customers[Gender])</f>
        <v>Male</v>
      </c>
      <c r="Q350">
        <f>_xlfn.XLOOKUP(Orders[[#This Row],[CustomerID]],Customers[CustomerID],Customers[CustomerAge])</f>
        <v>24</v>
      </c>
      <c r="R350" t="str">
        <f>IF(Orders[[#This Row],[CustomerAge]]&gt;=35, "Older", "Young")</f>
        <v>Young</v>
      </c>
      <c r="S350" t="str">
        <f>_xlfn.XLOOKUP(Orders[[#This Row],[ProductID]],Products[ProductID],Products[ProductName])</f>
        <v>Gym Bag</v>
      </c>
      <c r="T350" t="str">
        <f>_xlfn.XLOOKUP(Orders[[#This Row],[ProductID]],Products[ProductID],Products[Category])</f>
        <v>Gym</v>
      </c>
    </row>
    <row r="351" spans="1:20" x14ac:dyDescent="0.25">
      <c r="A351" s="4" t="s">
        <v>528</v>
      </c>
      <c r="B351" s="5">
        <v>46019</v>
      </c>
      <c r="C351" s="15">
        <f>WEEKNUM(Orders[[#This Row],[OrderDate]])</f>
        <v>53</v>
      </c>
      <c r="D351" s="15" t="str">
        <f>TEXT(Orders[[#This Row],[OrderDate]],"mmmm")</f>
        <v>December</v>
      </c>
      <c r="E351" s="4" t="s">
        <v>39</v>
      </c>
      <c r="F351" s="4" t="s">
        <v>15</v>
      </c>
      <c r="G351" s="4">
        <v>2</v>
      </c>
      <c r="H351" s="12">
        <v>6522</v>
      </c>
      <c r="I351" s="13">
        <v>5543.7</v>
      </c>
      <c r="J351" s="13">
        <f>Orders[[#This Row],[Quantity]]*Orders[[#This Row],[Selling Price]]</f>
        <v>13044</v>
      </c>
      <c r="K351" s="13">
        <f>Orders[[#This Row],[Quantity]]*Orders[[#This Row],[Cost Price]]</f>
        <v>11087.4</v>
      </c>
      <c r="L351" s="13">
        <f>Orders[[#This Row],[Revenue]]-Orders[[#This Row],[Expenses]]</f>
        <v>1956.6000000000004</v>
      </c>
      <c r="M351" t="s">
        <v>2195</v>
      </c>
      <c r="N351" t="str">
        <f>_xlfn.XLOOKUP(Orders[[#This Row],[CustomerID]],Customers[CustomerID],Customers[CustomerName])</f>
        <v>Efe Adeyemi</v>
      </c>
      <c r="O351" t="str">
        <f>_xlfn.XLOOKUP(Orders[[#This Row],[CustomerID]],Customers[CustomerID],Customers[City])</f>
        <v>Florida</v>
      </c>
      <c r="P351" t="str">
        <f>_xlfn.XLOOKUP(Orders[[#This Row],[CustomerID]],Customers[CustomerID],Customers[Gender])</f>
        <v>Female</v>
      </c>
      <c r="Q351">
        <f>_xlfn.XLOOKUP(Orders[[#This Row],[CustomerID]],Customers[CustomerID],Customers[CustomerAge])</f>
        <v>20</v>
      </c>
      <c r="R351" t="str">
        <f>IF(Orders[[#This Row],[CustomerAge]]&gt;=35, "Older", "Young")</f>
        <v>Young</v>
      </c>
      <c r="S351" t="str">
        <f>_xlfn.XLOOKUP(Orders[[#This Row],[ProductID]],Products[ProductID],Products[ProductName])</f>
        <v>Monopoly</v>
      </c>
      <c r="T351" t="str">
        <f>_xlfn.XLOOKUP(Orders[[#This Row],[ProductID]],Products[ProductID],Products[Category])</f>
        <v>Games</v>
      </c>
    </row>
    <row r="352" spans="1:20" x14ac:dyDescent="0.25">
      <c r="A352" s="4" t="s">
        <v>529</v>
      </c>
      <c r="B352" s="5">
        <v>45942</v>
      </c>
      <c r="C352" s="15">
        <f>WEEKNUM(Orders[[#This Row],[OrderDate]])</f>
        <v>42</v>
      </c>
      <c r="D352" s="15" t="str">
        <f>TEXT(Orders[[#This Row],[OrderDate]],"mmmm")</f>
        <v>October</v>
      </c>
      <c r="E352" s="4" t="s">
        <v>43</v>
      </c>
      <c r="F352" s="4" t="s">
        <v>20</v>
      </c>
      <c r="G352" s="4">
        <v>9</v>
      </c>
      <c r="H352" s="12">
        <v>1737</v>
      </c>
      <c r="I352" s="13">
        <v>1476.45</v>
      </c>
      <c r="J352" s="13">
        <f>Orders[[#This Row],[Quantity]]*Orders[[#This Row],[Selling Price]]</f>
        <v>15633</v>
      </c>
      <c r="K352" s="13">
        <f>Orders[[#This Row],[Quantity]]*Orders[[#This Row],[Cost Price]]</f>
        <v>13288.050000000001</v>
      </c>
      <c r="L352" s="13">
        <f>Orders[[#This Row],[Revenue]]-Orders[[#This Row],[Expenses]]</f>
        <v>2344.9499999999989</v>
      </c>
      <c r="M352" t="s">
        <v>2198</v>
      </c>
      <c r="N352" t="str">
        <f>_xlfn.XLOOKUP(Orders[[#This Row],[CustomerID]],Customers[CustomerID],Customers[CustomerName])</f>
        <v>Mustafa Danladi</v>
      </c>
      <c r="O352" t="str">
        <f>_xlfn.XLOOKUP(Orders[[#This Row],[CustomerID]],Customers[CustomerID],Customers[City])</f>
        <v>Georgia</v>
      </c>
      <c r="P352" t="str">
        <f>_xlfn.XLOOKUP(Orders[[#This Row],[CustomerID]],Customers[CustomerID],Customers[Gender])</f>
        <v>Male</v>
      </c>
      <c r="Q352">
        <f>_xlfn.XLOOKUP(Orders[[#This Row],[CustomerID]],Customers[CustomerID],Customers[CustomerAge])</f>
        <v>49</v>
      </c>
      <c r="R352" t="str">
        <f>IF(Orders[[#This Row],[CustomerAge]]&gt;=35, "Older", "Young")</f>
        <v>Older</v>
      </c>
      <c r="S352" t="str">
        <f>_xlfn.XLOOKUP(Orders[[#This Row],[ProductID]],Products[ProductID],Products[ProductName])</f>
        <v>Gym Bag</v>
      </c>
      <c r="T352" t="str">
        <f>_xlfn.XLOOKUP(Orders[[#This Row],[ProductID]],Products[ProductID],Products[Category])</f>
        <v>Gym</v>
      </c>
    </row>
    <row r="353" spans="1:20" x14ac:dyDescent="0.25">
      <c r="A353" s="4" t="s">
        <v>530</v>
      </c>
      <c r="B353" s="5">
        <v>45953</v>
      </c>
      <c r="C353" s="15">
        <f>WEEKNUM(Orders[[#This Row],[OrderDate]])</f>
        <v>43</v>
      </c>
      <c r="D353" s="15" t="str">
        <f>TEXT(Orders[[#This Row],[OrderDate]],"mmmm")</f>
        <v>October</v>
      </c>
      <c r="E353" s="4" t="s">
        <v>163</v>
      </c>
      <c r="F353" s="4" t="s">
        <v>84</v>
      </c>
      <c r="G353" s="4">
        <v>1</v>
      </c>
      <c r="H353" s="12">
        <v>17114.2</v>
      </c>
      <c r="I353" s="13">
        <v>14547.07</v>
      </c>
      <c r="J353" s="13">
        <f>Orders[[#This Row],[Quantity]]*Orders[[#This Row],[Selling Price]]</f>
        <v>17114.2</v>
      </c>
      <c r="K353" s="13">
        <f>Orders[[#This Row],[Quantity]]*Orders[[#This Row],[Cost Price]]</f>
        <v>14547.07</v>
      </c>
      <c r="L353" s="13">
        <f>Orders[[#This Row],[Revenue]]-Orders[[#This Row],[Expenses]]</f>
        <v>2567.130000000001</v>
      </c>
      <c r="M353" t="s">
        <v>2192</v>
      </c>
      <c r="N353" t="str">
        <f>_xlfn.XLOOKUP(Orders[[#This Row],[CustomerID]],Customers[CustomerID],Customers[CustomerName])</f>
        <v>Folasade Danladi</v>
      </c>
      <c r="O353" t="str">
        <f>_xlfn.XLOOKUP(Orders[[#This Row],[CustomerID]],Customers[CustomerID],Customers[City])</f>
        <v>Texas</v>
      </c>
      <c r="P353" t="str">
        <f>_xlfn.XLOOKUP(Orders[[#This Row],[CustomerID]],Customers[CustomerID],Customers[Gender])</f>
        <v>Female</v>
      </c>
      <c r="Q353">
        <f>_xlfn.XLOOKUP(Orders[[#This Row],[CustomerID]],Customers[CustomerID],Customers[CustomerAge])</f>
        <v>32</v>
      </c>
      <c r="R353" t="str">
        <f>IF(Orders[[#This Row],[CustomerAge]]&gt;=35, "Older", "Young")</f>
        <v>Young</v>
      </c>
      <c r="S353" t="str">
        <f>_xlfn.XLOOKUP(Orders[[#This Row],[ProductID]],Products[ProductID],Products[ProductName])</f>
        <v>Gym Wears</v>
      </c>
      <c r="T353" t="str">
        <f>_xlfn.XLOOKUP(Orders[[#This Row],[ProductID]],Products[ProductID],Products[Category])</f>
        <v>Clothing</v>
      </c>
    </row>
    <row r="354" spans="1:20" x14ac:dyDescent="0.25">
      <c r="A354" s="4" t="s">
        <v>531</v>
      </c>
      <c r="B354" s="5">
        <v>45972</v>
      </c>
      <c r="C354" s="15">
        <f>WEEKNUM(Orders[[#This Row],[OrderDate]])</f>
        <v>46</v>
      </c>
      <c r="D354" s="15" t="str">
        <f>TEXT(Orders[[#This Row],[OrderDate]],"mmmm")</f>
        <v>November</v>
      </c>
      <c r="E354" s="4" t="s">
        <v>148</v>
      </c>
      <c r="F354" s="4" t="s">
        <v>151</v>
      </c>
      <c r="G354" s="4">
        <v>8</v>
      </c>
      <c r="H354" s="12">
        <v>9352.4</v>
      </c>
      <c r="I354" s="13">
        <v>7949.54</v>
      </c>
      <c r="J354" s="13">
        <f>Orders[[#This Row],[Quantity]]*Orders[[#This Row],[Selling Price]]</f>
        <v>74819.199999999997</v>
      </c>
      <c r="K354" s="13">
        <f>Orders[[#This Row],[Quantity]]*Orders[[#This Row],[Cost Price]]</f>
        <v>63596.32</v>
      </c>
      <c r="L354" s="13">
        <f>Orders[[#This Row],[Revenue]]-Orders[[#This Row],[Expenses]]</f>
        <v>11222.879999999997</v>
      </c>
      <c r="M354" t="s">
        <v>2203</v>
      </c>
      <c r="N354" t="str">
        <f>_xlfn.XLOOKUP(Orders[[#This Row],[CustomerID]],Customers[CustomerID],Customers[CustomerName])</f>
        <v>Zainab Abubakar</v>
      </c>
      <c r="O354" t="str">
        <f>_xlfn.XLOOKUP(Orders[[#This Row],[CustomerID]],Customers[CustomerID],Customers[City])</f>
        <v>Florida</v>
      </c>
      <c r="P354" t="str">
        <f>_xlfn.XLOOKUP(Orders[[#This Row],[CustomerID]],Customers[CustomerID],Customers[Gender])</f>
        <v>Female</v>
      </c>
      <c r="Q354">
        <f>_xlfn.XLOOKUP(Orders[[#This Row],[CustomerID]],Customers[CustomerID],Customers[CustomerAge])</f>
        <v>29</v>
      </c>
      <c r="R354" t="str">
        <f>IF(Orders[[#This Row],[CustomerAge]]&gt;=35, "Older", "Young")</f>
        <v>Young</v>
      </c>
      <c r="S354" t="str">
        <f>_xlfn.XLOOKUP(Orders[[#This Row],[ProductID]],Products[ProductID],Products[ProductName])</f>
        <v>Checkers</v>
      </c>
      <c r="T354" t="str">
        <f>_xlfn.XLOOKUP(Orders[[#This Row],[ProductID]],Products[ProductID],Products[Category])</f>
        <v>Games</v>
      </c>
    </row>
    <row r="355" spans="1:20" x14ac:dyDescent="0.25">
      <c r="A355" s="4" t="s">
        <v>532</v>
      </c>
      <c r="B355" s="5">
        <v>46003</v>
      </c>
      <c r="C355" s="15">
        <f>WEEKNUM(Orders[[#This Row],[OrderDate]])</f>
        <v>50</v>
      </c>
      <c r="D355" s="15" t="str">
        <f>TEXT(Orders[[#This Row],[OrderDate]],"mmmm")</f>
        <v>December</v>
      </c>
      <c r="E355" s="4" t="s">
        <v>36</v>
      </c>
      <c r="F355" s="4" t="s">
        <v>34</v>
      </c>
      <c r="G355" s="4">
        <v>3</v>
      </c>
      <c r="H355" s="12">
        <v>1457.1000000000001</v>
      </c>
      <c r="I355" s="13">
        <v>1238.5350000000001</v>
      </c>
      <c r="J355" s="13">
        <f>Orders[[#This Row],[Quantity]]*Orders[[#This Row],[Selling Price]]</f>
        <v>4371.3</v>
      </c>
      <c r="K355" s="13">
        <f>Orders[[#This Row],[Quantity]]*Orders[[#This Row],[Cost Price]]</f>
        <v>3715.6050000000005</v>
      </c>
      <c r="L355" s="13">
        <f>Orders[[#This Row],[Revenue]]-Orders[[#This Row],[Expenses]]</f>
        <v>655.69499999999971</v>
      </c>
      <c r="M355" t="s">
        <v>2201</v>
      </c>
      <c r="N355" t="str">
        <f>_xlfn.XLOOKUP(Orders[[#This Row],[CustomerID]],Customers[CustomerID],Customers[CustomerName])</f>
        <v>Jide Eze</v>
      </c>
      <c r="O355" t="str">
        <f>_xlfn.XLOOKUP(Orders[[#This Row],[CustomerID]],Customers[CustomerID],Customers[City])</f>
        <v>California</v>
      </c>
      <c r="P355" t="str">
        <f>_xlfn.XLOOKUP(Orders[[#This Row],[CustomerID]],Customers[CustomerID],Customers[Gender])</f>
        <v>Male</v>
      </c>
      <c r="Q355">
        <f>_xlfn.XLOOKUP(Orders[[#This Row],[CustomerID]],Customers[CustomerID],Customers[CustomerAge])</f>
        <v>21</v>
      </c>
      <c r="R355" t="str">
        <f>IF(Orders[[#This Row],[CustomerAge]]&gt;=35, "Older", "Young")</f>
        <v>Young</v>
      </c>
      <c r="S355" t="str">
        <f>_xlfn.XLOOKUP(Orders[[#This Row],[ProductID]],Products[ProductID],Products[ProductName])</f>
        <v>Gold Bracelets</v>
      </c>
      <c r="T355" t="str">
        <f>_xlfn.XLOOKUP(Orders[[#This Row],[ProductID]],Products[ProductID],Products[Category])</f>
        <v>Accessories</v>
      </c>
    </row>
    <row r="356" spans="1:20" x14ac:dyDescent="0.25">
      <c r="A356" s="4" t="s">
        <v>533</v>
      </c>
      <c r="B356" s="5">
        <v>45931</v>
      </c>
      <c r="C356" s="15">
        <f>WEEKNUM(Orders[[#This Row],[OrderDate]])</f>
        <v>40</v>
      </c>
      <c r="D356" s="15" t="str">
        <f>TEXT(Orders[[#This Row],[OrderDate]],"mmmm")</f>
        <v>October</v>
      </c>
      <c r="E356" s="4" t="s">
        <v>260</v>
      </c>
      <c r="F356" s="4" t="s">
        <v>353</v>
      </c>
      <c r="G356" s="4">
        <v>5</v>
      </c>
      <c r="H356" s="12">
        <v>13454.2</v>
      </c>
      <c r="I356" s="13">
        <v>11436.07</v>
      </c>
      <c r="J356" s="13">
        <f>Orders[[#This Row],[Quantity]]*Orders[[#This Row],[Selling Price]]</f>
        <v>67271</v>
      </c>
      <c r="K356" s="13">
        <f>Orders[[#This Row],[Quantity]]*Orders[[#This Row],[Cost Price]]</f>
        <v>57180.35</v>
      </c>
      <c r="L356" s="13">
        <f>Orders[[#This Row],[Revenue]]-Orders[[#This Row],[Expenses]]</f>
        <v>10090.650000000001</v>
      </c>
      <c r="M356" t="s">
        <v>2218</v>
      </c>
      <c r="N356" t="str">
        <f>_xlfn.XLOOKUP(Orders[[#This Row],[CustomerID]],Customers[CustomerID],Customers[CustomerName])</f>
        <v>Amina Obi</v>
      </c>
      <c r="O356" t="str">
        <f>_xlfn.XLOOKUP(Orders[[#This Row],[CustomerID]],Customers[CustomerID],Customers[City])</f>
        <v>Florida</v>
      </c>
      <c r="P356" t="str">
        <f>_xlfn.XLOOKUP(Orders[[#This Row],[CustomerID]],Customers[CustomerID],Customers[Gender])</f>
        <v>Female</v>
      </c>
      <c r="Q356">
        <f>_xlfn.XLOOKUP(Orders[[#This Row],[CustomerID]],Customers[CustomerID],Customers[CustomerAge])</f>
        <v>29</v>
      </c>
      <c r="R356" t="str">
        <f>IF(Orders[[#This Row],[CustomerAge]]&gt;=35, "Older", "Young")</f>
        <v>Young</v>
      </c>
      <c r="S356" t="str">
        <f>_xlfn.XLOOKUP(Orders[[#This Row],[ProductID]],Products[ProductID],Products[ProductName])</f>
        <v>Silver Earrings And Necklaces</v>
      </c>
      <c r="T356" t="str">
        <f>_xlfn.XLOOKUP(Orders[[#This Row],[ProductID]],Products[ProductID],Products[Category])</f>
        <v>Accessories</v>
      </c>
    </row>
    <row r="357" spans="1:20" x14ac:dyDescent="0.25">
      <c r="A357" s="4" t="s">
        <v>534</v>
      </c>
      <c r="B357" s="5">
        <v>45953</v>
      </c>
      <c r="C357" s="15">
        <f>WEEKNUM(Orders[[#This Row],[OrderDate]])</f>
        <v>43</v>
      </c>
      <c r="D357" s="15" t="str">
        <f>TEXT(Orders[[#This Row],[OrderDate]],"mmmm")</f>
        <v>October</v>
      </c>
      <c r="E357" s="4" t="s">
        <v>293</v>
      </c>
      <c r="F357" s="4" t="s">
        <v>25</v>
      </c>
      <c r="G357" s="4">
        <v>7</v>
      </c>
      <c r="H357" s="12">
        <v>5655.9000000000005</v>
      </c>
      <c r="I357" s="13">
        <v>4807.5150000000003</v>
      </c>
      <c r="J357" s="13">
        <f>Orders[[#This Row],[Quantity]]*Orders[[#This Row],[Selling Price]]</f>
        <v>39591.300000000003</v>
      </c>
      <c r="K357" s="13">
        <f>Orders[[#This Row],[Quantity]]*Orders[[#This Row],[Cost Price]]</f>
        <v>33652.605000000003</v>
      </c>
      <c r="L357" s="13">
        <f>Orders[[#This Row],[Revenue]]-Orders[[#This Row],[Expenses]]</f>
        <v>5938.6949999999997</v>
      </c>
      <c r="M357" t="s">
        <v>2215</v>
      </c>
      <c r="N357" t="str">
        <f>_xlfn.XLOOKUP(Orders[[#This Row],[CustomerID]],Customers[CustomerID],Customers[CustomerName])</f>
        <v>Tunde Eze</v>
      </c>
      <c r="O357" t="str">
        <f>_xlfn.XLOOKUP(Orders[[#This Row],[CustomerID]],Customers[CustomerID],Customers[City])</f>
        <v>Florida</v>
      </c>
      <c r="P357" t="str">
        <f>_xlfn.XLOOKUP(Orders[[#This Row],[CustomerID]],Customers[CustomerID],Customers[Gender])</f>
        <v>Male</v>
      </c>
      <c r="Q357">
        <f>_xlfn.XLOOKUP(Orders[[#This Row],[CustomerID]],Customers[CustomerID],Customers[CustomerAge])</f>
        <v>46</v>
      </c>
      <c r="R357" t="str">
        <f>IF(Orders[[#This Row],[CustomerAge]]&gt;=35, "Older", "Young")</f>
        <v>Older</v>
      </c>
      <c r="S357" t="str">
        <f>_xlfn.XLOOKUP(Orders[[#This Row],[ProductID]],Products[ProductID],Products[ProductName])</f>
        <v>Gold Rings</v>
      </c>
      <c r="T357" t="str">
        <f>_xlfn.XLOOKUP(Orders[[#This Row],[ProductID]],Products[ProductID],Products[Category])</f>
        <v>Accessories</v>
      </c>
    </row>
    <row r="358" spans="1:20" x14ac:dyDescent="0.25">
      <c r="A358" s="4" t="s">
        <v>535</v>
      </c>
      <c r="B358" s="5">
        <v>45972</v>
      </c>
      <c r="C358" s="15">
        <f>WEEKNUM(Orders[[#This Row],[OrderDate]])</f>
        <v>46</v>
      </c>
      <c r="D358" s="15" t="str">
        <f>TEXT(Orders[[#This Row],[OrderDate]],"mmmm")</f>
        <v>November</v>
      </c>
      <c r="E358" s="4" t="s">
        <v>73</v>
      </c>
      <c r="F358" s="4" t="s">
        <v>57</v>
      </c>
      <c r="G358" s="4">
        <v>7</v>
      </c>
      <c r="H358" s="12">
        <v>3884.5</v>
      </c>
      <c r="I358" s="13">
        <v>3301.8249999999998</v>
      </c>
      <c r="J358" s="13">
        <f>Orders[[#This Row],[Quantity]]*Orders[[#This Row],[Selling Price]]</f>
        <v>27191.5</v>
      </c>
      <c r="K358" s="13">
        <f>Orders[[#This Row],[Quantity]]*Orders[[#This Row],[Cost Price]]</f>
        <v>23112.774999999998</v>
      </c>
      <c r="L358" s="13">
        <f>Orders[[#This Row],[Revenue]]-Orders[[#This Row],[Expenses]]</f>
        <v>4078.7250000000022</v>
      </c>
      <c r="M358" t="s">
        <v>2215</v>
      </c>
      <c r="N358" t="str">
        <f>_xlfn.XLOOKUP(Orders[[#This Row],[CustomerID]],Customers[CustomerID],Customers[CustomerName])</f>
        <v>Ronke Okonkwo</v>
      </c>
      <c r="O358" t="str">
        <f>_xlfn.XLOOKUP(Orders[[#This Row],[CustomerID]],Customers[CustomerID],Customers[City])</f>
        <v>California</v>
      </c>
      <c r="P358" t="str">
        <f>_xlfn.XLOOKUP(Orders[[#This Row],[CustomerID]],Customers[CustomerID],Customers[Gender])</f>
        <v>Female</v>
      </c>
      <c r="Q358">
        <f>_xlfn.XLOOKUP(Orders[[#This Row],[CustomerID]],Customers[CustomerID],Customers[CustomerAge])</f>
        <v>20</v>
      </c>
      <c r="R358" t="str">
        <f>IF(Orders[[#This Row],[CustomerAge]]&gt;=35, "Older", "Young")</f>
        <v>Young</v>
      </c>
      <c r="S358" t="str">
        <f>_xlfn.XLOOKUP(Orders[[#This Row],[ProductID]],Products[ProductID],Products[ProductName])</f>
        <v>Badminton Racket</v>
      </c>
      <c r="T358" t="str">
        <f>_xlfn.XLOOKUP(Orders[[#This Row],[ProductID]],Products[ProductID],Products[Category])</f>
        <v>Sports</v>
      </c>
    </row>
    <row r="359" spans="1:20" x14ac:dyDescent="0.25">
      <c r="A359" s="4" t="s">
        <v>536</v>
      </c>
      <c r="B359" s="5">
        <v>46004</v>
      </c>
      <c r="C359" s="15">
        <f>WEEKNUM(Orders[[#This Row],[OrderDate]])</f>
        <v>50</v>
      </c>
      <c r="D359" s="15" t="str">
        <f>TEXT(Orders[[#This Row],[OrderDate]],"mmmm")</f>
        <v>December</v>
      </c>
      <c r="E359" s="4" t="s">
        <v>333</v>
      </c>
      <c r="F359" s="4" t="s">
        <v>34</v>
      </c>
      <c r="G359" s="4">
        <v>1</v>
      </c>
      <c r="H359" s="12">
        <v>8208.2000000000007</v>
      </c>
      <c r="I359" s="13">
        <v>6976.9700000000012</v>
      </c>
      <c r="J359" s="13">
        <f>Orders[[#This Row],[Quantity]]*Orders[[#This Row],[Selling Price]]</f>
        <v>8208.2000000000007</v>
      </c>
      <c r="K359" s="13">
        <f>Orders[[#This Row],[Quantity]]*Orders[[#This Row],[Cost Price]]</f>
        <v>6976.9700000000012</v>
      </c>
      <c r="L359" s="13">
        <f>Orders[[#This Row],[Revenue]]-Orders[[#This Row],[Expenses]]</f>
        <v>1231.2299999999996</v>
      </c>
      <c r="M359" t="s">
        <v>2211</v>
      </c>
      <c r="N359" t="str">
        <f>_xlfn.XLOOKUP(Orders[[#This Row],[CustomerID]],Customers[CustomerID],Customers[CustomerName])</f>
        <v>Emeka Obi</v>
      </c>
      <c r="O359" t="str">
        <f>_xlfn.XLOOKUP(Orders[[#This Row],[CustomerID]],Customers[CustomerID],Customers[City])</f>
        <v>Washington</v>
      </c>
      <c r="P359" t="str">
        <f>_xlfn.XLOOKUP(Orders[[#This Row],[CustomerID]],Customers[CustomerID],Customers[Gender])</f>
        <v>Male</v>
      </c>
      <c r="Q359">
        <f>_xlfn.XLOOKUP(Orders[[#This Row],[CustomerID]],Customers[CustomerID],Customers[CustomerAge])</f>
        <v>44</v>
      </c>
      <c r="R359" t="str">
        <f>IF(Orders[[#This Row],[CustomerAge]]&gt;=35, "Older", "Young")</f>
        <v>Older</v>
      </c>
      <c r="S359" t="str">
        <f>_xlfn.XLOOKUP(Orders[[#This Row],[ProductID]],Products[ProductID],Products[ProductName])</f>
        <v>Gold Bracelets</v>
      </c>
      <c r="T359" t="str">
        <f>_xlfn.XLOOKUP(Orders[[#This Row],[ProductID]],Products[ProductID],Products[Category])</f>
        <v>Accessories</v>
      </c>
    </row>
    <row r="360" spans="1:20" x14ac:dyDescent="0.25">
      <c r="A360" s="4" t="s">
        <v>537</v>
      </c>
      <c r="B360" s="5">
        <v>45982</v>
      </c>
      <c r="C360" s="15">
        <f>WEEKNUM(Orders[[#This Row],[OrderDate]])</f>
        <v>47</v>
      </c>
      <c r="D360" s="15" t="str">
        <f>TEXT(Orders[[#This Row],[OrderDate]],"mmmm")</f>
        <v>November</v>
      </c>
      <c r="E360" s="4" t="s">
        <v>291</v>
      </c>
      <c r="F360" s="4" t="s">
        <v>63</v>
      </c>
      <c r="G360" s="4">
        <v>2</v>
      </c>
      <c r="H360" s="12">
        <v>9545</v>
      </c>
      <c r="I360" s="13">
        <v>8113.25</v>
      </c>
      <c r="J360" s="13">
        <f>Orders[[#This Row],[Quantity]]*Orders[[#This Row],[Selling Price]]</f>
        <v>19090</v>
      </c>
      <c r="K360" s="13">
        <f>Orders[[#This Row],[Quantity]]*Orders[[#This Row],[Cost Price]]</f>
        <v>16226.5</v>
      </c>
      <c r="L360" s="13">
        <f>Orders[[#This Row],[Revenue]]-Orders[[#This Row],[Expenses]]</f>
        <v>2863.5</v>
      </c>
      <c r="M360" t="s">
        <v>2196</v>
      </c>
      <c r="N360" t="str">
        <f>_xlfn.XLOOKUP(Orders[[#This Row],[CustomerID]],Customers[CustomerID],Customers[CustomerName])</f>
        <v>Okon Igwe</v>
      </c>
      <c r="O360" t="str">
        <f>_xlfn.XLOOKUP(Orders[[#This Row],[CustomerID]],Customers[CustomerID],Customers[City])</f>
        <v>Texas</v>
      </c>
      <c r="P360" t="str">
        <f>_xlfn.XLOOKUP(Orders[[#This Row],[CustomerID]],Customers[CustomerID],Customers[Gender])</f>
        <v>Male</v>
      </c>
      <c r="Q360">
        <f>_xlfn.XLOOKUP(Orders[[#This Row],[CustomerID]],Customers[CustomerID],Customers[CustomerAge])</f>
        <v>33</v>
      </c>
      <c r="R360" t="str">
        <f>IF(Orders[[#This Row],[CustomerAge]]&gt;=35, "Older", "Young")</f>
        <v>Young</v>
      </c>
      <c r="S360" t="str">
        <f>_xlfn.XLOOKUP(Orders[[#This Row],[ProductID]],Products[ProductID],Products[ProductName])</f>
        <v>Tennis Bat</v>
      </c>
      <c r="T360" t="str">
        <f>_xlfn.XLOOKUP(Orders[[#This Row],[ProductID]],Products[ProductID],Products[Category])</f>
        <v>Sports</v>
      </c>
    </row>
    <row r="361" spans="1:20" x14ac:dyDescent="0.25">
      <c r="A361" s="4" t="s">
        <v>538</v>
      </c>
      <c r="B361" s="5">
        <v>45965</v>
      </c>
      <c r="C361" s="15">
        <f>WEEKNUM(Orders[[#This Row],[OrderDate]])</f>
        <v>45</v>
      </c>
      <c r="D361" s="15" t="str">
        <f>TEXT(Orders[[#This Row],[OrderDate]],"mmmm")</f>
        <v>November</v>
      </c>
      <c r="E361" s="4" t="s">
        <v>146</v>
      </c>
      <c r="F361" s="4" t="s">
        <v>76</v>
      </c>
      <c r="G361" s="4">
        <v>7</v>
      </c>
      <c r="H361" s="12">
        <v>11999.2</v>
      </c>
      <c r="I361" s="13">
        <v>10199.32</v>
      </c>
      <c r="J361" s="13">
        <f>Orders[[#This Row],[Quantity]]*Orders[[#This Row],[Selling Price]]</f>
        <v>83994.400000000009</v>
      </c>
      <c r="K361" s="13">
        <f>Orders[[#This Row],[Quantity]]*Orders[[#This Row],[Cost Price]]</f>
        <v>71395.239999999991</v>
      </c>
      <c r="L361" s="13">
        <f>Orders[[#This Row],[Revenue]]-Orders[[#This Row],[Expenses]]</f>
        <v>12599.160000000018</v>
      </c>
      <c r="M361" t="s">
        <v>2197</v>
      </c>
      <c r="N361" t="str">
        <f>_xlfn.XLOOKUP(Orders[[#This Row],[CustomerID]],Customers[CustomerID],Customers[CustomerName])</f>
        <v>Mustafa Igwe</v>
      </c>
      <c r="O361" t="str">
        <f>_xlfn.XLOOKUP(Orders[[#This Row],[CustomerID]],Customers[CustomerID],Customers[City])</f>
        <v>Texas</v>
      </c>
      <c r="P361" t="str">
        <f>_xlfn.XLOOKUP(Orders[[#This Row],[CustomerID]],Customers[CustomerID],Customers[Gender])</f>
        <v>Male</v>
      </c>
      <c r="Q361">
        <f>_xlfn.XLOOKUP(Orders[[#This Row],[CustomerID]],Customers[CustomerID],Customers[CustomerAge])</f>
        <v>27</v>
      </c>
      <c r="R361" t="str">
        <f>IF(Orders[[#This Row],[CustomerAge]]&gt;=35, "Older", "Young")</f>
        <v>Young</v>
      </c>
      <c r="S361" t="str">
        <f>_xlfn.XLOOKUP(Orders[[#This Row],[ProductID]],Products[ProductID],Products[ProductName])</f>
        <v>Blender</v>
      </c>
      <c r="T361" t="str">
        <f>_xlfn.XLOOKUP(Orders[[#This Row],[ProductID]],Products[ProductID],Products[Category])</f>
        <v>Electronics</v>
      </c>
    </row>
    <row r="362" spans="1:20" x14ac:dyDescent="0.25">
      <c r="A362" s="4" t="s">
        <v>539</v>
      </c>
      <c r="B362" s="5">
        <v>46011</v>
      </c>
      <c r="C362" s="15">
        <f>WEEKNUM(Orders[[#This Row],[OrderDate]])</f>
        <v>51</v>
      </c>
      <c r="D362" s="15" t="str">
        <f>TEXT(Orders[[#This Row],[OrderDate]],"mmmm")</f>
        <v>December</v>
      </c>
      <c r="E362" s="4" t="s">
        <v>124</v>
      </c>
      <c r="F362" s="4" t="s">
        <v>84</v>
      </c>
      <c r="G362" s="4">
        <v>9</v>
      </c>
      <c r="H362" s="12">
        <v>12647</v>
      </c>
      <c r="I362" s="13">
        <v>10749.95</v>
      </c>
      <c r="J362" s="13">
        <f>Orders[[#This Row],[Quantity]]*Orders[[#This Row],[Selling Price]]</f>
        <v>113823</v>
      </c>
      <c r="K362" s="13">
        <f>Orders[[#This Row],[Quantity]]*Orders[[#This Row],[Cost Price]]</f>
        <v>96749.55</v>
      </c>
      <c r="L362" s="13">
        <f>Orders[[#This Row],[Revenue]]-Orders[[#This Row],[Expenses]]</f>
        <v>17073.449999999997</v>
      </c>
      <c r="M362" t="s">
        <v>2196</v>
      </c>
      <c r="N362" t="str">
        <f>_xlfn.XLOOKUP(Orders[[#This Row],[CustomerID]],Customers[CustomerID],Customers[CustomerName])</f>
        <v>Ngozi Ojo</v>
      </c>
      <c r="O362" t="str">
        <f>_xlfn.XLOOKUP(Orders[[#This Row],[CustomerID]],Customers[CustomerID],Customers[City])</f>
        <v>Texas</v>
      </c>
      <c r="P362" t="str">
        <f>_xlfn.XLOOKUP(Orders[[#This Row],[CustomerID]],Customers[CustomerID],Customers[Gender])</f>
        <v>Female</v>
      </c>
      <c r="Q362">
        <f>_xlfn.XLOOKUP(Orders[[#This Row],[CustomerID]],Customers[CustomerID],Customers[CustomerAge])</f>
        <v>22</v>
      </c>
      <c r="R362" t="str">
        <f>IF(Orders[[#This Row],[CustomerAge]]&gt;=35, "Older", "Young")</f>
        <v>Young</v>
      </c>
      <c r="S362" t="str">
        <f>_xlfn.XLOOKUP(Orders[[#This Row],[ProductID]],Products[ProductID],Products[ProductName])</f>
        <v>Gym Wears</v>
      </c>
      <c r="T362" t="str">
        <f>_xlfn.XLOOKUP(Orders[[#This Row],[ProductID]],Products[ProductID],Products[Category])</f>
        <v>Clothing</v>
      </c>
    </row>
    <row r="363" spans="1:20" x14ac:dyDescent="0.25">
      <c r="A363" s="4" t="s">
        <v>540</v>
      </c>
      <c r="B363" s="5">
        <v>46007</v>
      </c>
      <c r="C363" s="15">
        <f>WEEKNUM(Orders[[#This Row],[OrderDate]])</f>
        <v>51</v>
      </c>
      <c r="D363" s="15" t="str">
        <f>TEXT(Orders[[#This Row],[OrderDate]],"mmmm")</f>
        <v>December</v>
      </c>
      <c r="E363" s="4" t="s">
        <v>101</v>
      </c>
      <c r="F363" s="4" t="s">
        <v>20</v>
      </c>
      <c r="G363" s="4">
        <v>1</v>
      </c>
      <c r="H363" s="12">
        <v>9515.5</v>
      </c>
      <c r="I363" s="13">
        <v>8088.1750000000002</v>
      </c>
      <c r="J363" s="13">
        <f>Orders[[#This Row],[Quantity]]*Orders[[#This Row],[Selling Price]]</f>
        <v>9515.5</v>
      </c>
      <c r="K363" s="13">
        <f>Orders[[#This Row],[Quantity]]*Orders[[#This Row],[Cost Price]]</f>
        <v>8088.1750000000002</v>
      </c>
      <c r="L363" s="13">
        <f>Orders[[#This Row],[Revenue]]-Orders[[#This Row],[Expenses]]</f>
        <v>1427.3249999999998</v>
      </c>
      <c r="M363" t="s">
        <v>2213</v>
      </c>
      <c r="N363" t="str">
        <f>_xlfn.XLOOKUP(Orders[[#This Row],[CustomerID]],Customers[CustomerID],Customers[CustomerName])</f>
        <v>Blessing Eze</v>
      </c>
      <c r="O363" t="str">
        <f>_xlfn.XLOOKUP(Orders[[#This Row],[CustomerID]],Customers[CustomerID],Customers[City])</f>
        <v>Texas</v>
      </c>
      <c r="P363" t="str">
        <f>_xlfn.XLOOKUP(Orders[[#This Row],[CustomerID]],Customers[CustomerID],Customers[Gender])</f>
        <v>Female</v>
      </c>
      <c r="Q363">
        <f>_xlfn.XLOOKUP(Orders[[#This Row],[CustomerID]],Customers[CustomerID],Customers[CustomerAge])</f>
        <v>55</v>
      </c>
      <c r="R363" t="str">
        <f>IF(Orders[[#This Row],[CustomerAge]]&gt;=35, "Older", "Young")</f>
        <v>Older</v>
      </c>
      <c r="S363" t="str">
        <f>_xlfn.XLOOKUP(Orders[[#This Row],[ProductID]],Products[ProductID],Products[ProductName])</f>
        <v>Gym Bag</v>
      </c>
      <c r="T363" t="str">
        <f>_xlfn.XLOOKUP(Orders[[#This Row],[ProductID]],Products[ProductID],Products[Category])</f>
        <v>Gym</v>
      </c>
    </row>
    <row r="364" spans="1:20" x14ac:dyDescent="0.25">
      <c r="A364" s="4" t="s">
        <v>541</v>
      </c>
      <c r="B364" s="5">
        <v>45993</v>
      </c>
      <c r="C364" s="15">
        <f>WEEKNUM(Orders[[#This Row],[OrderDate]])</f>
        <v>49</v>
      </c>
      <c r="D364" s="15" t="str">
        <f>TEXT(Orders[[#This Row],[OrderDate]],"mmmm")</f>
        <v>December</v>
      </c>
      <c r="E364" s="4" t="s">
        <v>225</v>
      </c>
      <c r="F364" s="4" t="s">
        <v>92</v>
      </c>
      <c r="G364" s="4">
        <v>3</v>
      </c>
      <c r="H364" s="12">
        <v>529.79999999999995</v>
      </c>
      <c r="I364" s="13">
        <v>450.33</v>
      </c>
      <c r="J364" s="13">
        <f>Orders[[#This Row],[Quantity]]*Orders[[#This Row],[Selling Price]]</f>
        <v>1589.3999999999999</v>
      </c>
      <c r="K364" s="13">
        <f>Orders[[#This Row],[Quantity]]*Orders[[#This Row],[Cost Price]]</f>
        <v>1350.99</v>
      </c>
      <c r="L364" s="13">
        <f>Orders[[#This Row],[Revenue]]-Orders[[#This Row],[Expenses]]</f>
        <v>238.40999999999985</v>
      </c>
      <c r="M364" t="s">
        <v>2192</v>
      </c>
      <c r="N364" t="str">
        <f>_xlfn.XLOOKUP(Orders[[#This Row],[CustomerID]],Customers[CustomerID],Customers[CustomerName])</f>
        <v>Uche Danladi</v>
      </c>
      <c r="O364" t="str">
        <f>_xlfn.XLOOKUP(Orders[[#This Row],[CustomerID]],Customers[CustomerID],Customers[City])</f>
        <v>Texas</v>
      </c>
      <c r="P364" t="str">
        <f>_xlfn.XLOOKUP(Orders[[#This Row],[CustomerID]],Customers[CustomerID],Customers[Gender])</f>
        <v>Male</v>
      </c>
      <c r="Q364">
        <f>_xlfn.XLOOKUP(Orders[[#This Row],[CustomerID]],Customers[CustomerID],Customers[CustomerAge])</f>
        <v>45</v>
      </c>
      <c r="R364" t="str">
        <f>IF(Orders[[#This Row],[CustomerAge]]&gt;=35, "Older", "Young")</f>
        <v>Older</v>
      </c>
      <c r="S364" t="str">
        <f>_xlfn.XLOOKUP(Orders[[#This Row],[ProductID]],Products[ProductID],Products[ProductName])</f>
        <v>Chest Expander</v>
      </c>
      <c r="T364" t="str">
        <f>_xlfn.XLOOKUP(Orders[[#This Row],[ProductID]],Products[ProductID],Products[Category])</f>
        <v>Gym</v>
      </c>
    </row>
    <row r="365" spans="1:20" x14ac:dyDescent="0.25">
      <c r="A365" s="4" t="s">
        <v>542</v>
      </c>
      <c r="B365" s="5">
        <v>46006</v>
      </c>
      <c r="C365" s="15">
        <f>WEEKNUM(Orders[[#This Row],[OrderDate]])</f>
        <v>51</v>
      </c>
      <c r="D365" s="15" t="str">
        <f>TEXT(Orders[[#This Row],[OrderDate]],"mmmm")</f>
        <v>December</v>
      </c>
      <c r="E365" s="4" t="s">
        <v>212</v>
      </c>
      <c r="F365" s="4" t="s">
        <v>34</v>
      </c>
      <c r="G365" s="4">
        <v>5</v>
      </c>
      <c r="H365" s="12">
        <v>1988.6000000000001</v>
      </c>
      <c r="I365" s="13">
        <v>1690.3100000000002</v>
      </c>
      <c r="J365" s="13">
        <f>Orders[[#This Row],[Quantity]]*Orders[[#This Row],[Selling Price]]</f>
        <v>9943</v>
      </c>
      <c r="K365" s="13">
        <f>Orders[[#This Row],[Quantity]]*Orders[[#This Row],[Cost Price]]</f>
        <v>8451.5500000000011</v>
      </c>
      <c r="L365" s="13">
        <f>Orders[[#This Row],[Revenue]]-Orders[[#This Row],[Expenses]]</f>
        <v>1491.4499999999989</v>
      </c>
      <c r="M365" t="s">
        <v>2219</v>
      </c>
      <c r="N365" t="str">
        <f>_xlfn.XLOOKUP(Orders[[#This Row],[CustomerID]],Customers[CustomerID],Customers[CustomerName])</f>
        <v>Ngozi Ojo</v>
      </c>
      <c r="O365" t="str">
        <f>_xlfn.XLOOKUP(Orders[[#This Row],[CustomerID]],Customers[CustomerID],Customers[City])</f>
        <v>Illinois</v>
      </c>
      <c r="P365" t="str">
        <f>_xlfn.XLOOKUP(Orders[[#This Row],[CustomerID]],Customers[CustomerID],Customers[Gender])</f>
        <v>Female</v>
      </c>
      <c r="Q365">
        <f>_xlfn.XLOOKUP(Orders[[#This Row],[CustomerID]],Customers[CustomerID],Customers[CustomerAge])</f>
        <v>53</v>
      </c>
      <c r="R365" t="str">
        <f>IF(Orders[[#This Row],[CustomerAge]]&gt;=35, "Older", "Young")</f>
        <v>Older</v>
      </c>
      <c r="S365" t="str">
        <f>_xlfn.XLOOKUP(Orders[[#This Row],[ProductID]],Products[ProductID],Products[ProductName])</f>
        <v>Gold Bracelets</v>
      </c>
      <c r="T365" t="str">
        <f>_xlfn.XLOOKUP(Orders[[#This Row],[ProductID]],Products[ProductID],Products[Category])</f>
        <v>Accessories</v>
      </c>
    </row>
    <row r="366" spans="1:20" x14ac:dyDescent="0.25">
      <c r="A366" s="4" t="s">
        <v>543</v>
      </c>
      <c r="B366" s="5">
        <v>45960</v>
      </c>
      <c r="C366" s="15">
        <f>WEEKNUM(Orders[[#This Row],[OrderDate]])</f>
        <v>44</v>
      </c>
      <c r="D366" s="15" t="str">
        <f>TEXT(Orders[[#This Row],[OrderDate]],"mmmm")</f>
        <v>October</v>
      </c>
      <c r="E366" s="4" t="s">
        <v>180</v>
      </c>
      <c r="F366" s="4" t="s">
        <v>20</v>
      </c>
      <c r="G366" s="4">
        <v>7</v>
      </c>
      <c r="H366" s="12">
        <v>9582</v>
      </c>
      <c r="I366" s="13">
        <v>8144.7</v>
      </c>
      <c r="J366" s="13">
        <f>Orders[[#This Row],[Quantity]]*Orders[[#This Row],[Selling Price]]</f>
        <v>67074</v>
      </c>
      <c r="K366" s="13">
        <f>Orders[[#This Row],[Quantity]]*Orders[[#This Row],[Cost Price]]</f>
        <v>57012.9</v>
      </c>
      <c r="L366" s="13">
        <f>Orders[[#This Row],[Revenue]]-Orders[[#This Row],[Expenses]]</f>
        <v>10061.099999999999</v>
      </c>
      <c r="M366" t="s">
        <v>2200</v>
      </c>
      <c r="N366" t="str">
        <f>_xlfn.XLOOKUP(Orders[[#This Row],[CustomerID]],Customers[CustomerID],Customers[CustomerName])</f>
        <v>Jide Okonkwo</v>
      </c>
      <c r="O366" t="str">
        <f>_xlfn.XLOOKUP(Orders[[#This Row],[CustomerID]],Customers[CustomerID],Customers[City])</f>
        <v>Texas</v>
      </c>
      <c r="P366" t="str">
        <f>_xlfn.XLOOKUP(Orders[[#This Row],[CustomerID]],Customers[CustomerID],Customers[Gender])</f>
        <v>Male</v>
      </c>
      <c r="Q366">
        <f>_xlfn.XLOOKUP(Orders[[#This Row],[CustomerID]],Customers[CustomerID],Customers[CustomerAge])</f>
        <v>25</v>
      </c>
      <c r="R366" t="str">
        <f>IF(Orders[[#This Row],[CustomerAge]]&gt;=35, "Older", "Young")</f>
        <v>Young</v>
      </c>
      <c r="S366" t="str">
        <f>_xlfn.XLOOKUP(Orders[[#This Row],[ProductID]],Products[ProductID],Products[ProductName])</f>
        <v>Gym Bag</v>
      </c>
      <c r="T366" t="str">
        <f>_xlfn.XLOOKUP(Orders[[#This Row],[ProductID]],Products[ProductID],Products[Category])</f>
        <v>Gym</v>
      </c>
    </row>
    <row r="367" spans="1:20" x14ac:dyDescent="0.25">
      <c r="A367" s="4" t="s">
        <v>544</v>
      </c>
      <c r="B367" s="5">
        <v>45941</v>
      </c>
      <c r="C367" s="15">
        <f>WEEKNUM(Orders[[#This Row],[OrderDate]])</f>
        <v>41</v>
      </c>
      <c r="D367" s="15" t="str">
        <f>TEXT(Orders[[#This Row],[OrderDate]],"mmmm")</f>
        <v>October</v>
      </c>
      <c r="E367" s="4" t="s">
        <v>320</v>
      </c>
      <c r="F367" s="4" t="s">
        <v>53</v>
      </c>
      <c r="G367" s="4">
        <v>6</v>
      </c>
      <c r="H367" s="12">
        <v>18035.400000000001</v>
      </c>
      <c r="I367" s="13">
        <v>15330.090000000002</v>
      </c>
      <c r="J367" s="13">
        <f>Orders[[#This Row],[Quantity]]*Orders[[#This Row],[Selling Price]]</f>
        <v>108212.40000000001</v>
      </c>
      <c r="K367" s="13">
        <f>Orders[[#This Row],[Quantity]]*Orders[[#This Row],[Cost Price]]</f>
        <v>91980.540000000008</v>
      </c>
      <c r="L367" s="13">
        <f>Orders[[#This Row],[Revenue]]-Orders[[#This Row],[Expenses]]</f>
        <v>16231.86</v>
      </c>
      <c r="M367" t="s">
        <v>2210</v>
      </c>
      <c r="N367" t="str">
        <f>_xlfn.XLOOKUP(Orders[[#This Row],[CustomerID]],Customers[CustomerID],Customers[CustomerName])</f>
        <v>Temi Okonkwo</v>
      </c>
      <c r="O367" t="str">
        <f>_xlfn.XLOOKUP(Orders[[#This Row],[CustomerID]],Customers[CustomerID],Customers[City])</f>
        <v>Texas</v>
      </c>
      <c r="P367" t="str">
        <f>_xlfn.XLOOKUP(Orders[[#This Row],[CustomerID]],Customers[CustomerID],Customers[Gender])</f>
        <v>Female</v>
      </c>
      <c r="Q367">
        <f>_xlfn.XLOOKUP(Orders[[#This Row],[CustomerID]],Customers[CustomerID],Customers[CustomerAge])</f>
        <v>31</v>
      </c>
      <c r="R367" t="str">
        <f>IF(Orders[[#This Row],[CustomerAge]]&gt;=35, "Older", "Young")</f>
        <v>Young</v>
      </c>
      <c r="S367" t="str">
        <f>_xlfn.XLOOKUP(Orders[[#This Row],[ProductID]],Products[ProductID],Products[ProductName])</f>
        <v>Silver Bangles</v>
      </c>
      <c r="T367" t="str">
        <f>_xlfn.XLOOKUP(Orders[[#This Row],[ProductID]],Products[ProductID],Products[Category])</f>
        <v>Accessories</v>
      </c>
    </row>
    <row r="368" spans="1:20" x14ac:dyDescent="0.25">
      <c r="A368" s="4" t="s">
        <v>545</v>
      </c>
      <c r="B368" s="5">
        <v>45931</v>
      </c>
      <c r="C368" s="15">
        <f>WEEKNUM(Orders[[#This Row],[OrderDate]])</f>
        <v>40</v>
      </c>
      <c r="D368" s="15" t="str">
        <f>TEXT(Orders[[#This Row],[OrderDate]],"mmmm")</f>
        <v>October</v>
      </c>
      <c r="E368" s="4" t="s">
        <v>546</v>
      </c>
      <c r="F368" s="4" t="s">
        <v>37</v>
      </c>
      <c r="G368" s="4">
        <v>4</v>
      </c>
      <c r="H368" s="12">
        <v>19682.400000000001</v>
      </c>
      <c r="I368" s="13">
        <v>16730.04</v>
      </c>
      <c r="J368" s="13">
        <f>Orders[[#This Row],[Quantity]]*Orders[[#This Row],[Selling Price]]</f>
        <v>78729.600000000006</v>
      </c>
      <c r="K368" s="13">
        <f>Orders[[#This Row],[Quantity]]*Orders[[#This Row],[Cost Price]]</f>
        <v>66920.160000000003</v>
      </c>
      <c r="L368" s="13">
        <f>Orders[[#This Row],[Revenue]]-Orders[[#This Row],[Expenses]]</f>
        <v>11809.440000000002</v>
      </c>
      <c r="M368" t="s">
        <v>2213</v>
      </c>
      <c r="N368" t="str">
        <f>_xlfn.XLOOKUP(Orders[[#This Row],[CustomerID]],Customers[CustomerID],Customers[CustomerName])</f>
        <v>Bisi Eze</v>
      </c>
      <c r="O368" t="str">
        <f>_xlfn.XLOOKUP(Orders[[#This Row],[CustomerID]],Customers[CustomerID],Customers[City])</f>
        <v>Texas</v>
      </c>
      <c r="P368" t="str">
        <f>_xlfn.XLOOKUP(Orders[[#This Row],[CustomerID]],Customers[CustomerID],Customers[Gender])</f>
        <v>Female</v>
      </c>
      <c r="Q368">
        <f>_xlfn.XLOOKUP(Orders[[#This Row],[CustomerID]],Customers[CustomerID],Customers[CustomerAge])</f>
        <v>32</v>
      </c>
      <c r="R368" t="str">
        <f>IF(Orders[[#This Row],[CustomerAge]]&gt;=35, "Older", "Young")</f>
        <v>Young</v>
      </c>
      <c r="S368" t="str">
        <f>_xlfn.XLOOKUP(Orders[[#This Row],[ProductID]],Products[ProductID],Products[ProductName])</f>
        <v>Iron</v>
      </c>
      <c r="T368" t="str">
        <f>_xlfn.XLOOKUP(Orders[[#This Row],[ProductID]],Products[ProductID],Products[Category])</f>
        <v>Electronics</v>
      </c>
    </row>
    <row r="369" spans="1:20" x14ac:dyDescent="0.25">
      <c r="A369" s="4" t="s">
        <v>547</v>
      </c>
      <c r="B369" s="5">
        <v>45951</v>
      </c>
      <c r="C369" s="15">
        <f>WEEKNUM(Orders[[#This Row],[OrderDate]])</f>
        <v>43</v>
      </c>
      <c r="D369" s="15" t="str">
        <f>TEXT(Orders[[#This Row],[OrderDate]],"mmmm")</f>
        <v>October</v>
      </c>
      <c r="E369" s="4" t="s">
        <v>252</v>
      </c>
      <c r="F369" s="4" t="s">
        <v>25</v>
      </c>
      <c r="G369" s="4">
        <v>4</v>
      </c>
      <c r="H369" s="12">
        <v>12511.7</v>
      </c>
      <c r="I369" s="13">
        <v>10634.945</v>
      </c>
      <c r="J369" s="13">
        <f>Orders[[#This Row],[Quantity]]*Orders[[#This Row],[Selling Price]]</f>
        <v>50046.8</v>
      </c>
      <c r="K369" s="13">
        <f>Orders[[#This Row],[Quantity]]*Orders[[#This Row],[Cost Price]]</f>
        <v>42539.78</v>
      </c>
      <c r="L369" s="13">
        <f>Orders[[#This Row],[Revenue]]-Orders[[#This Row],[Expenses]]</f>
        <v>7507.0200000000041</v>
      </c>
      <c r="M369" t="s">
        <v>2213</v>
      </c>
      <c r="N369" t="str">
        <f>_xlfn.XLOOKUP(Orders[[#This Row],[CustomerID]],Customers[CustomerID],Customers[CustomerName])</f>
        <v>Chioma Adeyemi</v>
      </c>
      <c r="O369" t="str">
        <f>_xlfn.XLOOKUP(Orders[[#This Row],[CustomerID]],Customers[CustomerID],Customers[City])</f>
        <v>Texas</v>
      </c>
      <c r="P369" t="str">
        <f>_xlfn.XLOOKUP(Orders[[#This Row],[CustomerID]],Customers[CustomerID],Customers[Gender])</f>
        <v>Female</v>
      </c>
      <c r="Q369">
        <f>_xlfn.XLOOKUP(Orders[[#This Row],[CustomerID]],Customers[CustomerID],Customers[CustomerAge])</f>
        <v>20</v>
      </c>
      <c r="R369" t="str">
        <f>IF(Orders[[#This Row],[CustomerAge]]&gt;=35, "Older", "Young")</f>
        <v>Young</v>
      </c>
      <c r="S369" t="str">
        <f>_xlfn.XLOOKUP(Orders[[#This Row],[ProductID]],Products[ProductID],Products[ProductName])</f>
        <v>Gold Rings</v>
      </c>
      <c r="T369" t="str">
        <f>_xlfn.XLOOKUP(Orders[[#This Row],[ProductID]],Products[ProductID],Products[Category])</f>
        <v>Accessories</v>
      </c>
    </row>
    <row r="370" spans="1:20" x14ac:dyDescent="0.25">
      <c r="A370" s="4" t="s">
        <v>548</v>
      </c>
      <c r="B370" s="5">
        <v>45983</v>
      </c>
      <c r="C370" s="15">
        <f>WEEKNUM(Orders[[#This Row],[OrderDate]])</f>
        <v>47</v>
      </c>
      <c r="D370" s="15" t="str">
        <f>TEXT(Orders[[#This Row],[OrderDate]],"mmmm")</f>
        <v>November</v>
      </c>
      <c r="E370" s="4" t="s">
        <v>416</v>
      </c>
      <c r="F370" s="4" t="s">
        <v>157</v>
      </c>
      <c r="G370" s="4">
        <v>4</v>
      </c>
      <c r="H370" s="12">
        <v>10494.300000000001</v>
      </c>
      <c r="I370" s="13">
        <v>8920.1550000000007</v>
      </c>
      <c r="J370" s="13">
        <f>Orders[[#This Row],[Quantity]]*Orders[[#This Row],[Selling Price]]</f>
        <v>41977.200000000004</v>
      </c>
      <c r="K370" s="13">
        <f>Orders[[#This Row],[Quantity]]*Orders[[#This Row],[Cost Price]]</f>
        <v>35680.620000000003</v>
      </c>
      <c r="L370" s="13">
        <f>Orders[[#This Row],[Revenue]]-Orders[[#This Row],[Expenses]]</f>
        <v>6296.5800000000017</v>
      </c>
      <c r="M370" t="s">
        <v>2209</v>
      </c>
      <c r="N370" t="str">
        <f>_xlfn.XLOOKUP(Orders[[#This Row],[CustomerID]],Customers[CustomerID],Customers[CustomerName])</f>
        <v>Chinedu Igwe</v>
      </c>
      <c r="O370" t="str">
        <f>_xlfn.XLOOKUP(Orders[[#This Row],[CustomerID]],Customers[CustomerID],Customers[City])</f>
        <v>Texas</v>
      </c>
      <c r="P370" t="str">
        <f>_xlfn.XLOOKUP(Orders[[#This Row],[CustomerID]],Customers[CustomerID],Customers[Gender])</f>
        <v>Male</v>
      </c>
      <c r="Q370">
        <f>_xlfn.XLOOKUP(Orders[[#This Row],[CustomerID]],Customers[CustomerID],Customers[CustomerAge])</f>
        <v>26</v>
      </c>
      <c r="R370" t="str">
        <f>IF(Orders[[#This Row],[CustomerAge]]&gt;=35, "Older", "Young")</f>
        <v>Young</v>
      </c>
      <c r="S370" t="str">
        <f>_xlfn.XLOOKUP(Orders[[#This Row],[ProductID]],Products[ProductID],Products[ProductName])</f>
        <v>Football</v>
      </c>
      <c r="T370" t="str">
        <f>_xlfn.XLOOKUP(Orders[[#This Row],[ProductID]],Products[ProductID],Products[Category])</f>
        <v>Sports</v>
      </c>
    </row>
    <row r="371" spans="1:20" x14ac:dyDescent="0.25">
      <c r="A371" s="4" t="s">
        <v>549</v>
      </c>
      <c r="B371" s="5">
        <v>45954</v>
      </c>
      <c r="C371" s="15">
        <f>WEEKNUM(Orders[[#This Row],[OrderDate]])</f>
        <v>43</v>
      </c>
      <c r="D371" s="15" t="str">
        <f>TEXT(Orders[[#This Row],[OrderDate]],"mmmm")</f>
        <v>October</v>
      </c>
      <c r="E371" s="4" t="s">
        <v>210</v>
      </c>
      <c r="F371" s="4" t="s">
        <v>9</v>
      </c>
      <c r="G371" s="4">
        <v>10</v>
      </c>
      <c r="H371" s="12">
        <v>11808.900000000001</v>
      </c>
      <c r="I371" s="13">
        <v>10037.565000000001</v>
      </c>
      <c r="J371" s="13">
        <f>Orders[[#This Row],[Quantity]]*Orders[[#This Row],[Selling Price]]</f>
        <v>118089.00000000001</v>
      </c>
      <c r="K371" s="13">
        <f>Orders[[#This Row],[Quantity]]*Orders[[#This Row],[Cost Price]]</f>
        <v>100375.65000000001</v>
      </c>
      <c r="L371" s="13">
        <f>Orders[[#This Row],[Revenue]]-Orders[[#This Row],[Expenses]]</f>
        <v>17713.350000000006</v>
      </c>
      <c r="M371" t="s">
        <v>2194</v>
      </c>
      <c r="N371" t="str">
        <f>_xlfn.XLOOKUP(Orders[[#This Row],[CustomerID]],Customers[CustomerID],Customers[CustomerName])</f>
        <v>Zainab Bello</v>
      </c>
      <c r="O371" t="str">
        <f>_xlfn.XLOOKUP(Orders[[#This Row],[CustomerID]],Customers[CustomerID],Customers[City])</f>
        <v>Illinois</v>
      </c>
      <c r="P371" t="str">
        <f>_xlfn.XLOOKUP(Orders[[#This Row],[CustomerID]],Customers[CustomerID],Customers[Gender])</f>
        <v>Female</v>
      </c>
      <c r="Q371">
        <f>_xlfn.XLOOKUP(Orders[[#This Row],[CustomerID]],Customers[CustomerID],Customers[CustomerAge])</f>
        <v>27</v>
      </c>
      <c r="R371" t="str">
        <f>IF(Orders[[#This Row],[CustomerAge]]&gt;=35, "Older", "Young")</f>
        <v>Young</v>
      </c>
      <c r="S371" t="str">
        <f>_xlfn.XLOOKUP(Orders[[#This Row],[ProductID]],Products[ProductID],Products[ProductName])</f>
        <v>Beaded Earrings And Necklaces</v>
      </c>
      <c r="T371" t="str">
        <f>_xlfn.XLOOKUP(Orders[[#This Row],[ProductID]],Products[ProductID],Products[Category])</f>
        <v>Accessories</v>
      </c>
    </row>
    <row r="372" spans="1:20" x14ac:dyDescent="0.25">
      <c r="A372" s="4" t="s">
        <v>550</v>
      </c>
      <c r="B372" s="5">
        <v>45931</v>
      </c>
      <c r="C372" s="15">
        <f>WEEKNUM(Orders[[#This Row],[OrderDate]])</f>
        <v>40</v>
      </c>
      <c r="D372" s="15" t="str">
        <f>TEXT(Orders[[#This Row],[OrderDate]],"mmmm")</f>
        <v>October</v>
      </c>
      <c r="E372" s="4" t="s">
        <v>129</v>
      </c>
      <c r="F372" s="4" t="s">
        <v>151</v>
      </c>
      <c r="G372" s="4">
        <v>2</v>
      </c>
      <c r="H372" s="12">
        <v>1978.6000000000001</v>
      </c>
      <c r="I372" s="13">
        <v>1681.8100000000002</v>
      </c>
      <c r="J372" s="13">
        <f>Orders[[#This Row],[Quantity]]*Orders[[#This Row],[Selling Price]]</f>
        <v>3957.2000000000003</v>
      </c>
      <c r="K372" s="13">
        <f>Orders[[#This Row],[Quantity]]*Orders[[#This Row],[Cost Price]]</f>
        <v>3363.6200000000003</v>
      </c>
      <c r="L372" s="13">
        <f>Orders[[#This Row],[Revenue]]-Orders[[#This Row],[Expenses]]</f>
        <v>593.57999999999993</v>
      </c>
      <c r="M372" t="s">
        <v>2210</v>
      </c>
      <c r="N372" t="str">
        <f>_xlfn.XLOOKUP(Orders[[#This Row],[CustomerID]],Customers[CustomerID],Customers[CustomerName])</f>
        <v>Chioma Ojo</v>
      </c>
      <c r="O372" t="str">
        <f>_xlfn.XLOOKUP(Orders[[#This Row],[CustomerID]],Customers[CustomerID],Customers[City])</f>
        <v>Washington</v>
      </c>
      <c r="P372" t="str">
        <f>_xlfn.XLOOKUP(Orders[[#This Row],[CustomerID]],Customers[CustomerID],Customers[Gender])</f>
        <v>Female</v>
      </c>
      <c r="Q372">
        <f>_xlfn.XLOOKUP(Orders[[#This Row],[CustomerID]],Customers[CustomerID],Customers[CustomerAge])</f>
        <v>46</v>
      </c>
      <c r="R372" t="str">
        <f>IF(Orders[[#This Row],[CustomerAge]]&gt;=35, "Older", "Young")</f>
        <v>Older</v>
      </c>
      <c r="S372" t="str">
        <f>_xlfn.XLOOKUP(Orders[[#This Row],[ProductID]],Products[ProductID],Products[ProductName])</f>
        <v>Checkers</v>
      </c>
      <c r="T372" t="str">
        <f>_xlfn.XLOOKUP(Orders[[#This Row],[ProductID]],Products[ProductID],Products[Category])</f>
        <v>Games</v>
      </c>
    </row>
    <row r="373" spans="1:20" x14ac:dyDescent="0.25">
      <c r="A373" s="4" t="s">
        <v>551</v>
      </c>
      <c r="B373" s="5">
        <v>46004</v>
      </c>
      <c r="C373" s="15">
        <f>WEEKNUM(Orders[[#This Row],[OrderDate]])</f>
        <v>50</v>
      </c>
      <c r="D373" s="15" t="str">
        <f>TEXT(Orders[[#This Row],[OrderDate]],"mmmm")</f>
        <v>December</v>
      </c>
      <c r="E373" s="4" t="s">
        <v>552</v>
      </c>
      <c r="F373" s="4" t="s">
        <v>53</v>
      </c>
      <c r="G373" s="4">
        <v>9</v>
      </c>
      <c r="H373" s="12">
        <v>6018.2000000000007</v>
      </c>
      <c r="I373" s="13">
        <v>5115.47</v>
      </c>
      <c r="J373" s="13">
        <f>Orders[[#This Row],[Quantity]]*Orders[[#This Row],[Selling Price]]</f>
        <v>54163.8</v>
      </c>
      <c r="K373" s="13">
        <f>Orders[[#This Row],[Quantity]]*Orders[[#This Row],[Cost Price]]</f>
        <v>46039.23</v>
      </c>
      <c r="L373" s="13">
        <f>Orders[[#This Row],[Revenue]]-Orders[[#This Row],[Expenses]]</f>
        <v>8124.57</v>
      </c>
      <c r="M373" t="s">
        <v>2217</v>
      </c>
      <c r="N373" t="str">
        <f>_xlfn.XLOOKUP(Orders[[#This Row],[CustomerID]],Customers[CustomerID],Customers[CustomerName])</f>
        <v>Chioma Eze</v>
      </c>
      <c r="O373" t="str">
        <f>_xlfn.XLOOKUP(Orders[[#This Row],[CustomerID]],Customers[CustomerID],Customers[City])</f>
        <v>Georgia</v>
      </c>
      <c r="P373" t="str">
        <f>_xlfn.XLOOKUP(Orders[[#This Row],[CustomerID]],Customers[CustomerID],Customers[Gender])</f>
        <v>Female</v>
      </c>
      <c r="Q373">
        <f>_xlfn.XLOOKUP(Orders[[#This Row],[CustomerID]],Customers[CustomerID],Customers[CustomerAge])</f>
        <v>40</v>
      </c>
      <c r="R373" t="str">
        <f>IF(Orders[[#This Row],[CustomerAge]]&gt;=35, "Older", "Young")</f>
        <v>Older</v>
      </c>
      <c r="S373" t="str">
        <f>_xlfn.XLOOKUP(Orders[[#This Row],[ProductID]],Products[ProductID],Products[ProductName])</f>
        <v>Silver Bangles</v>
      </c>
      <c r="T373" t="str">
        <f>_xlfn.XLOOKUP(Orders[[#This Row],[ProductID]],Products[ProductID],Products[Category])</f>
        <v>Accessories</v>
      </c>
    </row>
    <row r="374" spans="1:20" x14ac:dyDescent="0.25">
      <c r="A374" s="4" t="s">
        <v>553</v>
      </c>
      <c r="B374" s="5">
        <v>45944</v>
      </c>
      <c r="C374" s="15">
        <f>WEEKNUM(Orders[[#This Row],[OrderDate]])</f>
        <v>42</v>
      </c>
      <c r="D374" s="15" t="str">
        <f>TEXT(Orders[[#This Row],[OrderDate]],"mmmm")</f>
        <v>October</v>
      </c>
      <c r="E374" s="4" t="s">
        <v>80</v>
      </c>
      <c r="F374" s="4" t="s">
        <v>34</v>
      </c>
      <c r="G374" s="4">
        <v>2</v>
      </c>
      <c r="H374" s="12">
        <v>13315.8</v>
      </c>
      <c r="I374" s="13">
        <v>11318.43</v>
      </c>
      <c r="J374" s="13">
        <f>Orders[[#This Row],[Quantity]]*Orders[[#This Row],[Selling Price]]</f>
        <v>26631.599999999999</v>
      </c>
      <c r="K374" s="13">
        <f>Orders[[#This Row],[Quantity]]*Orders[[#This Row],[Cost Price]]</f>
        <v>22636.86</v>
      </c>
      <c r="L374" s="13">
        <f>Orders[[#This Row],[Revenue]]-Orders[[#This Row],[Expenses]]</f>
        <v>3994.739999999998</v>
      </c>
      <c r="M374" t="s">
        <v>2211</v>
      </c>
      <c r="N374" t="str">
        <f>_xlfn.XLOOKUP(Orders[[#This Row],[CustomerID]],Customers[CustomerID],Customers[CustomerName])</f>
        <v>Sani Ojo</v>
      </c>
      <c r="O374" t="str">
        <f>_xlfn.XLOOKUP(Orders[[#This Row],[CustomerID]],Customers[CustomerID],Customers[City])</f>
        <v>Texas</v>
      </c>
      <c r="P374" t="str">
        <f>_xlfn.XLOOKUP(Orders[[#This Row],[CustomerID]],Customers[CustomerID],Customers[Gender])</f>
        <v>Male</v>
      </c>
      <c r="Q374">
        <f>_xlfn.XLOOKUP(Orders[[#This Row],[CustomerID]],Customers[CustomerID],Customers[CustomerAge])</f>
        <v>35</v>
      </c>
      <c r="R374" t="str">
        <f>IF(Orders[[#This Row],[CustomerAge]]&gt;=35, "Older", "Young")</f>
        <v>Older</v>
      </c>
      <c r="S374" t="str">
        <f>_xlfn.XLOOKUP(Orders[[#This Row],[ProductID]],Products[ProductID],Products[ProductName])</f>
        <v>Gold Bracelets</v>
      </c>
      <c r="T374" t="str">
        <f>_xlfn.XLOOKUP(Orders[[#This Row],[ProductID]],Products[ProductID],Products[Category])</f>
        <v>Accessories</v>
      </c>
    </row>
    <row r="375" spans="1:20" x14ac:dyDescent="0.25">
      <c r="A375" s="4" t="s">
        <v>554</v>
      </c>
      <c r="B375" s="5">
        <v>46003</v>
      </c>
      <c r="C375" s="15">
        <f>WEEKNUM(Orders[[#This Row],[OrderDate]])</f>
        <v>50</v>
      </c>
      <c r="D375" s="15" t="str">
        <f>TEXT(Orders[[#This Row],[OrderDate]],"mmmm")</f>
        <v>December</v>
      </c>
      <c r="E375" s="4" t="s">
        <v>87</v>
      </c>
      <c r="F375" s="4" t="s">
        <v>57</v>
      </c>
      <c r="G375" s="4">
        <v>6</v>
      </c>
      <c r="H375" s="12">
        <v>4822.7</v>
      </c>
      <c r="I375" s="13">
        <v>4099.2950000000001</v>
      </c>
      <c r="J375" s="13">
        <f>Orders[[#This Row],[Quantity]]*Orders[[#This Row],[Selling Price]]</f>
        <v>28936.199999999997</v>
      </c>
      <c r="K375" s="13">
        <f>Orders[[#This Row],[Quantity]]*Orders[[#This Row],[Cost Price]]</f>
        <v>24595.77</v>
      </c>
      <c r="L375" s="13">
        <f>Orders[[#This Row],[Revenue]]-Orders[[#This Row],[Expenses]]</f>
        <v>4340.4299999999967</v>
      </c>
      <c r="M375" t="s">
        <v>2204</v>
      </c>
      <c r="N375" t="str">
        <f>_xlfn.XLOOKUP(Orders[[#This Row],[CustomerID]],Customers[CustomerID],Customers[CustomerName])</f>
        <v>Efe Igwe</v>
      </c>
      <c r="O375" t="str">
        <f>_xlfn.XLOOKUP(Orders[[#This Row],[CustomerID]],Customers[CustomerID],Customers[City])</f>
        <v>Illinois</v>
      </c>
      <c r="P375" t="str">
        <f>_xlfn.XLOOKUP(Orders[[#This Row],[CustomerID]],Customers[CustomerID],Customers[Gender])</f>
        <v>Female</v>
      </c>
      <c r="Q375">
        <f>_xlfn.XLOOKUP(Orders[[#This Row],[CustomerID]],Customers[CustomerID],Customers[CustomerAge])</f>
        <v>34</v>
      </c>
      <c r="R375" t="str">
        <f>IF(Orders[[#This Row],[CustomerAge]]&gt;=35, "Older", "Young")</f>
        <v>Young</v>
      </c>
      <c r="S375" t="str">
        <f>_xlfn.XLOOKUP(Orders[[#This Row],[ProductID]],Products[ProductID],Products[ProductName])</f>
        <v>Badminton Racket</v>
      </c>
      <c r="T375" t="str">
        <f>_xlfn.XLOOKUP(Orders[[#This Row],[ProductID]],Products[ProductID],Products[Category])</f>
        <v>Sports</v>
      </c>
    </row>
    <row r="376" spans="1:20" x14ac:dyDescent="0.25">
      <c r="A376" s="4" t="s">
        <v>555</v>
      </c>
      <c r="B376" s="5">
        <v>46018</v>
      </c>
      <c r="C376" s="15">
        <f>WEEKNUM(Orders[[#This Row],[OrderDate]])</f>
        <v>52</v>
      </c>
      <c r="D376" s="15" t="str">
        <f>TEXT(Orders[[#This Row],[OrderDate]],"mmmm")</f>
        <v>December</v>
      </c>
      <c r="E376" s="4" t="s">
        <v>17</v>
      </c>
      <c r="F376" s="4" t="s">
        <v>84</v>
      </c>
      <c r="G376" s="4">
        <v>2</v>
      </c>
      <c r="H376" s="12">
        <v>13934.5</v>
      </c>
      <c r="I376" s="13">
        <v>11844.325000000001</v>
      </c>
      <c r="J376" s="13">
        <f>Orders[[#This Row],[Quantity]]*Orders[[#This Row],[Selling Price]]</f>
        <v>27869</v>
      </c>
      <c r="K376" s="13">
        <f>Orders[[#This Row],[Quantity]]*Orders[[#This Row],[Cost Price]]</f>
        <v>23688.65</v>
      </c>
      <c r="L376" s="13">
        <f>Orders[[#This Row],[Revenue]]-Orders[[#This Row],[Expenses]]</f>
        <v>4180.3499999999985</v>
      </c>
      <c r="M376" t="s">
        <v>2216</v>
      </c>
      <c r="N376" t="str">
        <f>_xlfn.XLOOKUP(Orders[[#This Row],[CustomerID]],Customers[CustomerID],Customers[CustomerName])</f>
        <v>Bisi Adeyemi</v>
      </c>
      <c r="O376" t="str">
        <f>_xlfn.XLOOKUP(Orders[[#This Row],[CustomerID]],Customers[CustomerID],Customers[City])</f>
        <v>Illinois</v>
      </c>
      <c r="P376" t="str">
        <f>_xlfn.XLOOKUP(Orders[[#This Row],[CustomerID]],Customers[CustomerID],Customers[Gender])</f>
        <v>Female</v>
      </c>
      <c r="Q376">
        <f>_xlfn.XLOOKUP(Orders[[#This Row],[CustomerID]],Customers[CustomerID],Customers[CustomerAge])</f>
        <v>48</v>
      </c>
      <c r="R376" t="str">
        <f>IF(Orders[[#This Row],[CustomerAge]]&gt;=35, "Older", "Young")</f>
        <v>Older</v>
      </c>
      <c r="S376" t="str">
        <f>_xlfn.XLOOKUP(Orders[[#This Row],[ProductID]],Products[ProductID],Products[ProductName])</f>
        <v>Gym Wears</v>
      </c>
      <c r="T376" t="str">
        <f>_xlfn.XLOOKUP(Orders[[#This Row],[ProductID]],Products[ProductID],Products[Category])</f>
        <v>Clothing</v>
      </c>
    </row>
    <row r="377" spans="1:20" x14ac:dyDescent="0.25">
      <c r="A377" s="4" t="s">
        <v>556</v>
      </c>
      <c r="B377" s="5">
        <v>45942</v>
      </c>
      <c r="C377" s="15">
        <f>WEEKNUM(Orders[[#This Row],[OrderDate]])</f>
        <v>42</v>
      </c>
      <c r="D377" s="15" t="str">
        <f>TEXT(Orders[[#This Row],[OrderDate]],"mmmm")</f>
        <v>October</v>
      </c>
      <c r="E377" s="4" t="s">
        <v>309</v>
      </c>
      <c r="F377" s="4" t="s">
        <v>84</v>
      </c>
      <c r="G377" s="4">
        <v>5</v>
      </c>
      <c r="H377" s="12">
        <v>9378</v>
      </c>
      <c r="I377" s="13">
        <v>7971.3</v>
      </c>
      <c r="J377" s="13">
        <f>Orders[[#This Row],[Quantity]]*Orders[[#This Row],[Selling Price]]</f>
        <v>46890</v>
      </c>
      <c r="K377" s="13">
        <f>Orders[[#This Row],[Quantity]]*Orders[[#This Row],[Cost Price]]</f>
        <v>39856.5</v>
      </c>
      <c r="L377" s="13">
        <f>Orders[[#This Row],[Revenue]]-Orders[[#This Row],[Expenses]]</f>
        <v>7033.5</v>
      </c>
      <c r="M377" t="s">
        <v>2205</v>
      </c>
      <c r="N377" t="str">
        <f>_xlfn.XLOOKUP(Orders[[#This Row],[CustomerID]],Customers[CustomerID],Customers[CustomerName])</f>
        <v>Temi Ojo</v>
      </c>
      <c r="O377" t="str">
        <f>_xlfn.XLOOKUP(Orders[[#This Row],[CustomerID]],Customers[CustomerID],Customers[City])</f>
        <v>Washington</v>
      </c>
      <c r="P377" t="str">
        <f>_xlfn.XLOOKUP(Orders[[#This Row],[CustomerID]],Customers[CustomerID],Customers[Gender])</f>
        <v>Female</v>
      </c>
      <c r="Q377">
        <f>_xlfn.XLOOKUP(Orders[[#This Row],[CustomerID]],Customers[CustomerID],Customers[CustomerAge])</f>
        <v>36</v>
      </c>
      <c r="R377" t="str">
        <f>IF(Orders[[#This Row],[CustomerAge]]&gt;=35, "Older", "Young")</f>
        <v>Older</v>
      </c>
      <c r="S377" t="str">
        <f>_xlfn.XLOOKUP(Orders[[#This Row],[ProductID]],Products[ProductID],Products[ProductName])</f>
        <v>Gym Wears</v>
      </c>
      <c r="T377" t="str">
        <f>_xlfn.XLOOKUP(Orders[[#This Row],[ProductID]],Products[ProductID],Products[Category])</f>
        <v>Clothing</v>
      </c>
    </row>
    <row r="378" spans="1:20" x14ac:dyDescent="0.25">
      <c r="A378" s="4" t="s">
        <v>557</v>
      </c>
      <c r="B378" s="5">
        <v>46013</v>
      </c>
      <c r="C378" s="15">
        <f>WEEKNUM(Orders[[#This Row],[OrderDate]])</f>
        <v>52</v>
      </c>
      <c r="D378" s="15" t="str">
        <f>TEXT(Orders[[#This Row],[OrderDate]],"mmmm")</f>
        <v>December</v>
      </c>
      <c r="E378" s="4" t="s">
        <v>272</v>
      </c>
      <c r="F378" s="4" t="s">
        <v>9</v>
      </c>
      <c r="G378" s="4">
        <v>4</v>
      </c>
      <c r="H378" s="12">
        <v>6823.4000000000005</v>
      </c>
      <c r="I378" s="13">
        <v>5799.89</v>
      </c>
      <c r="J378" s="13">
        <f>Orders[[#This Row],[Quantity]]*Orders[[#This Row],[Selling Price]]</f>
        <v>27293.600000000002</v>
      </c>
      <c r="K378" s="13">
        <f>Orders[[#This Row],[Quantity]]*Orders[[#This Row],[Cost Price]]</f>
        <v>23199.56</v>
      </c>
      <c r="L378" s="13">
        <f>Orders[[#This Row],[Revenue]]-Orders[[#This Row],[Expenses]]</f>
        <v>4094.0400000000009</v>
      </c>
      <c r="M378" t="s">
        <v>2213</v>
      </c>
      <c r="N378" t="str">
        <f>_xlfn.XLOOKUP(Orders[[#This Row],[CustomerID]],Customers[CustomerID],Customers[CustomerName])</f>
        <v>Blessing Bello</v>
      </c>
      <c r="O378" t="str">
        <f>_xlfn.XLOOKUP(Orders[[#This Row],[CustomerID]],Customers[CustomerID],Customers[City])</f>
        <v>Florida</v>
      </c>
      <c r="P378" t="str">
        <f>_xlfn.XLOOKUP(Orders[[#This Row],[CustomerID]],Customers[CustomerID],Customers[Gender])</f>
        <v>Female</v>
      </c>
      <c r="Q378">
        <f>_xlfn.XLOOKUP(Orders[[#This Row],[CustomerID]],Customers[CustomerID],Customers[CustomerAge])</f>
        <v>38</v>
      </c>
      <c r="R378" t="str">
        <f>IF(Orders[[#This Row],[CustomerAge]]&gt;=35, "Older", "Young")</f>
        <v>Older</v>
      </c>
      <c r="S378" t="str">
        <f>_xlfn.XLOOKUP(Orders[[#This Row],[ProductID]],Products[ProductID],Products[ProductName])</f>
        <v>Beaded Earrings And Necklaces</v>
      </c>
      <c r="T378" t="str">
        <f>_xlfn.XLOOKUP(Orders[[#This Row],[ProductID]],Products[ProductID],Products[Category])</f>
        <v>Accessories</v>
      </c>
    </row>
    <row r="379" spans="1:20" x14ac:dyDescent="0.25">
      <c r="A379" s="4" t="s">
        <v>558</v>
      </c>
      <c r="B379" s="5">
        <v>45993</v>
      </c>
      <c r="C379" s="15">
        <f>WEEKNUM(Orders[[#This Row],[OrderDate]])</f>
        <v>49</v>
      </c>
      <c r="D379" s="15" t="str">
        <f>TEXT(Orders[[#This Row],[OrderDate]],"mmmm")</f>
        <v>December</v>
      </c>
      <c r="E379" s="4" t="s">
        <v>174</v>
      </c>
      <c r="F379" s="4" t="s">
        <v>232</v>
      </c>
      <c r="G379" s="4">
        <v>6</v>
      </c>
      <c r="H379" s="12">
        <v>7493.2000000000007</v>
      </c>
      <c r="I379" s="13">
        <v>6369.2200000000012</v>
      </c>
      <c r="J379" s="13">
        <f>Orders[[#This Row],[Quantity]]*Orders[[#This Row],[Selling Price]]</f>
        <v>44959.200000000004</v>
      </c>
      <c r="K379" s="13">
        <f>Orders[[#This Row],[Quantity]]*Orders[[#This Row],[Cost Price]]</f>
        <v>38215.320000000007</v>
      </c>
      <c r="L379" s="13">
        <f>Orders[[#This Row],[Revenue]]-Orders[[#This Row],[Expenses]]</f>
        <v>6743.8799999999974</v>
      </c>
      <c r="M379" t="s">
        <v>2199</v>
      </c>
      <c r="N379" t="str">
        <f>_xlfn.XLOOKUP(Orders[[#This Row],[CustomerID]],Customers[CustomerID],Customers[CustomerName])</f>
        <v>Zainab Obi</v>
      </c>
      <c r="O379" t="str">
        <f>_xlfn.XLOOKUP(Orders[[#This Row],[CustomerID]],Customers[CustomerID],Customers[City])</f>
        <v>California</v>
      </c>
      <c r="P379" t="str">
        <f>_xlfn.XLOOKUP(Orders[[#This Row],[CustomerID]],Customers[CustomerID],Customers[Gender])</f>
        <v>Female</v>
      </c>
      <c r="Q379">
        <f>_xlfn.XLOOKUP(Orders[[#This Row],[CustomerID]],Customers[CustomerID],Customers[CustomerAge])</f>
        <v>18</v>
      </c>
      <c r="R379" t="str">
        <f>IF(Orders[[#This Row],[CustomerAge]]&gt;=35, "Older", "Young")</f>
        <v>Young</v>
      </c>
      <c r="S379" t="str">
        <f>_xlfn.XLOOKUP(Orders[[#This Row],[ProductID]],Products[ProductID],Products[ProductName])</f>
        <v>Ankara</v>
      </c>
      <c r="T379" t="str">
        <f>_xlfn.XLOOKUP(Orders[[#This Row],[ProductID]],Products[ProductID],Products[Category])</f>
        <v>Clothing</v>
      </c>
    </row>
    <row r="380" spans="1:20" x14ac:dyDescent="0.25">
      <c r="A380" s="4" t="s">
        <v>559</v>
      </c>
      <c r="B380" s="5">
        <v>45995</v>
      </c>
      <c r="C380" s="15">
        <f>WEEKNUM(Orders[[#This Row],[OrderDate]])</f>
        <v>49</v>
      </c>
      <c r="D380" s="15" t="str">
        <f>TEXT(Orders[[#This Row],[OrderDate]],"mmmm")</f>
        <v>December</v>
      </c>
      <c r="E380" s="4" t="s">
        <v>154</v>
      </c>
      <c r="F380" s="4" t="s">
        <v>353</v>
      </c>
      <c r="G380" s="4">
        <v>7</v>
      </c>
      <c r="H380" s="12">
        <v>4282.5</v>
      </c>
      <c r="I380" s="13">
        <v>3640.125</v>
      </c>
      <c r="J380" s="13">
        <f>Orders[[#This Row],[Quantity]]*Orders[[#This Row],[Selling Price]]</f>
        <v>29977.5</v>
      </c>
      <c r="K380" s="13">
        <f>Orders[[#This Row],[Quantity]]*Orders[[#This Row],[Cost Price]]</f>
        <v>25480.875</v>
      </c>
      <c r="L380" s="13">
        <f>Orders[[#This Row],[Revenue]]-Orders[[#This Row],[Expenses]]</f>
        <v>4496.625</v>
      </c>
      <c r="M380" t="s">
        <v>2217</v>
      </c>
      <c r="N380" t="str">
        <f>_xlfn.XLOOKUP(Orders[[#This Row],[CustomerID]],Customers[CustomerID],Customers[CustomerName])</f>
        <v>Ronke Danladi</v>
      </c>
      <c r="O380" t="str">
        <f>_xlfn.XLOOKUP(Orders[[#This Row],[CustomerID]],Customers[CustomerID],Customers[City])</f>
        <v>Illinois</v>
      </c>
      <c r="P380" t="str">
        <f>_xlfn.XLOOKUP(Orders[[#This Row],[CustomerID]],Customers[CustomerID],Customers[Gender])</f>
        <v>Female</v>
      </c>
      <c r="Q380">
        <f>_xlfn.XLOOKUP(Orders[[#This Row],[CustomerID]],Customers[CustomerID],Customers[CustomerAge])</f>
        <v>46</v>
      </c>
      <c r="R380" t="str">
        <f>IF(Orders[[#This Row],[CustomerAge]]&gt;=35, "Older", "Young")</f>
        <v>Older</v>
      </c>
      <c r="S380" t="str">
        <f>_xlfn.XLOOKUP(Orders[[#This Row],[ProductID]],Products[ProductID],Products[ProductName])</f>
        <v>Silver Earrings And Necklaces</v>
      </c>
      <c r="T380" t="str">
        <f>_xlfn.XLOOKUP(Orders[[#This Row],[ProductID]],Products[ProductID],Products[Category])</f>
        <v>Accessories</v>
      </c>
    </row>
    <row r="381" spans="1:20" x14ac:dyDescent="0.25">
      <c r="A381" s="4" t="s">
        <v>560</v>
      </c>
      <c r="B381" s="5">
        <v>45984</v>
      </c>
      <c r="C381" s="15">
        <f>WEEKNUM(Orders[[#This Row],[OrderDate]])</f>
        <v>48</v>
      </c>
      <c r="D381" s="15" t="str">
        <f>TEXT(Orders[[#This Row],[OrderDate]],"mmmm")</f>
        <v>November</v>
      </c>
      <c r="E381" s="4" t="s">
        <v>239</v>
      </c>
      <c r="F381" s="4" t="s">
        <v>23</v>
      </c>
      <c r="G381" s="4">
        <v>8</v>
      </c>
      <c r="H381" s="12">
        <v>16905.099999999999</v>
      </c>
      <c r="I381" s="13">
        <v>14369.334999999999</v>
      </c>
      <c r="J381" s="13">
        <f>Orders[[#This Row],[Quantity]]*Orders[[#This Row],[Selling Price]]</f>
        <v>135240.79999999999</v>
      </c>
      <c r="K381" s="13">
        <f>Orders[[#This Row],[Quantity]]*Orders[[#This Row],[Cost Price]]</f>
        <v>114954.68</v>
      </c>
      <c r="L381" s="13">
        <f>Orders[[#This Row],[Revenue]]-Orders[[#This Row],[Expenses]]</f>
        <v>20286.119999999995</v>
      </c>
      <c r="M381" t="s">
        <v>2218</v>
      </c>
      <c r="N381" t="str">
        <f>_xlfn.XLOOKUP(Orders[[#This Row],[CustomerID]],Customers[CustomerID],Customers[CustomerName])</f>
        <v>Emeka Danladi</v>
      </c>
      <c r="O381" t="str">
        <f>_xlfn.XLOOKUP(Orders[[#This Row],[CustomerID]],Customers[CustomerID],Customers[City])</f>
        <v>Florida</v>
      </c>
      <c r="P381" t="str">
        <f>_xlfn.XLOOKUP(Orders[[#This Row],[CustomerID]],Customers[CustomerID],Customers[Gender])</f>
        <v>Male</v>
      </c>
      <c r="Q381">
        <f>_xlfn.XLOOKUP(Orders[[#This Row],[CustomerID]],Customers[CustomerID],Customers[CustomerAge])</f>
        <v>23</v>
      </c>
      <c r="R381" t="str">
        <f>IF(Orders[[#This Row],[CustomerAge]]&gt;=35, "Older", "Young")</f>
        <v>Young</v>
      </c>
      <c r="S381" t="str">
        <f>_xlfn.XLOOKUP(Orders[[#This Row],[ProductID]],Products[ProductID],Products[ProductName])</f>
        <v>Gym Gloves</v>
      </c>
      <c r="T381" t="str">
        <f>_xlfn.XLOOKUP(Orders[[#This Row],[ProductID]],Products[ProductID],Products[Category])</f>
        <v>Gym</v>
      </c>
    </row>
    <row r="382" spans="1:20" x14ac:dyDescent="0.25">
      <c r="A382" s="4" t="s">
        <v>561</v>
      </c>
      <c r="B382" s="5">
        <v>45988</v>
      </c>
      <c r="C382" s="15">
        <f>WEEKNUM(Orders[[#This Row],[OrderDate]])</f>
        <v>48</v>
      </c>
      <c r="D382" s="15" t="str">
        <f>TEXT(Orders[[#This Row],[OrderDate]],"mmmm")</f>
        <v>November</v>
      </c>
      <c r="E382" s="4" t="s">
        <v>174</v>
      </c>
      <c r="F382" s="4" t="s">
        <v>84</v>
      </c>
      <c r="G382" s="4">
        <v>1</v>
      </c>
      <c r="H382" s="12">
        <v>12632.6</v>
      </c>
      <c r="I382" s="13">
        <v>10737.710000000001</v>
      </c>
      <c r="J382" s="13">
        <f>Orders[[#This Row],[Quantity]]*Orders[[#This Row],[Selling Price]]</f>
        <v>12632.6</v>
      </c>
      <c r="K382" s="13">
        <f>Orders[[#This Row],[Quantity]]*Orders[[#This Row],[Cost Price]]</f>
        <v>10737.710000000001</v>
      </c>
      <c r="L382" s="13">
        <f>Orders[[#This Row],[Revenue]]-Orders[[#This Row],[Expenses]]</f>
        <v>1894.8899999999994</v>
      </c>
      <c r="M382" t="s">
        <v>2215</v>
      </c>
      <c r="N382" t="str">
        <f>_xlfn.XLOOKUP(Orders[[#This Row],[CustomerID]],Customers[CustomerID],Customers[CustomerName])</f>
        <v>Zainab Obi</v>
      </c>
      <c r="O382" t="str">
        <f>_xlfn.XLOOKUP(Orders[[#This Row],[CustomerID]],Customers[CustomerID],Customers[City])</f>
        <v>California</v>
      </c>
      <c r="P382" t="str">
        <f>_xlfn.XLOOKUP(Orders[[#This Row],[CustomerID]],Customers[CustomerID],Customers[Gender])</f>
        <v>Female</v>
      </c>
      <c r="Q382">
        <f>_xlfn.XLOOKUP(Orders[[#This Row],[CustomerID]],Customers[CustomerID],Customers[CustomerAge])</f>
        <v>18</v>
      </c>
      <c r="R382" t="str">
        <f>IF(Orders[[#This Row],[CustomerAge]]&gt;=35, "Older", "Young")</f>
        <v>Young</v>
      </c>
      <c r="S382" t="str">
        <f>_xlfn.XLOOKUP(Orders[[#This Row],[ProductID]],Products[ProductID],Products[ProductName])</f>
        <v>Gym Wears</v>
      </c>
      <c r="T382" t="str">
        <f>_xlfn.XLOOKUP(Orders[[#This Row],[ProductID]],Products[ProductID],Products[Category])</f>
        <v>Clothing</v>
      </c>
    </row>
    <row r="383" spans="1:20" x14ac:dyDescent="0.25">
      <c r="A383" s="4" t="s">
        <v>562</v>
      </c>
      <c r="B383" s="5">
        <v>46014</v>
      </c>
      <c r="C383" s="15">
        <f>WEEKNUM(Orders[[#This Row],[OrderDate]])</f>
        <v>52</v>
      </c>
      <c r="D383" s="15" t="str">
        <f>TEXT(Orders[[#This Row],[OrderDate]],"mmmm")</f>
        <v>December</v>
      </c>
      <c r="E383" s="4" t="s">
        <v>295</v>
      </c>
      <c r="F383" s="4" t="s">
        <v>66</v>
      </c>
      <c r="G383" s="4">
        <v>7</v>
      </c>
      <c r="H383" s="12">
        <v>3655.8999999999996</v>
      </c>
      <c r="I383" s="13">
        <v>3107.5149999999999</v>
      </c>
      <c r="J383" s="13">
        <f>Orders[[#This Row],[Quantity]]*Orders[[#This Row],[Selling Price]]</f>
        <v>25591.299999999996</v>
      </c>
      <c r="K383" s="13">
        <f>Orders[[#This Row],[Quantity]]*Orders[[#This Row],[Cost Price]]</f>
        <v>21752.605</v>
      </c>
      <c r="L383" s="13">
        <f>Orders[[#This Row],[Revenue]]-Orders[[#This Row],[Expenses]]</f>
        <v>3838.6949999999961</v>
      </c>
      <c r="M383" t="s">
        <v>2197</v>
      </c>
      <c r="N383" t="str">
        <f>_xlfn.XLOOKUP(Orders[[#This Row],[CustomerID]],Customers[CustomerID],Customers[CustomerName])</f>
        <v>Sani Obi</v>
      </c>
      <c r="O383" t="str">
        <f>_xlfn.XLOOKUP(Orders[[#This Row],[CustomerID]],Customers[CustomerID],Customers[City])</f>
        <v>Texas</v>
      </c>
      <c r="P383" t="str">
        <f>_xlfn.XLOOKUP(Orders[[#This Row],[CustomerID]],Customers[CustomerID],Customers[Gender])</f>
        <v>Male</v>
      </c>
      <c r="Q383">
        <f>_xlfn.XLOOKUP(Orders[[#This Row],[CustomerID]],Customers[CustomerID],Customers[CustomerAge])</f>
        <v>31</v>
      </c>
      <c r="R383" t="str">
        <f>IF(Orders[[#This Row],[CustomerAge]]&gt;=35, "Older", "Young")</f>
        <v>Young</v>
      </c>
      <c r="S383" t="str">
        <f>_xlfn.XLOOKUP(Orders[[#This Row],[ProductID]],Products[ProductID],Products[ProductName])</f>
        <v>Microwave</v>
      </c>
      <c r="T383" t="str">
        <f>_xlfn.XLOOKUP(Orders[[#This Row],[ProductID]],Products[ProductID],Products[Category])</f>
        <v>Electronics</v>
      </c>
    </row>
    <row r="384" spans="1:20" x14ac:dyDescent="0.25">
      <c r="A384" s="4" t="s">
        <v>563</v>
      </c>
      <c r="B384" s="5">
        <v>45943</v>
      </c>
      <c r="C384" s="15">
        <f>WEEKNUM(Orders[[#This Row],[OrderDate]])</f>
        <v>42</v>
      </c>
      <c r="D384" s="15" t="str">
        <f>TEXT(Orders[[#This Row],[OrderDate]],"mmmm")</f>
        <v>October</v>
      </c>
      <c r="E384" s="4" t="s">
        <v>564</v>
      </c>
      <c r="F384" s="4" t="s">
        <v>23</v>
      </c>
      <c r="G384" s="4">
        <v>8</v>
      </c>
      <c r="H384" s="12">
        <v>11452.1</v>
      </c>
      <c r="I384" s="13">
        <v>9734.2849999999999</v>
      </c>
      <c r="J384" s="13">
        <f>Orders[[#This Row],[Quantity]]*Orders[[#This Row],[Selling Price]]</f>
        <v>91616.8</v>
      </c>
      <c r="K384" s="13">
        <f>Orders[[#This Row],[Quantity]]*Orders[[#This Row],[Cost Price]]</f>
        <v>77874.28</v>
      </c>
      <c r="L384" s="13">
        <f>Orders[[#This Row],[Revenue]]-Orders[[#This Row],[Expenses]]</f>
        <v>13742.520000000004</v>
      </c>
      <c r="M384" t="s">
        <v>2204</v>
      </c>
      <c r="N384" t="str">
        <f>_xlfn.XLOOKUP(Orders[[#This Row],[CustomerID]],Customers[CustomerID],Customers[CustomerName])</f>
        <v>Blessing Eze</v>
      </c>
      <c r="O384" t="str">
        <f>_xlfn.XLOOKUP(Orders[[#This Row],[CustomerID]],Customers[CustomerID],Customers[City])</f>
        <v>Georgia</v>
      </c>
      <c r="P384" t="str">
        <f>_xlfn.XLOOKUP(Orders[[#This Row],[CustomerID]],Customers[CustomerID],Customers[Gender])</f>
        <v>Female</v>
      </c>
      <c r="Q384">
        <f>_xlfn.XLOOKUP(Orders[[#This Row],[CustomerID]],Customers[CustomerID],Customers[CustomerAge])</f>
        <v>19</v>
      </c>
      <c r="R384" t="str">
        <f>IF(Orders[[#This Row],[CustomerAge]]&gt;=35, "Older", "Young")</f>
        <v>Young</v>
      </c>
      <c r="S384" t="str">
        <f>_xlfn.XLOOKUP(Orders[[#This Row],[ProductID]],Products[ProductID],Products[ProductName])</f>
        <v>Gym Gloves</v>
      </c>
      <c r="T384" t="str">
        <f>_xlfn.XLOOKUP(Orders[[#This Row],[ProductID]],Products[ProductID],Products[Category])</f>
        <v>Gym</v>
      </c>
    </row>
    <row r="385" spans="1:20" x14ac:dyDescent="0.25">
      <c r="A385" s="4" t="s">
        <v>565</v>
      </c>
      <c r="B385" s="5">
        <v>45976</v>
      </c>
      <c r="C385" s="15">
        <f>WEEKNUM(Orders[[#This Row],[OrderDate]])</f>
        <v>46</v>
      </c>
      <c r="D385" s="15" t="str">
        <f>TEXT(Orders[[#This Row],[OrderDate]],"mmmm")</f>
        <v>November</v>
      </c>
      <c r="E385" s="4" t="s">
        <v>410</v>
      </c>
      <c r="F385" s="4" t="s">
        <v>84</v>
      </c>
      <c r="G385" s="4">
        <v>5</v>
      </c>
      <c r="H385" s="12">
        <v>18578</v>
      </c>
      <c r="I385" s="13">
        <v>15791.3</v>
      </c>
      <c r="J385" s="13">
        <f>Orders[[#This Row],[Quantity]]*Orders[[#This Row],[Selling Price]]</f>
        <v>92890</v>
      </c>
      <c r="K385" s="13">
        <f>Orders[[#This Row],[Quantity]]*Orders[[#This Row],[Cost Price]]</f>
        <v>78956.5</v>
      </c>
      <c r="L385" s="13">
        <f>Orders[[#This Row],[Revenue]]-Orders[[#This Row],[Expenses]]</f>
        <v>13933.5</v>
      </c>
      <c r="M385" t="s">
        <v>2220</v>
      </c>
      <c r="N385" t="str">
        <f>_xlfn.XLOOKUP(Orders[[#This Row],[CustomerID]],Customers[CustomerID],Customers[CustomerName])</f>
        <v>Jane Thomas</v>
      </c>
      <c r="O385" t="str">
        <f>_xlfn.XLOOKUP(Orders[[#This Row],[CustomerID]],Customers[CustomerID],Customers[City])</f>
        <v>Texas</v>
      </c>
      <c r="P385" t="str">
        <f>_xlfn.XLOOKUP(Orders[[#This Row],[CustomerID]],Customers[CustomerID],Customers[Gender])</f>
        <v>Male</v>
      </c>
      <c r="Q385">
        <f>_xlfn.XLOOKUP(Orders[[#This Row],[CustomerID]],Customers[CustomerID],Customers[CustomerAge])</f>
        <v>21</v>
      </c>
      <c r="R385" t="str">
        <f>IF(Orders[[#This Row],[CustomerAge]]&gt;=35, "Older", "Young")</f>
        <v>Young</v>
      </c>
      <c r="S385" t="str">
        <f>_xlfn.XLOOKUP(Orders[[#This Row],[ProductID]],Products[ProductID],Products[ProductName])</f>
        <v>Gym Wears</v>
      </c>
      <c r="T385" t="str">
        <f>_xlfn.XLOOKUP(Orders[[#This Row],[ProductID]],Products[ProductID],Products[Category])</f>
        <v>Clothing</v>
      </c>
    </row>
    <row r="386" spans="1:20" x14ac:dyDescent="0.25">
      <c r="A386" s="4" t="s">
        <v>566</v>
      </c>
      <c r="B386" s="5">
        <v>46010</v>
      </c>
      <c r="C386" s="15">
        <f>WEEKNUM(Orders[[#This Row],[OrderDate]])</f>
        <v>51</v>
      </c>
      <c r="D386" s="15" t="str">
        <f>TEXT(Orders[[#This Row],[OrderDate]],"mmmm")</f>
        <v>December</v>
      </c>
      <c r="E386" s="4" t="s">
        <v>346</v>
      </c>
      <c r="F386" s="4" t="s">
        <v>23</v>
      </c>
      <c r="G386" s="4">
        <v>10</v>
      </c>
      <c r="H386" s="12">
        <v>19204.400000000001</v>
      </c>
      <c r="I386" s="13">
        <v>16323.740000000002</v>
      </c>
      <c r="J386" s="13">
        <f>Orders[[#This Row],[Quantity]]*Orders[[#This Row],[Selling Price]]</f>
        <v>192044</v>
      </c>
      <c r="K386" s="13">
        <f>Orders[[#This Row],[Quantity]]*Orders[[#This Row],[Cost Price]]</f>
        <v>163237.40000000002</v>
      </c>
      <c r="L386" s="13">
        <f>Orders[[#This Row],[Revenue]]-Orders[[#This Row],[Expenses]]</f>
        <v>28806.599999999977</v>
      </c>
      <c r="M386" t="s">
        <v>2202</v>
      </c>
      <c r="N386" t="str">
        <f>_xlfn.XLOOKUP(Orders[[#This Row],[CustomerID]],Customers[CustomerID],Customers[CustomerName])</f>
        <v>Ngozi Danladi</v>
      </c>
      <c r="O386" t="str">
        <f>_xlfn.XLOOKUP(Orders[[#This Row],[CustomerID]],Customers[CustomerID],Customers[City])</f>
        <v>California</v>
      </c>
      <c r="P386" t="str">
        <f>_xlfn.XLOOKUP(Orders[[#This Row],[CustomerID]],Customers[CustomerID],Customers[Gender])</f>
        <v>Female</v>
      </c>
      <c r="Q386">
        <f>_xlfn.XLOOKUP(Orders[[#This Row],[CustomerID]],Customers[CustomerID],Customers[CustomerAge])</f>
        <v>30</v>
      </c>
      <c r="R386" t="str">
        <f>IF(Orders[[#This Row],[CustomerAge]]&gt;=35, "Older", "Young")</f>
        <v>Young</v>
      </c>
      <c r="S386" t="str">
        <f>_xlfn.XLOOKUP(Orders[[#This Row],[ProductID]],Products[ProductID],Products[ProductName])</f>
        <v>Gym Gloves</v>
      </c>
      <c r="T386" t="str">
        <f>_xlfn.XLOOKUP(Orders[[#This Row],[ProductID]],Products[ProductID],Products[Category])</f>
        <v>Gym</v>
      </c>
    </row>
    <row r="387" spans="1:20" x14ac:dyDescent="0.25">
      <c r="A387" s="4" t="s">
        <v>567</v>
      </c>
      <c r="B387" s="5">
        <v>45998</v>
      </c>
      <c r="C387" s="15">
        <f>WEEKNUM(Orders[[#This Row],[OrderDate]])</f>
        <v>50</v>
      </c>
      <c r="D387" s="15" t="str">
        <f>TEXT(Orders[[#This Row],[OrderDate]],"mmmm")</f>
        <v>December</v>
      </c>
      <c r="E387" s="4" t="s">
        <v>62</v>
      </c>
      <c r="F387" s="4" t="s">
        <v>125</v>
      </c>
      <c r="G387" s="4">
        <v>10</v>
      </c>
      <c r="H387" s="12">
        <v>7874.9</v>
      </c>
      <c r="I387" s="13">
        <v>6693.665</v>
      </c>
      <c r="J387" s="13">
        <f>Orders[[#This Row],[Quantity]]*Orders[[#This Row],[Selling Price]]</f>
        <v>78749</v>
      </c>
      <c r="K387" s="13">
        <f>Orders[[#This Row],[Quantity]]*Orders[[#This Row],[Cost Price]]</f>
        <v>66936.649999999994</v>
      </c>
      <c r="L387" s="13">
        <f>Orders[[#This Row],[Revenue]]-Orders[[#This Row],[Expenses]]</f>
        <v>11812.350000000006</v>
      </c>
      <c r="M387" t="s">
        <v>2202</v>
      </c>
      <c r="N387" t="str">
        <f>_xlfn.XLOOKUP(Orders[[#This Row],[CustomerID]],Customers[CustomerID],Customers[CustomerName])</f>
        <v>Ronke Okonkwo</v>
      </c>
      <c r="O387" t="str">
        <f>_xlfn.XLOOKUP(Orders[[#This Row],[CustomerID]],Customers[CustomerID],Customers[City])</f>
        <v>Texas</v>
      </c>
      <c r="P387" t="str">
        <f>_xlfn.XLOOKUP(Orders[[#This Row],[CustomerID]],Customers[CustomerID],Customers[Gender])</f>
        <v>Female</v>
      </c>
      <c r="Q387">
        <f>_xlfn.XLOOKUP(Orders[[#This Row],[CustomerID]],Customers[CustomerID],Customers[CustomerAge])</f>
        <v>36</v>
      </c>
      <c r="R387" t="str">
        <f>IF(Orders[[#This Row],[CustomerAge]]&gt;=35, "Older", "Young")</f>
        <v>Older</v>
      </c>
      <c r="S387" t="str">
        <f>_xlfn.XLOOKUP(Orders[[#This Row],[ProductID]],Products[ProductID],Products[ProductName])</f>
        <v>Earrings</v>
      </c>
      <c r="T387" t="str">
        <f>_xlfn.XLOOKUP(Orders[[#This Row],[ProductID]],Products[ProductID],Products[Category])</f>
        <v>Accessories</v>
      </c>
    </row>
    <row r="388" spans="1:20" x14ac:dyDescent="0.25">
      <c r="A388" s="4" t="s">
        <v>568</v>
      </c>
      <c r="B388" s="5">
        <v>45931</v>
      </c>
      <c r="C388" s="15">
        <f>WEEKNUM(Orders[[#This Row],[OrderDate]])</f>
        <v>40</v>
      </c>
      <c r="D388" s="15" t="str">
        <f>TEXT(Orders[[#This Row],[OrderDate]],"mmmm")</f>
        <v>October</v>
      </c>
      <c r="E388" s="4" t="s">
        <v>374</v>
      </c>
      <c r="F388" s="4" t="s">
        <v>20</v>
      </c>
      <c r="G388" s="4">
        <v>5</v>
      </c>
      <c r="H388" s="12">
        <v>16275.5</v>
      </c>
      <c r="I388" s="13">
        <v>13834.174999999999</v>
      </c>
      <c r="J388" s="13">
        <f>Orders[[#This Row],[Quantity]]*Orders[[#This Row],[Selling Price]]</f>
        <v>81377.5</v>
      </c>
      <c r="K388" s="13">
        <f>Orders[[#This Row],[Quantity]]*Orders[[#This Row],[Cost Price]]</f>
        <v>69170.875</v>
      </c>
      <c r="L388" s="13">
        <f>Orders[[#This Row],[Revenue]]-Orders[[#This Row],[Expenses]]</f>
        <v>12206.625</v>
      </c>
      <c r="M388" t="s">
        <v>2215</v>
      </c>
      <c r="N388" t="str">
        <f>_xlfn.XLOOKUP(Orders[[#This Row],[CustomerID]],Customers[CustomerID],Customers[CustomerName])</f>
        <v>Uche Okonkwo</v>
      </c>
      <c r="O388" t="str">
        <f>_xlfn.XLOOKUP(Orders[[#This Row],[CustomerID]],Customers[CustomerID],Customers[City])</f>
        <v>Texas</v>
      </c>
      <c r="P388" t="str">
        <f>_xlfn.XLOOKUP(Orders[[#This Row],[CustomerID]],Customers[CustomerID],Customers[Gender])</f>
        <v>Male</v>
      </c>
      <c r="Q388">
        <f>_xlfn.XLOOKUP(Orders[[#This Row],[CustomerID]],Customers[CustomerID],Customers[CustomerAge])</f>
        <v>27</v>
      </c>
      <c r="R388" t="str">
        <f>IF(Orders[[#This Row],[CustomerAge]]&gt;=35, "Older", "Young")</f>
        <v>Young</v>
      </c>
      <c r="S388" t="str">
        <f>_xlfn.XLOOKUP(Orders[[#This Row],[ProductID]],Products[ProductID],Products[ProductName])</f>
        <v>Gym Bag</v>
      </c>
      <c r="T388" t="str">
        <f>_xlfn.XLOOKUP(Orders[[#This Row],[ProductID]],Products[ProductID],Products[Category])</f>
        <v>Gym</v>
      </c>
    </row>
    <row r="389" spans="1:20" x14ac:dyDescent="0.25">
      <c r="A389" s="4" t="s">
        <v>569</v>
      </c>
      <c r="B389" s="5">
        <v>45987</v>
      </c>
      <c r="C389" s="15">
        <f>WEEKNUM(Orders[[#This Row],[OrderDate]])</f>
        <v>48</v>
      </c>
      <c r="D389" s="15" t="str">
        <f>TEXT(Orders[[#This Row],[OrderDate]],"mmmm")</f>
        <v>November</v>
      </c>
      <c r="E389" s="4" t="s">
        <v>481</v>
      </c>
      <c r="F389" s="4" t="s">
        <v>111</v>
      </c>
      <c r="G389" s="4">
        <v>3</v>
      </c>
      <c r="H389" s="12">
        <v>16806.5</v>
      </c>
      <c r="I389" s="13">
        <v>14285.525</v>
      </c>
      <c r="J389" s="13">
        <f>Orders[[#This Row],[Quantity]]*Orders[[#This Row],[Selling Price]]</f>
        <v>50419.5</v>
      </c>
      <c r="K389" s="13">
        <f>Orders[[#This Row],[Quantity]]*Orders[[#This Row],[Cost Price]]</f>
        <v>42856.574999999997</v>
      </c>
      <c r="L389" s="13">
        <f>Orders[[#This Row],[Revenue]]-Orders[[#This Row],[Expenses]]</f>
        <v>7562.9250000000029</v>
      </c>
      <c r="M389" t="s">
        <v>2202</v>
      </c>
      <c r="N389" t="str">
        <f>_xlfn.XLOOKUP(Orders[[#This Row],[CustomerID]],Customers[CustomerID],Customers[CustomerName])</f>
        <v>Abiola Bello</v>
      </c>
      <c r="O389" t="str">
        <f>_xlfn.XLOOKUP(Orders[[#This Row],[CustomerID]],Customers[CustomerID],Customers[City])</f>
        <v>Illinois</v>
      </c>
      <c r="P389" t="str">
        <f>_xlfn.XLOOKUP(Orders[[#This Row],[CustomerID]],Customers[CustomerID],Customers[Gender])</f>
        <v>Male</v>
      </c>
      <c r="Q389">
        <f>_xlfn.XLOOKUP(Orders[[#This Row],[CustomerID]],Customers[CustomerID],Customers[CustomerAge])</f>
        <v>33</v>
      </c>
      <c r="R389" t="str">
        <f>IF(Orders[[#This Row],[CustomerAge]]&gt;=35, "Older", "Young")</f>
        <v>Young</v>
      </c>
      <c r="S389" t="str">
        <f>_xlfn.XLOOKUP(Orders[[#This Row],[ProductID]],Products[ProductID],Products[ProductName])</f>
        <v>Refrigerator</v>
      </c>
      <c r="T389" t="str">
        <f>_xlfn.XLOOKUP(Orders[[#This Row],[ProductID]],Products[ProductID],Products[Category])</f>
        <v>Electronics</v>
      </c>
    </row>
    <row r="390" spans="1:20" x14ac:dyDescent="0.25">
      <c r="A390" s="4" t="s">
        <v>570</v>
      </c>
      <c r="B390" s="5">
        <v>45958</v>
      </c>
      <c r="C390" s="15">
        <f>WEEKNUM(Orders[[#This Row],[OrderDate]])</f>
        <v>44</v>
      </c>
      <c r="D390" s="15" t="str">
        <f>TEXT(Orders[[#This Row],[OrderDate]],"mmmm")</f>
        <v>October</v>
      </c>
      <c r="E390" s="4" t="s">
        <v>176</v>
      </c>
      <c r="F390" s="4" t="s">
        <v>60</v>
      </c>
      <c r="G390" s="4">
        <v>6</v>
      </c>
      <c r="H390" s="12">
        <v>7853.0999999999995</v>
      </c>
      <c r="I390" s="13">
        <v>6675.1349999999993</v>
      </c>
      <c r="J390" s="13">
        <f>Orders[[#This Row],[Quantity]]*Orders[[#This Row],[Selling Price]]</f>
        <v>47118.6</v>
      </c>
      <c r="K390" s="13">
        <f>Orders[[#This Row],[Quantity]]*Orders[[#This Row],[Cost Price]]</f>
        <v>40050.81</v>
      </c>
      <c r="L390" s="13">
        <f>Orders[[#This Row],[Revenue]]-Orders[[#This Row],[Expenses]]</f>
        <v>7067.7900000000009</v>
      </c>
      <c r="M390" t="s">
        <v>2193</v>
      </c>
      <c r="N390" t="str">
        <f>_xlfn.XLOOKUP(Orders[[#This Row],[CustomerID]],Customers[CustomerID],Customers[CustomerName])</f>
        <v>Okon Eze</v>
      </c>
      <c r="O390" t="str">
        <f>_xlfn.XLOOKUP(Orders[[#This Row],[CustomerID]],Customers[CustomerID],Customers[City])</f>
        <v>Florida</v>
      </c>
      <c r="P390" t="str">
        <f>_xlfn.XLOOKUP(Orders[[#This Row],[CustomerID]],Customers[CustomerID],Customers[Gender])</f>
        <v>Male</v>
      </c>
      <c r="Q390">
        <f>_xlfn.XLOOKUP(Orders[[#This Row],[CustomerID]],Customers[CustomerID],Customers[CustomerAge])</f>
        <v>26</v>
      </c>
      <c r="R390" t="str">
        <f>IF(Orders[[#This Row],[CustomerAge]]&gt;=35, "Older", "Young")</f>
        <v>Young</v>
      </c>
      <c r="S390" t="str">
        <f>_xlfn.XLOOKUP(Orders[[#This Row],[ProductID]],Products[ProductID],Products[ProductName])</f>
        <v>Silver Rings</v>
      </c>
      <c r="T390" t="str">
        <f>_xlfn.XLOOKUP(Orders[[#This Row],[ProductID]],Products[ProductID],Products[Category])</f>
        <v>Accessories</v>
      </c>
    </row>
    <row r="391" spans="1:20" x14ac:dyDescent="0.25">
      <c r="A391" s="4" t="s">
        <v>571</v>
      </c>
      <c r="B391" s="5">
        <v>45949</v>
      </c>
      <c r="C391" s="15">
        <f>WEEKNUM(Orders[[#This Row],[OrderDate]])</f>
        <v>43</v>
      </c>
      <c r="D391" s="15" t="str">
        <f>TEXT(Orders[[#This Row],[OrderDate]],"mmmm")</f>
        <v>October</v>
      </c>
      <c r="E391" s="4" t="s">
        <v>101</v>
      </c>
      <c r="F391" s="4" t="s">
        <v>60</v>
      </c>
      <c r="G391" s="4">
        <v>7</v>
      </c>
      <c r="H391" s="12">
        <v>6264.4000000000005</v>
      </c>
      <c r="I391" s="13">
        <v>5324.7400000000007</v>
      </c>
      <c r="J391" s="13">
        <f>Orders[[#This Row],[Quantity]]*Orders[[#This Row],[Selling Price]]</f>
        <v>43850.8</v>
      </c>
      <c r="K391" s="13">
        <f>Orders[[#This Row],[Quantity]]*Orders[[#This Row],[Cost Price]]</f>
        <v>37273.180000000008</v>
      </c>
      <c r="L391" s="13">
        <f>Orders[[#This Row],[Revenue]]-Orders[[#This Row],[Expenses]]</f>
        <v>6577.6199999999953</v>
      </c>
      <c r="M391" t="s">
        <v>2201</v>
      </c>
      <c r="N391" t="str">
        <f>_xlfn.XLOOKUP(Orders[[#This Row],[CustomerID]],Customers[CustomerID],Customers[CustomerName])</f>
        <v>Blessing Eze</v>
      </c>
      <c r="O391" t="str">
        <f>_xlfn.XLOOKUP(Orders[[#This Row],[CustomerID]],Customers[CustomerID],Customers[City])</f>
        <v>Texas</v>
      </c>
      <c r="P391" t="str">
        <f>_xlfn.XLOOKUP(Orders[[#This Row],[CustomerID]],Customers[CustomerID],Customers[Gender])</f>
        <v>Female</v>
      </c>
      <c r="Q391">
        <f>_xlfn.XLOOKUP(Orders[[#This Row],[CustomerID]],Customers[CustomerID],Customers[CustomerAge])</f>
        <v>55</v>
      </c>
      <c r="R391" t="str">
        <f>IF(Orders[[#This Row],[CustomerAge]]&gt;=35, "Older", "Young")</f>
        <v>Older</v>
      </c>
      <c r="S391" t="str">
        <f>_xlfn.XLOOKUP(Orders[[#This Row],[ProductID]],Products[ProductID],Products[ProductName])</f>
        <v>Silver Rings</v>
      </c>
      <c r="T391" t="str">
        <f>_xlfn.XLOOKUP(Orders[[#This Row],[ProductID]],Products[ProductID],Products[Category])</f>
        <v>Accessories</v>
      </c>
    </row>
    <row r="392" spans="1:20" x14ac:dyDescent="0.25">
      <c r="A392" s="4" t="s">
        <v>572</v>
      </c>
      <c r="B392" s="5">
        <v>45993</v>
      </c>
      <c r="C392" s="15">
        <f>WEEKNUM(Orders[[#This Row],[OrderDate]])</f>
        <v>49</v>
      </c>
      <c r="D392" s="15" t="str">
        <f>TEXT(Orders[[#This Row],[OrderDate]],"mmmm")</f>
        <v>December</v>
      </c>
      <c r="E392" s="4" t="s">
        <v>439</v>
      </c>
      <c r="F392" s="4" t="s">
        <v>63</v>
      </c>
      <c r="G392" s="4">
        <v>9</v>
      </c>
      <c r="H392" s="12">
        <v>14612.9</v>
      </c>
      <c r="I392" s="13">
        <v>12420.965</v>
      </c>
      <c r="J392" s="13">
        <f>Orders[[#This Row],[Quantity]]*Orders[[#This Row],[Selling Price]]</f>
        <v>131516.1</v>
      </c>
      <c r="K392" s="13">
        <f>Orders[[#This Row],[Quantity]]*Orders[[#This Row],[Cost Price]]</f>
        <v>111788.685</v>
      </c>
      <c r="L392" s="13">
        <f>Orders[[#This Row],[Revenue]]-Orders[[#This Row],[Expenses]]</f>
        <v>19727.415000000008</v>
      </c>
      <c r="M392" t="s">
        <v>2205</v>
      </c>
      <c r="N392" t="str">
        <f>_xlfn.XLOOKUP(Orders[[#This Row],[CustomerID]],Customers[CustomerID],Customers[CustomerName])</f>
        <v>Efe Abubakar</v>
      </c>
      <c r="O392" t="str">
        <f>_xlfn.XLOOKUP(Orders[[#This Row],[CustomerID]],Customers[CustomerID],Customers[City])</f>
        <v>Texas</v>
      </c>
      <c r="P392" t="str">
        <f>_xlfn.XLOOKUP(Orders[[#This Row],[CustomerID]],Customers[CustomerID],Customers[Gender])</f>
        <v>Female</v>
      </c>
      <c r="Q392">
        <f>_xlfn.XLOOKUP(Orders[[#This Row],[CustomerID]],Customers[CustomerID],Customers[CustomerAge])</f>
        <v>50</v>
      </c>
      <c r="R392" t="str">
        <f>IF(Orders[[#This Row],[CustomerAge]]&gt;=35, "Older", "Young")</f>
        <v>Older</v>
      </c>
      <c r="S392" t="str">
        <f>_xlfn.XLOOKUP(Orders[[#This Row],[ProductID]],Products[ProductID],Products[ProductName])</f>
        <v>Tennis Bat</v>
      </c>
      <c r="T392" t="str">
        <f>_xlfn.XLOOKUP(Orders[[#This Row],[ProductID]],Products[ProductID],Products[Category])</f>
        <v>Sports</v>
      </c>
    </row>
    <row r="393" spans="1:20" x14ac:dyDescent="0.25">
      <c r="A393" s="4" t="s">
        <v>573</v>
      </c>
      <c r="B393" s="5">
        <v>45983</v>
      </c>
      <c r="C393" s="15">
        <f>WEEKNUM(Orders[[#This Row],[OrderDate]])</f>
        <v>47</v>
      </c>
      <c r="D393" s="15" t="str">
        <f>TEXT(Orders[[#This Row],[OrderDate]],"mmmm")</f>
        <v>November</v>
      </c>
      <c r="E393" s="4" t="s">
        <v>574</v>
      </c>
      <c r="F393" s="4" t="s">
        <v>120</v>
      </c>
      <c r="G393" s="4">
        <v>6</v>
      </c>
      <c r="H393" s="12">
        <v>7322.3</v>
      </c>
      <c r="I393" s="13">
        <v>6223.9549999999999</v>
      </c>
      <c r="J393" s="13">
        <f>Orders[[#This Row],[Quantity]]*Orders[[#This Row],[Selling Price]]</f>
        <v>43933.8</v>
      </c>
      <c r="K393" s="13">
        <f>Orders[[#This Row],[Quantity]]*Orders[[#This Row],[Cost Price]]</f>
        <v>37343.729999999996</v>
      </c>
      <c r="L393" s="13">
        <f>Orders[[#This Row],[Revenue]]-Orders[[#This Row],[Expenses]]</f>
        <v>6590.070000000007</v>
      </c>
      <c r="M393" t="s">
        <v>2208</v>
      </c>
      <c r="N393" t="str">
        <f>_xlfn.XLOOKUP(Orders[[#This Row],[CustomerID]],Customers[CustomerID],Customers[CustomerName])</f>
        <v>Adanma Obi</v>
      </c>
      <c r="O393" t="str">
        <f>_xlfn.XLOOKUP(Orders[[#This Row],[CustomerID]],Customers[CustomerID],Customers[City])</f>
        <v>Texas</v>
      </c>
      <c r="P393" t="str">
        <f>_xlfn.XLOOKUP(Orders[[#This Row],[CustomerID]],Customers[CustomerID],Customers[Gender])</f>
        <v>Female</v>
      </c>
      <c r="Q393">
        <f>_xlfn.XLOOKUP(Orders[[#This Row],[CustomerID]],Customers[CustomerID],Customers[CustomerAge])</f>
        <v>23</v>
      </c>
      <c r="R393" t="str">
        <f>IF(Orders[[#This Row],[CustomerAge]]&gt;=35, "Older", "Young")</f>
        <v>Young</v>
      </c>
      <c r="S393" t="str">
        <f>_xlfn.XLOOKUP(Orders[[#This Row],[ProductID]],Products[ProductID],Products[ProductName])</f>
        <v>Chess</v>
      </c>
      <c r="T393" t="str">
        <f>_xlfn.XLOOKUP(Orders[[#This Row],[ProductID]],Products[ProductID],Products[Category])</f>
        <v>Games</v>
      </c>
    </row>
    <row r="394" spans="1:20" x14ac:dyDescent="0.25">
      <c r="A394" s="4" t="s">
        <v>575</v>
      </c>
      <c r="B394" s="5">
        <v>46011</v>
      </c>
      <c r="C394" s="15">
        <f>WEEKNUM(Orders[[#This Row],[OrderDate]])</f>
        <v>51</v>
      </c>
      <c r="D394" s="15" t="str">
        <f>TEXT(Orders[[#This Row],[OrderDate]],"mmmm")</f>
        <v>December</v>
      </c>
      <c r="E394" s="4" t="s">
        <v>239</v>
      </c>
      <c r="F394" s="4" t="s">
        <v>66</v>
      </c>
      <c r="G394" s="4">
        <v>8</v>
      </c>
      <c r="H394" s="12">
        <v>10475.699999999999</v>
      </c>
      <c r="I394" s="13">
        <v>8904.3449999999993</v>
      </c>
      <c r="J394" s="13">
        <f>Orders[[#This Row],[Quantity]]*Orders[[#This Row],[Selling Price]]</f>
        <v>83805.599999999991</v>
      </c>
      <c r="K394" s="13">
        <f>Orders[[#This Row],[Quantity]]*Orders[[#This Row],[Cost Price]]</f>
        <v>71234.759999999995</v>
      </c>
      <c r="L394" s="13">
        <f>Orders[[#This Row],[Revenue]]-Orders[[#This Row],[Expenses]]</f>
        <v>12570.839999999997</v>
      </c>
      <c r="M394" t="s">
        <v>2209</v>
      </c>
      <c r="N394" t="str">
        <f>_xlfn.XLOOKUP(Orders[[#This Row],[CustomerID]],Customers[CustomerID],Customers[CustomerName])</f>
        <v>Emeka Danladi</v>
      </c>
      <c r="O394" t="str">
        <f>_xlfn.XLOOKUP(Orders[[#This Row],[CustomerID]],Customers[CustomerID],Customers[City])</f>
        <v>Florida</v>
      </c>
      <c r="P394" t="str">
        <f>_xlfn.XLOOKUP(Orders[[#This Row],[CustomerID]],Customers[CustomerID],Customers[Gender])</f>
        <v>Male</v>
      </c>
      <c r="Q394">
        <f>_xlfn.XLOOKUP(Orders[[#This Row],[CustomerID]],Customers[CustomerID],Customers[CustomerAge])</f>
        <v>23</v>
      </c>
      <c r="R394" t="str">
        <f>IF(Orders[[#This Row],[CustomerAge]]&gt;=35, "Older", "Young")</f>
        <v>Young</v>
      </c>
      <c r="S394" t="str">
        <f>_xlfn.XLOOKUP(Orders[[#This Row],[ProductID]],Products[ProductID],Products[ProductName])</f>
        <v>Microwave</v>
      </c>
      <c r="T394" t="str">
        <f>_xlfn.XLOOKUP(Orders[[#This Row],[ProductID]],Products[ProductID],Products[Category])</f>
        <v>Electronics</v>
      </c>
    </row>
    <row r="395" spans="1:20" x14ac:dyDescent="0.25">
      <c r="A395" s="4" t="s">
        <v>576</v>
      </c>
      <c r="B395" s="5">
        <v>45974</v>
      </c>
      <c r="C395" s="15">
        <f>WEEKNUM(Orders[[#This Row],[OrderDate]])</f>
        <v>46</v>
      </c>
      <c r="D395" s="15" t="str">
        <f>TEXT(Orders[[#This Row],[OrderDate]],"mmmm")</f>
        <v>November</v>
      </c>
      <c r="E395" s="4" t="s">
        <v>163</v>
      </c>
      <c r="F395" s="4" t="s">
        <v>15</v>
      </c>
      <c r="G395" s="4">
        <v>4</v>
      </c>
      <c r="H395" s="12">
        <v>3368.3999999999996</v>
      </c>
      <c r="I395" s="13">
        <v>2863.14</v>
      </c>
      <c r="J395" s="13">
        <f>Orders[[#This Row],[Quantity]]*Orders[[#This Row],[Selling Price]]</f>
        <v>13473.599999999999</v>
      </c>
      <c r="K395" s="13">
        <f>Orders[[#This Row],[Quantity]]*Orders[[#This Row],[Cost Price]]</f>
        <v>11452.56</v>
      </c>
      <c r="L395" s="13">
        <f>Orders[[#This Row],[Revenue]]-Orders[[#This Row],[Expenses]]</f>
        <v>2021.0399999999991</v>
      </c>
      <c r="M395" t="s">
        <v>2210</v>
      </c>
      <c r="N395" t="str">
        <f>_xlfn.XLOOKUP(Orders[[#This Row],[CustomerID]],Customers[CustomerID],Customers[CustomerName])</f>
        <v>Folasade Danladi</v>
      </c>
      <c r="O395" t="str">
        <f>_xlfn.XLOOKUP(Orders[[#This Row],[CustomerID]],Customers[CustomerID],Customers[City])</f>
        <v>Texas</v>
      </c>
      <c r="P395" t="str">
        <f>_xlfn.XLOOKUP(Orders[[#This Row],[CustomerID]],Customers[CustomerID],Customers[Gender])</f>
        <v>Female</v>
      </c>
      <c r="Q395">
        <f>_xlfn.XLOOKUP(Orders[[#This Row],[CustomerID]],Customers[CustomerID],Customers[CustomerAge])</f>
        <v>32</v>
      </c>
      <c r="R395" t="str">
        <f>IF(Orders[[#This Row],[CustomerAge]]&gt;=35, "Older", "Young")</f>
        <v>Young</v>
      </c>
      <c r="S395" t="str">
        <f>_xlfn.XLOOKUP(Orders[[#This Row],[ProductID]],Products[ProductID],Products[ProductName])</f>
        <v>Monopoly</v>
      </c>
      <c r="T395" t="str">
        <f>_xlfn.XLOOKUP(Orders[[#This Row],[ProductID]],Products[ProductID],Products[Category])</f>
        <v>Games</v>
      </c>
    </row>
    <row r="396" spans="1:20" x14ac:dyDescent="0.25">
      <c r="A396" s="4" t="s">
        <v>577</v>
      </c>
      <c r="B396" s="5">
        <v>45950</v>
      </c>
      <c r="C396" s="15">
        <f>WEEKNUM(Orders[[#This Row],[OrderDate]])</f>
        <v>43</v>
      </c>
      <c r="D396" s="15" t="str">
        <f>TEXT(Orders[[#This Row],[OrderDate]],"mmmm")</f>
        <v>October</v>
      </c>
      <c r="E396" s="4" t="s">
        <v>272</v>
      </c>
      <c r="F396" s="4" t="s">
        <v>253</v>
      </c>
      <c r="G396" s="4">
        <v>7</v>
      </c>
      <c r="H396" s="12">
        <v>1276.7</v>
      </c>
      <c r="I396" s="13">
        <v>1085.1950000000002</v>
      </c>
      <c r="J396" s="13">
        <f>Orders[[#This Row],[Quantity]]*Orders[[#This Row],[Selling Price]]</f>
        <v>8936.9</v>
      </c>
      <c r="K396" s="13">
        <f>Orders[[#This Row],[Quantity]]*Orders[[#This Row],[Cost Price]]</f>
        <v>7596.3650000000016</v>
      </c>
      <c r="L396" s="13">
        <f>Orders[[#This Row],[Revenue]]-Orders[[#This Row],[Expenses]]</f>
        <v>1340.534999999998</v>
      </c>
      <c r="M396" t="s">
        <v>2215</v>
      </c>
      <c r="N396" t="str">
        <f>_xlfn.XLOOKUP(Orders[[#This Row],[CustomerID]],Customers[CustomerID],Customers[CustomerName])</f>
        <v>Blessing Bello</v>
      </c>
      <c r="O396" t="str">
        <f>_xlfn.XLOOKUP(Orders[[#This Row],[CustomerID]],Customers[CustomerID],Customers[City])</f>
        <v>Florida</v>
      </c>
      <c r="P396" t="str">
        <f>_xlfn.XLOOKUP(Orders[[#This Row],[CustomerID]],Customers[CustomerID],Customers[Gender])</f>
        <v>Female</v>
      </c>
      <c r="Q396">
        <f>_xlfn.XLOOKUP(Orders[[#This Row],[CustomerID]],Customers[CustomerID],Customers[CustomerAge])</f>
        <v>38</v>
      </c>
      <c r="R396" t="str">
        <f>IF(Orders[[#This Row],[CustomerAge]]&gt;=35, "Older", "Young")</f>
        <v>Older</v>
      </c>
      <c r="S396" t="str">
        <f>_xlfn.XLOOKUP(Orders[[#This Row],[ProductID]],Products[ProductID],Products[ProductName])</f>
        <v>Nose Rings</v>
      </c>
      <c r="T396" t="str">
        <f>_xlfn.XLOOKUP(Orders[[#This Row],[ProductID]],Products[ProductID],Products[Category])</f>
        <v>Accessories</v>
      </c>
    </row>
    <row r="397" spans="1:20" x14ac:dyDescent="0.25">
      <c r="A397" s="4" t="s">
        <v>578</v>
      </c>
      <c r="B397" s="5">
        <v>45975</v>
      </c>
      <c r="C397" s="15">
        <f>WEEKNUM(Orders[[#This Row],[OrderDate]])</f>
        <v>46</v>
      </c>
      <c r="D397" s="15" t="str">
        <f>TEXT(Orders[[#This Row],[OrderDate]],"mmmm")</f>
        <v>November</v>
      </c>
      <c r="E397" s="4" t="s">
        <v>320</v>
      </c>
      <c r="F397" s="4" t="s">
        <v>31</v>
      </c>
      <c r="G397" s="4">
        <v>1</v>
      </c>
      <c r="H397" s="12">
        <v>9077.9</v>
      </c>
      <c r="I397" s="13">
        <v>7716.2150000000001</v>
      </c>
      <c r="J397" s="13">
        <f>Orders[[#This Row],[Quantity]]*Orders[[#This Row],[Selling Price]]</f>
        <v>9077.9</v>
      </c>
      <c r="K397" s="13">
        <f>Orders[[#This Row],[Quantity]]*Orders[[#This Row],[Cost Price]]</f>
        <v>7716.2150000000001</v>
      </c>
      <c r="L397" s="13">
        <f>Orders[[#This Row],[Revenue]]-Orders[[#This Row],[Expenses]]</f>
        <v>1361.6849999999995</v>
      </c>
      <c r="M397" t="s">
        <v>2219</v>
      </c>
      <c r="N397" t="str">
        <f>_xlfn.XLOOKUP(Orders[[#This Row],[CustomerID]],Customers[CustomerID],Customers[CustomerName])</f>
        <v>Temi Okonkwo</v>
      </c>
      <c r="O397" t="str">
        <f>_xlfn.XLOOKUP(Orders[[#This Row],[CustomerID]],Customers[CustomerID],Customers[City])</f>
        <v>Texas</v>
      </c>
      <c r="P397" t="str">
        <f>_xlfn.XLOOKUP(Orders[[#This Row],[CustomerID]],Customers[CustomerID],Customers[Gender])</f>
        <v>Female</v>
      </c>
      <c r="Q397">
        <f>_xlfn.XLOOKUP(Orders[[#This Row],[CustomerID]],Customers[CustomerID],Customers[CustomerAge])</f>
        <v>31</v>
      </c>
      <c r="R397" t="str">
        <f>IF(Orders[[#This Row],[CustomerAge]]&gt;=35, "Older", "Young")</f>
        <v>Young</v>
      </c>
      <c r="S397" t="str">
        <f>_xlfn.XLOOKUP(Orders[[#This Row],[ProductID]],Products[ProductID],Products[ProductName])</f>
        <v>Kids Games</v>
      </c>
      <c r="T397" t="str">
        <f>_xlfn.XLOOKUP(Orders[[#This Row],[ProductID]],Products[ProductID],Products[Category])</f>
        <v>Games</v>
      </c>
    </row>
    <row r="398" spans="1:20" x14ac:dyDescent="0.25">
      <c r="A398" s="4" t="s">
        <v>579</v>
      </c>
      <c r="B398" s="5">
        <v>46020</v>
      </c>
      <c r="C398" s="15">
        <f>WEEKNUM(Orders[[#This Row],[OrderDate]])</f>
        <v>53</v>
      </c>
      <c r="D398" s="15" t="str">
        <f>TEXT(Orders[[#This Row],[OrderDate]],"mmmm")</f>
        <v>December</v>
      </c>
      <c r="E398" s="4" t="s">
        <v>507</v>
      </c>
      <c r="F398" s="4" t="s">
        <v>12</v>
      </c>
      <c r="G398" s="4">
        <v>4</v>
      </c>
      <c r="H398" s="12">
        <v>2489.9</v>
      </c>
      <c r="I398" s="13">
        <v>2116.415</v>
      </c>
      <c r="J398" s="13">
        <f>Orders[[#This Row],[Quantity]]*Orders[[#This Row],[Selling Price]]</f>
        <v>9959.6</v>
      </c>
      <c r="K398" s="13">
        <f>Orders[[#This Row],[Quantity]]*Orders[[#This Row],[Cost Price]]</f>
        <v>8465.66</v>
      </c>
      <c r="L398" s="13">
        <f>Orders[[#This Row],[Revenue]]-Orders[[#This Row],[Expenses]]</f>
        <v>1493.9400000000005</v>
      </c>
      <c r="M398" t="s">
        <v>2215</v>
      </c>
      <c r="N398" t="str">
        <f>_xlfn.XLOOKUP(Orders[[#This Row],[CustomerID]],Customers[CustomerID],Customers[CustomerName])</f>
        <v>Temi Okonkwo</v>
      </c>
      <c r="O398" t="str">
        <f>_xlfn.XLOOKUP(Orders[[#This Row],[CustomerID]],Customers[CustomerID],Customers[City])</f>
        <v>Washington</v>
      </c>
      <c r="P398" t="str">
        <f>_xlfn.XLOOKUP(Orders[[#This Row],[CustomerID]],Customers[CustomerID],Customers[Gender])</f>
        <v>Female</v>
      </c>
      <c r="Q398">
        <f>_xlfn.XLOOKUP(Orders[[#This Row],[CustomerID]],Customers[CustomerID],Customers[CustomerAge])</f>
        <v>35</v>
      </c>
      <c r="R398" t="str">
        <f>IF(Orders[[#This Row],[CustomerAge]]&gt;=35, "Older", "Young")</f>
        <v>Older</v>
      </c>
      <c r="S398" t="str">
        <f>_xlfn.XLOOKUP(Orders[[#This Row],[ProductID]],Products[ProductID],Products[ProductName])</f>
        <v>Boubou</v>
      </c>
      <c r="T398" t="str">
        <f>_xlfn.XLOOKUP(Orders[[#This Row],[ProductID]],Products[ProductID],Products[Category])</f>
        <v>Clothing</v>
      </c>
    </row>
    <row r="399" spans="1:20" x14ac:dyDescent="0.25">
      <c r="A399" s="4" t="s">
        <v>580</v>
      </c>
      <c r="B399" s="5">
        <v>45976</v>
      </c>
      <c r="C399" s="15">
        <f>WEEKNUM(Orders[[#This Row],[OrderDate]])</f>
        <v>46</v>
      </c>
      <c r="D399" s="15" t="str">
        <f>TEXT(Orders[[#This Row],[OrderDate]],"mmmm")</f>
        <v>November</v>
      </c>
      <c r="E399" s="4" t="s">
        <v>174</v>
      </c>
      <c r="F399" s="4" t="s">
        <v>20</v>
      </c>
      <c r="G399" s="4">
        <v>6</v>
      </c>
      <c r="H399" s="12">
        <v>1638.8</v>
      </c>
      <c r="I399" s="13">
        <v>1392.98</v>
      </c>
      <c r="J399" s="13">
        <f>Orders[[#This Row],[Quantity]]*Orders[[#This Row],[Selling Price]]</f>
        <v>9832.7999999999993</v>
      </c>
      <c r="K399" s="13">
        <f>Orders[[#This Row],[Quantity]]*Orders[[#This Row],[Cost Price]]</f>
        <v>8357.880000000001</v>
      </c>
      <c r="L399" s="13">
        <f>Orders[[#This Row],[Revenue]]-Orders[[#This Row],[Expenses]]</f>
        <v>1474.9199999999983</v>
      </c>
      <c r="M399" t="s">
        <v>2207</v>
      </c>
      <c r="N399" t="str">
        <f>_xlfn.XLOOKUP(Orders[[#This Row],[CustomerID]],Customers[CustomerID],Customers[CustomerName])</f>
        <v>Zainab Obi</v>
      </c>
      <c r="O399" t="str">
        <f>_xlfn.XLOOKUP(Orders[[#This Row],[CustomerID]],Customers[CustomerID],Customers[City])</f>
        <v>California</v>
      </c>
      <c r="P399" t="str">
        <f>_xlfn.XLOOKUP(Orders[[#This Row],[CustomerID]],Customers[CustomerID],Customers[Gender])</f>
        <v>Female</v>
      </c>
      <c r="Q399">
        <f>_xlfn.XLOOKUP(Orders[[#This Row],[CustomerID]],Customers[CustomerID],Customers[CustomerAge])</f>
        <v>18</v>
      </c>
      <c r="R399" t="str">
        <f>IF(Orders[[#This Row],[CustomerAge]]&gt;=35, "Older", "Young")</f>
        <v>Young</v>
      </c>
      <c r="S399" t="str">
        <f>_xlfn.XLOOKUP(Orders[[#This Row],[ProductID]],Products[ProductID],Products[ProductName])</f>
        <v>Gym Bag</v>
      </c>
      <c r="T399" t="str">
        <f>_xlfn.XLOOKUP(Orders[[#This Row],[ProductID]],Products[ProductID],Products[Category])</f>
        <v>Gym</v>
      </c>
    </row>
    <row r="400" spans="1:20" x14ac:dyDescent="0.25">
      <c r="A400" s="4" t="s">
        <v>581</v>
      </c>
      <c r="B400" s="5">
        <v>45974</v>
      </c>
      <c r="C400" s="15">
        <f>WEEKNUM(Orders[[#This Row],[OrderDate]])</f>
        <v>46</v>
      </c>
      <c r="D400" s="15" t="str">
        <f>TEXT(Orders[[#This Row],[OrderDate]],"mmmm")</f>
        <v>November</v>
      </c>
      <c r="E400" s="4" t="s">
        <v>272</v>
      </c>
      <c r="F400" s="4" t="s">
        <v>189</v>
      </c>
      <c r="G400" s="4">
        <v>4</v>
      </c>
      <c r="H400" s="12">
        <v>8398.7000000000007</v>
      </c>
      <c r="I400" s="13">
        <v>7138.8950000000004</v>
      </c>
      <c r="J400" s="13">
        <f>Orders[[#This Row],[Quantity]]*Orders[[#This Row],[Selling Price]]</f>
        <v>33594.800000000003</v>
      </c>
      <c r="K400" s="13">
        <f>Orders[[#This Row],[Quantity]]*Orders[[#This Row],[Cost Price]]</f>
        <v>28555.58</v>
      </c>
      <c r="L400" s="13">
        <f>Orders[[#This Row],[Revenue]]-Orders[[#This Row],[Expenses]]</f>
        <v>5039.2200000000012</v>
      </c>
      <c r="M400" t="s">
        <v>2199</v>
      </c>
      <c r="N400" t="str">
        <f>_xlfn.XLOOKUP(Orders[[#This Row],[CustomerID]],Customers[CustomerID],Customers[CustomerName])</f>
        <v>Blessing Bello</v>
      </c>
      <c r="O400" t="str">
        <f>_xlfn.XLOOKUP(Orders[[#This Row],[CustomerID]],Customers[CustomerID],Customers[City])</f>
        <v>Florida</v>
      </c>
      <c r="P400" t="str">
        <f>_xlfn.XLOOKUP(Orders[[#This Row],[CustomerID]],Customers[CustomerID],Customers[Gender])</f>
        <v>Female</v>
      </c>
      <c r="Q400">
        <f>_xlfn.XLOOKUP(Orders[[#This Row],[CustomerID]],Customers[CustomerID],Customers[CustomerAge])</f>
        <v>38</v>
      </c>
      <c r="R400" t="str">
        <f>IF(Orders[[#This Row],[CustomerAge]]&gt;=35, "Older", "Young")</f>
        <v>Older</v>
      </c>
      <c r="S400" t="str">
        <f>_xlfn.XLOOKUP(Orders[[#This Row],[ProductID]],Products[ProductID],Products[ProductName])</f>
        <v>Scrabble</v>
      </c>
      <c r="T400" t="str">
        <f>_xlfn.XLOOKUP(Orders[[#This Row],[ProductID]],Products[ProductID],Products[Category])</f>
        <v>Games</v>
      </c>
    </row>
    <row r="401" spans="1:20" x14ac:dyDescent="0.25">
      <c r="A401" s="4" t="s">
        <v>582</v>
      </c>
      <c r="B401" s="5">
        <v>45955</v>
      </c>
      <c r="C401" s="15">
        <f>WEEKNUM(Orders[[#This Row],[OrderDate]])</f>
        <v>43</v>
      </c>
      <c r="D401" s="15" t="str">
        <f>TEXT(Orders[[#This Row],[OrderDate]],"mmmm")</f>
        <v>October</v>
      </c>
      <c r="E401" s="4" t="s">
        <v>552</v>
      </c>
      <c r="F401" s="4" t="s">
        <v>76</v>
      </c>
      <c r="G401" s="4">
        <v>1</v>
      </c>
      <c r="H401" s="12">
        <v>9706.9000000000015</v>
      </c>
      <c r="I401" s="13">
        <v>8250.8650000000016</v>
      </c>
      <c r="J401" s="13">
        <f>Orders[[#This Row],[Quantity]]*Orders[[#This Row],[Selling Price]]</f>
        <v>9706.9000000000015</v>
      </c>
      <c r="K401" s="13">
        <f>Orders[[#This Row],[Quantity]]*Orders[[#This Row],[Cost Price]]</f>
        <v>8250.8650000000016</v>
      </c>
      <c r="L401" s="13">
        <f>Orders[[#This Row],[Revenue]]-Orders[[#This Row],[Expenses]]</f>
        <v>1456.0349999999999</v>
      </c>
      <c r="M401" t="s">
        <v>2218</v>
      </c>
      <c r="N401" t="str">
        <f>_xlfn.XLOOKUP(Orders[[#This Row],[CustomerID]],Customers[CustomerID],Customers[CustomerName])</f>
        <v>Chioma Eze</v>
      </c>
      <c r="O401" t="str">
        <f>_xlfn.XLOOKUP(Orders[[#This Row],[CustomerID]],Customers[CustomerID],Customers[City])</f>
        <v>Georgia</v>
      </c>
      <c r="P401" t="str">
        <f>_xlfn.XLOOKUP(Orders[[#This Row],[CustomerID]],Customers[CustomerID],Customers[Gender])</f>
        <v>Female</v>
      </c>
      <c r="Q401">
        <f>_xlfn.XLOOKUP(Orders[[#This Row],[CustomerID]],Customers[CustomerID],Customers[CustomerAge])</f>
        <v>40</v>
      </c>
      <c r="R401" t="str">
        <f>IF(Orders[[#This Row],[CustomerAge]]&gt;=35, "Older", "Young")</f>
        <v>Older</v>
      </c>
      <c r="S401" t="str">
        <f>_xlfn.XLOOKUP(Orders[[#This Row],[ProductID]],Products[ProductID],Products[ProductName])</f>
        <v>Blender</v>
      </c>
      <c r="T401" t="str">
        <f>_xlfn.XLOOKUP(Orders[[#This Row],[ProductID]],Products[ProductID],Products[Category])</f>
        <v>Electronics</v>
      </c>
    </row>
    <row r="402" spans="1:20" x14ac:dyDescent="0.25">
      <c r="A402" s="4" t="s">
        <v>583</v>
      </c>
      <c r="B402" s="5">
        <v>45971</v>
      </c>
      <c r="C402" s="15">
        <f>WEEKNUM(Orders[[#This Row],[OrderDate]])</f>
        <v>46</v>
      </c>
      <c r="D402" s="15" t="str">
        <f>TEXT(Orders[[#This Row],[OrderDate]],"mmmm")</f>
        <v>November</v>
      </c>
      <c r="E402" s="4" t="s">
        <v>227</v>
      </c>
      <c r="F402" s="4" t="s">
        <v>20</v>
      </c>
      <c r="G402" s="4">
        <v>3</v>
      </c>
      <c r="H402" s="12">
        <v>7571.5</v>
      </c>
      <c r="I402" s="13">
        <v>6435.7749999999996</v>
      </c>
      <c r="J402" s="13">
        <f>Orders[[#This Row],[Quantity]]*Orders[[#This Row],[Selling Price]]</f>
        <v>22714.5</v>
      </c>
      <c r="K402" s="13">
        <f>Orders[[#This Row],[Quantity]]*Orders[[#This Row],[Cost Price]]</f>
        <v>19307.324999999997</v>
      </c>
      <c r="L402" s="13">
        <f>Orders[[#This Row],[Revenue]]-Orders[[#This Row],[Expenses]]</f>
        <v>3407.1750000000029</v>
      </c>
      <c r="M402" t="s">
        <v>2209</v>
      </c>
      <c r="N402" t="str">
        <f>_xlfn.XLOOKUP(Orders[[#This Row],[CustomerID]],Customers[CustomerID],Customers[CustomerName])</f>
        <v>Emmanuel Victor</v>
      </c>
      <c r="O402" t="str">
        <f>_xlfn.XLOOKUP(Orders[[#This Row],[CustomerID]],Customers[CustomerID],Customers[City])</f>
        <v>Washington</v>
      </c>
      <c r="P402" t="str">
        <f>_xlfn.XLOOKUP(Orders[[#This Row],[CustomerID]],Customers[CustomerID],Customers[Gender])</f>
        <v>Male</v>
      </c>
      <c r="Q402">
        <f>_xlfn.XLOOKUP(Orders[[#This Row],[CustomerID]],Customers[CustomerID],Customers[CustomerAge])</f>
        <v>35</v>
      </c>
      <c r="R402" t="str">
        <f>IF(Orders[[#This Row],[CustomerAge]]&gt;=35, "Older", "Young")</f>
        <v>Older</v>
      </c>
      <c r="S402" t="str">
        <f>_xlfn.XLOOKUP(Orders[[#This Row],[ProductID]],Products[ProductID],Products[ProductName])</f>
        <v>Gym Bag</v>
      </c>
      <c r="T402" t="str">
        <f>_xlfn.XLOOKUP(Orders[[#This Row],[ProductID]],Products[ProductID],Products[Category])</f>
        <v>Gym</v>
      </c>
    </row>
    <row r="403" spans="1:20" x14ac:dyDescent="0.25">
      <c r="A403" s="4" t="s">
        <v>584</v>
      </c>
      <c r="B403" s="5">
        <v>45941</v>
      </c>
      <c r="C403" s="15">
        <f>WEEKNUM(Orders[[#This Row],[OrderDate]])</f>
        <v>41</v>
      </c>
      <c r="D403" s="15" t="str">
        <f>TEXT(Orders[[#This Row],[OrderDate]],"mmmm")</f>
        <v>October</v>
      </c>
      <c r="E403" s="4" t="s">
        <v>182</v>
      </c>
      <c r="F403" s="4" t="s">
        <v>57</v>
      </c>
      <c r="G403" s="4">
        <v>2</v>
      </c>
      <c r="H403" s="12">
        <v>10586.900000000001</v>
      </c>
      <c r="I403" s="13">
        <v>8998.8650000000016</v>
      </c>
      <c r="J403" s="13">
        <f>Orders[[#This Row],[Quantity]]*Orders[[#This Row],[Selling Price]]</f>
        <v>21173.800000000003</v>
      </c>
      <c r="K403" s="13">
        <f>Orders[[#This Row],[Quantity]]*Orders[[#This Row],[Cost Price]]</f>
        <v>17997.730000000003</v>
      </c>
      <c r="L403" s="13">
        <f>Orders[[#This Row],[Revenue]]-Orders[[#This Row],[Expenses]]</f>
        <v>3176.0699999999997</v>
      </c>
      <c r="M403" t="s">
        <v>2200</v>
      </c>
      <c r="N403" t="str">
        <f>_xlfn.XLOOKUP(Orders[[#This Row],[CustomerID]],Customers[CustomerID],Customers[CustomerName])</f>
        <v>Abiola Okonkwo</v>
      </c>
      <c r="O403" t="str">
        <f>_xlfn.XLOOKUP(Orders[[#This Row],[CustomerID]],Customers[CustomerID],Customers[City])</f>
        <v>Georgia</v>
      </c>
      <c r="P403" t="str">
        <f>_xlfn.XLOOKUP(Orders[[#This Row],[CustomerID]],Customers[CustomerID],Customers[Gender])</f>
        <v>Male</v>
      </c>
      <c r="Q403">
        <f>_xlfn.XLOOKUP(Orders[[#This Row],[CustomerID]],Customers[CustomerID],Customers[CustomerAge])</f>
        <v>39</v>
      </c>
      <c r="R403" t="str">
        <f>IF(Orders[[#This Row],[CustomerAge]]&gt;=35, "Older", "Young")</f>
        <v>Older</v>
      </c>
      <c r="S403" t="str">
        <f>_xlfn.XLOOKUP(Orders[[#This Row],[ProductID]],Products[ProductID],Products[ProductName])</f>
        <v>Badminton Racket</v>
      </c>
      <c r="T403" t="str">
        <f>_xlfn.XLOOKUP(Orders[[#This Row],[ProductID]],Products[ProductID],Products[Category])</f>
        <v>Sports</v>
      </c>
    </row>
    <row r="404" spans="1:20" x14ac:dyDescent="0.25">
      <c r="A404" s="4" t="s">
        <v>585</v>
      </c>
      <c r="B404" s="5">
        <v>45997</v>
      </c>
      <c r="C404" s="15">
        <f>WEEKNUM(Orders[[#This Row],[OrderDate]])</f>
        <v>49</v>
      </c>
      <c r="D404" s="15" t="str">
        <f>TEXT(Orders[[#This Row],[OrderDate]],"mmmm")</f>
        <v>December</v>
      </c>
      <c r="E404" s="4" t="s">
        <v>142</v>
      </c>
      <c r="F404" s="4" t="s">
        <v>34</v>
      </c>
      <c r="G404" s="4">
        <v>3</v>
      </c>
      <c r="H404" s="12">
        <v>16309.2</v>
      </c>
      <c r="I404" s="13">
        <v>13862.82</v>
      </c>
      <c r="J404" s="13">
        <f>Orders[[#This Row],[Quantity]]*Orders[[#This Row],[Selling Price]]</f>
        <v>48927.600000000006</v>
      </c>
      <c r="K404" s="13">
        <f>Orders[[#This Row],[Quantity]]*Orders[[#This Row],[Cost Price]]</f>
        <v>41588.46</v>
      </c>
      <c r="L404" s="13">
        <f>Orders[[#This Row],[Revenue]]-Orders[[#This Row],[Expenses]]</f>
        <v>7339.1400000000067</v>
      </c>
      <c r="M404" t="s">
        <v>2207</v>
      </c>
      <c r="N404" t="str">
        <f>_xlfn.XLOOKUP(Orders[[#This Row],[CustomerID]],Customers[CustomerID],Customers[CustomerName])</f>
        <v>Obi Adeyemi</v>
      </c>
      <c r="O404" t="str">
        <f>_xlfn.XLOOKUP(Orders[[#This Row],[CustomerID]],Customers[CustomerID],Customers[City])</f>
        <v>Florida</v>
      </c>
      <c r="P404" t="str">
        <f>_xlfn.XLOOKUP(Orders[[#This Row],[CustomerID]],Customers[CustomerID],Customers[Gender])</f>
        <v>Male</v>
      </c>
      <c r="Q404">
        <f>_xlfn.XLOOKUP(Orders[[#This Row],[CustomerID]],Customers[CustomerID],Customers[CustomerAge])</f>
        <v>31</v>
      </c>
      <c r="R404" t="str">
        <f>IF(Orders[[#This Row],[CustomerAge]]&gt;=35, "Older", "Young")</f>
        <v>Young</v>
      </c>
      <c r="S404" t="str">
        <f>_xlfn.XLOOKUP(Orders[[#This Row],[ProductID]],Products[ProductID],Products[ProductName])</f>
        <v>Gold Bracelets</v>
      </c>
      <c r="T404" t="str">
        <f>_xlfn.XLOOKUP(Orders[[#This Row],[ProductID]],Products[ProductID],Products[Category])</f>
        <v>Accessories</v>
      </c>
    </row>
    <row r="405" spans="1:20" x14ac:dyDescent="0.25">
      <c r="A405" s="4" t="s">
        <v>586</v>
      </c>
      <c r="B405" s="5">
        <v>45985</v>
      </c>
      <c r="C405" s="15">
        <f>WEEKNUM(Orders[[#This Row],[OrderDate]])</f>
        <v>48</v>
      </c>
      <c r="D405" s="15" t="str">
        <f>TEXT(Orders[[#This Row],[OrderDate]],"mmmm")</f>
        <v>November</v>
      </c>
      <c r="E405" s="4" t="s">
        <v>439</v>
      </c>
      <c r="F405" s="4" t="s">
        <v>37</v>
      </c>
      <c r="G405" s="4">
        <v>2</v>
      </c>
      <c r="H405" s="12">
        <v>2764.4</v>
      </c>
      <c r="I405" s="13">
        <v>2349.7400000000002</v>
      </c>
      <c r="J405" s="13">
        <f>Orders[[#This Row],[Quantity]]*Orders[[#This Row],[Selling Price]]</f>
        <v>5528.8</v>
      </c>
      <c r="K405" s="13">
        <f>Orders[[#This Row],[Quantity]]*Orders[[#This Row],[Cost Price]]</f>
        <v>4699.4800000000005</v>
      </c>
      <c r="L405" s="13">
        <f>Orders[[#This Row],[Revenue]]-Orders[[#This Row],[Expenses]]</f>
        <v>829.31999999999971</v>
      </c>
      <c r="M405" t="s">
        <v>2199</v>
      </c>
      <c r="N405" t="str">
        <f>_xlfn.XLOOKUP(Orders[[#This Row],[CustomerID]],Customers[CustomerID],Customers[CustomerName])</f>
        <v>Efe Abubakar</v>
      </c>
      <c r="O405" t="str">
        <f>_xlfn.XLOOKUP(Orders[[#This Row],[CustomerID]],Customers[CustomerID],Customers[City])</f>
        <v>Texas</v>
      </c>
      <c r="P405" t="str">
        <f>_xlfn.XLOOKUP(Orders[[#This Row],[CustomerID]],Customers[CustomerID],Customers[Gender])</f>
        <v>Female</v>
      </c>
      <c r="Q405">
        <f>_xlfn.XLOOKUP(Orders[[#This Row],[CustomerID]],Customers[CustomerID],Customers[CustomerAge])</f>
        <v>50</v>
      </c>
      <c r="R405" t="str">
        <f>IF(Orders[[#This Row],[CustomerAge]]&gt;=35, "Older", "Young")</f>
        <v>Older</v>
      </c>
      <c r="S405" t="str">
        <f>_xlfn.XLOOKUP(Orders[[#This Row],[ProductID]],Products[ProductID],Products[ProductName])</f>
        <v>Iron</v>
      </c>
      <c r="T405" t="str">
        <f>_xlfn.XLOOKUP(Orders[[#This Row],[ProductID]],Products[ProductID],Products[Category])</f>
        <v>Electronics</v>
      </c>
    </row>
    <row r="406" spans="1:20" x14ac:dyDescent="0.25">
      <c r="A406" s="4" t="s">
        <v>587</v>
      </c>
      <c r="B406" s="5">
        <v>45974</v>
      </c>
      <c r="C406" s="15">
        <f>WEEKNUM(Orders[[#This Row],[OrderDate]])</f>
        <v>46</v>
      </c>
      <c r="D406" s="15" t="str">
        <f>TEXT(Orders[[#This Row],[OrderDate]],"mmmm")</f>
        <v>November</v>
      </c>
      <c r="E406" s="4" t="s">
        <v>239</v>
      </c>
      <c r="F406" s="4" t="s">
        <v>157</v>
      </c>
      <c r="G406" s="4">
        <v>10</v>
      </c>
      <c r="H406" s="12">
        <v>4769.3</v>
      </c>
      <c r="I406" s="13">
        <v>4053.9050000000002</v>
      </c>
      <c r="J406" s="13">
        <f>Orders[[#This Row],[Quantity]]*Orders[[#This Row],[Selling Price]]</f>
        <v>47693</v>
      </c>
      <c r="K406" s="13">
        <f>Orders[[#This Row],[Quantity]]*Orders[[#This Row],[Cost Price]]</f>
        <v>40539.050000000003</v>
      </c>
      <c r="L406" s="13">
        <f>Orders[[#This Row],[Revenue]]-Orders[[#This Row],[Expenses]]</f>
        <v>7153.9499999999971</v>
      </c>
      <c r="M406" t="s">
        <v>2195</v>
      </c>
      <c r="N406" t="str">
        <f>_xlfn.XLOOKUP(Orders[[#This Row],[CustomerID]],Customers[CustomerID],Customers[CustomerName])</f>
        <v>Emeka Danladi</v>
      </c>
      <c r="O406" t="str">
        <f>_xlfn.XLOOKUP(Orders[[#This Row],[CustomerID]],Customers[CustomerID],Customers[City])</f>
        <v>Florida</v>
      </c>
      <c r="P406" t="str">
        <f>_xlfn.XLOOKUP(Orders[[#This Row],[CustomerID]],Customers[CustomerID],Customers[Gender])</f>
        <v>Male</v>
      </c>
      <c r="Q406">
        <f>_xlfn.XLOOKUP(Orders[[#This Row],[CustomerID]],Customers[CustomerID],Customers[CustomerAge])</f>
        <v>23</v>
      </c>
      <c r="R406" t="str">
        <f>IF(Orders[[#This Row],[CustomerAge]]&gt;=35, "Older", "Young")</f>
        <v>Young</v>
      </c>
      <c r="S406" t="str">
        <f>_xlfn.XLOOKUP(Orders[[#This Row],[ProductID]],Products[ProductID],Products[ProductName])</f>
        <v>Football</v>
      </c>
      <c r="T406" t="str">
        <f>_xlfn.XLOOKUP(Orders[[#This Row],[ProductID]],Products[ProductID],Products[Category])</f>
        <v>Sports</v>
      </c>
    </row>
    <row r="407" spans="1:20" x14ac:dyDescent="0.25">
      <c r="A407" s="4" t="s">
        <v>588</v>
      </c>
      <c r="B407" s="5">
        <v>45940</v>
      </c>
      <c r="C407" s="15">
        <f>WEEKNUM(Orders[[#This Row],[OrderDate]])</f>
        <v>41</v>
      </c>
      <c r="D407" s="15" t="str">
        <f>TEXT(Orders[[#This Row],[OrderDate]],"mmmm")</f>
        <v>October</v>
      </c>
      <c r="E407" s="4" t="s">
        <v>48</v>
      </c>
      <c r="F407" s="4" t="s">
        <v>20</v>
      </c>
      <c r="G407" s="4">
        <v>2</v>
      </c>
      <c r="H407" s="12">
        <v>18424.7</v>
      </c>
      <c r="I407" s="13">
        <v>15660.995000000001</v>
      </c>
      <c r="J407" s="13">
        <f>Orders[[#This Row],[Quantity]]*Orders[[#This Row],[Selling Price]]</f>
        <v>36849.4</v>
      </c>
      <c r="K407" s="13">
        <f>Orders[[#This Row],[Quantity]]*Orders[[#This Row],[Cost Price]]</f>
        <v>31321.99</v>
      </c>
      <c r="L407" s="13">
        <f>Orders[[#This Row],[Revenue]]-Orders[[#This Row],[Expenses]]</f>
        <v>5527.41</v>
      </c>
      <c r="M407" t="s">
        <v>2206</v>
      </c>
      <c r="N407" t="str">
        <f>_xlfn.XLOOKUP(Orders[[#This Row],[CustomerID]],Customers[CustomerID],Customers[CustomerName])</f>
        <v>Mustafa Obi</v>
      </c>
      <c r="O407" t="str">
        <f>_xlfn.XLOOKUP(Orders[[#This Row],[CustomerID]],Customers[CustomerID],Customers[City])</f>
        <v>California</v>
      </c>
      <c r="P407" t="str">
        <f>_xlfn.XLOOKUP(Orders[[#This Row],[CustomerID]],Customers[CustomerID],Customers[Gender])</f>
        <v>Male</v>
      </c>
      <c r="Q407">
        <f>_xlfn.XLOOKUP(Orders[[#This Row],[CustomerID]],Customers[CustomerID],Customers[CustomerAge])</f>
        <v>23</v>
      </c>
      <c r="R407" t="str">
        <f>IF(Orders[[#This Row],[CustomerAge]]&gt;=35, "Older", "Young")</f>
        <v>Young</v>
      </c>
      <c r="S407" t="str">
        <f>_xlfn.XLOOKUP(Orders[[#This Row],[ProductID]],Products[ProductID],Products[ProductName])</f>
        <v>Gym Bag</v>
      </c>
      <c r="T407" t="str">
        <f>_xlfn.XLOOKUP(Orders[[#This Row],[ProductID]],Products[ProductID],Products[Category])</f>
        <v>Gym</v>
      </c>
    </row>
    <row r="408" spans="1:20" x14ac:dyDescent="0.25">
      <c r="A408" s="4" t="s">
        <v>589</v>
      </c>
      <c r="B408" s="5">
        <v>45944</v>
      </c>
      <c r="C408" s="15">
        <f>WEEKNUM(Orders[[#This Row],[OrderDate]])</f>
        <v>42</v>
      </c>
      <c r="D408" s="15" t="str">
        <f>TEXT(Orders[[#This Row],[OrderDate]],"mmmm")</f>
        <v>October</v>
      </c>
      <c r="E408" s="4" t="s">
        <v>252</v>
      </c>
      <c r="F408" s="4" t="s">
        <v>57</v>
      </c>
      <c r="G408" s="4">
        <v>2</v>
      </c>
      <c r="H408" s="12">
        <v>1218.1999999999998</v>
      </c>
      <c r="I408" s="13">
        <v>1035.4699999999998</v>
      </c>
      <c r="J408" s="13">
        <f>Orders[[#This Row],[Quantity]]*Orders[[#This Row],[Selling Price]]</f>
        <v>2436.3999999999996</v>
      </c>
      <c r="K408" s="13">
        <f>Orders[[#This Row],[Quantity]]*Orders[[#This Row],[Cost Price]]</f>
        <v>2070.9399999999996</v>
      </c>
      <c r="L408" s="13">
        <f>Orders[[#This Row],[Revenue]]-Orders[[#This Row],[Expenses]]</f>
        <v>365.46000000000004</v>
      </c>
      <c r="M408" t="s">
        <v>2210</v>
      </c>
      <c r="N408" t="str">
        <f>_xlfn.XLOOKUP(Orders[[#This Row],[CustomerID]],Customers[CustomerID],Customers[CustomerName])</f>
        <v>Chioma Adeyemi</v>
      </c>
      <c r="O408" t="str">
        <f>_xlfn.XLOOKUP(Orders[[#This Row],[CustomerID]],Customers[CustomerID],Customers[City])</f>
        <v>Texas</v>
      </c>
      <c r="P408" t="str">
        <f>_xlfn.XLOOKUP(Orders[[#This Row],[CustomerID]],Customers[CustomerID],Customers[Gender])</f>
        <v>Female</v>
      </c>
      <c r="Q408">
        <f>_xlfn.XLOOKUP(Orders[[#This Row],[CustomerID]],Customers[CustomerID],Customers[CustomerAge])</f>
        <v>20</v>
      </c>
      <c r="R408" t="str">
        <f>IF(Orders[[#This Row],[CustomerAge]]&gt;=35, "Older", "Young")</f>
        <v>Young</v>
      </c>
      <c r="S408" t="str">
        <f>_xlfn.XLOOKUP(Orders[[#This Row],[ProductID]],Products[ProductID],Products[ProductName])</f>
        <v>Badminton Racket</v>
      </c>
      <c r="T408" t="str">
        <f>_xlfn.XLOOKUP(Orders[[#This Row],[ProductID]],Products[ProductID],Products[Category])</f>
        <v>Sports</v>
      </c>
    </row>
    <row r="409" spans="1:20" x14ac:dyDescent="0.25">
      <c r="A409" s="4" t="s">
        <v>590</v>
      </c>
      <c r="B409" s="5">
        <v>45987</v>
      </c>
      <c r="C409" s="15">
        <f>WEEKNUM(Orders[[#This Row],[OrderDate]])</f>
        <v>48</v>
      </c>
      <c r="D409" s="15" t="str">
        <f>TEXT(Orders[[#This Row],[OrderDate]],"mmmm")</f>
        <v>November</v>
      </c>
      <c r="E409" s="4" t="s">
        <v>136</v>
      </c>
      <c r="F409" s="4" t="s">
        <v>31</v>
      </c>
      <c r="G409" s="4">
        <v>4</v>
      </c>
      <c r="H409" s="12">
        <v>17804.2</v>
      </c>
      <c r="I409" s="13">
        <v>15133.57</v>
      </c>
      <c r="J409" s="13">
        <f>Orders[[#This Row],[Quantity]]*Orders[[#This Row],[Selling Price]]</f>
        <v>71216.800000000003</v>
      </c>
      <c r="K409" s="13">
        <f>Orders[[#This Row],[Quantity]]*Orders[[#This Row],[Cost Price]]</f>
        <v>60534.28</v>
      </c>
      <c r="L409" s="13">
        <f>Orders[[#This Row],[Revenue]]-Orders[[#This Row],[Expenses]]</f>
        <v>10682.520000000004</v>
      </c>
      <c r="M409" t="s">
        <v>2213</v>
      </c>
      <c r="N409" t="str">
        <f>_xlfn.XLOOKUP(Orders[[#This Row],[CustomerID]],Customers[CustomerID],Customers[CustomerName])</f>
        <v>Chinedu Obi</v>
      </c>
      <c r="O409" t="str">
        <f>_xlfn.XLOOKUP(Orders[[#This Row],[CustomerID]],Customers[CustomerID],Customers[City])</f>
        <v>California</v>
      </c>
      <c r="P409" t="str">
        <f>_xlfn.XLOOKUP(Orders[[#This Row],[CustomerID]],Customers[CustomerID],Customers[Gender])</f>
        <v>Male</v>
      </c>
      <c r="Q409">
        <f>_xlfn.XLOOKUP(Orders[[#This Row],[CustomerID]],Customers[CustomerID],Customers[CustomerAge])</f>
        <v>27</v>
      </c>
      <c r="R409" t="str">
        <f>IF(Orders[[#This Row],[CustomerAge]]&gt;=35, "Older", "Young")</f>
        <v>Young</v>
      </c>
      <c r="S409" t="str">
        <f>_xlfn.XLOOKUP(Orders[[#This Row],[ProductID]],Products[ProductID],Products[ProductName])</f>
        <v>Kids Games</v>
      </c>
      <c r="T409" t="str">
        <f>_xlfn.XLOOKUP(Orders[[#This Row],[ProductID]],Products[ProductID],Products[Category])</f>
        <v>Games</v>
      </c>
    </row>
    <row r="410" spans="1:20" x14ac:dyDescent="0.25">
      <c r="A410" s="4" t="s">
        <v>591</v>
      </c>
      <c r="B410" s="5">
        <v>46018</v>
      </c>
      <c r="C410" s="15">
        <f>WEEKNUM(Orders[[#This Row],[OrderDate]])</f>
        <v>52</v>
      </c>
      <c r="D410" s="15" t="str">
        <f>TEXT(Orders[[#This Row],[OrderDate]],"mmmm")</f>
        <v>December</v>
      </c>
      <c r="E410" s="4" t="s">
        <v>134</v>
      </c>
      <c r="F410" s="4" t="s">
        <v>15</v>
      </c>
      <c r="G410" s="4">
        <v>4</v>
      </c>
      <c r="H410" s="12">
        <v>16794.5</v>
      </c>
      <c r="I410" s="13">
        <v>14275.325000000001</v>
      </c>
      <c r="J410" s="13">
        <f>Orders[[#This Row],[Quantity]]*Orders[[#This Row],[Selling Price]]</f>
        <v>67178</v>
      </c>
      <c r="K410" s="13">
        <f>Orders[[#This Row],[Quantity]]*Orders[[#This Row],[Cost Price]]</f>
        <v>57101.3</v>
      </c>
      <c r="L410" s="13">
        <f>Orders[[#This Row],[Revenue]]-Orders[[#This Row],[Expenses]]</f>
        <v>10076.699999999997</v>
      </c>
      <c r="M410" t="s">
        <v>2218</v>
      </c>
      <c r="N410" t="str">
        <f>_xlfn.XLOOKUP(Orders[[#This Row],[CustomerID]],Customers[CustomerID],Customers[CustomerName])</f>
        <v>Ngozi Ojo</v>
      </c>
      <c r="O410" t="str">
        <f>_xlfn.XLOOKUP(Orders[[#This Row],[CustomerID]],Customers[CustomerID],Customers[City])</f>
        <v>Florida</v>
      </c>
      <c r="P410" t="str">
        <f>_xlfn.XLOOKUP(Orders[[#This Row],[CustomerID]],Customers[CustomerID],Customers[Gender])</f>
        <v>Female</v>
      </c>
      <c r="Q410">
        <f>_xlfn.XLOOKUP(Orders[[#This Row],[CustomerID]],Customers[CustomerID],Customers[CustomerAge])</f>
        <v>18</v>
      </c>
      <c r="R410" t="str">
        <f>IF(Orders[[#This Row],[CustomerAge]]&gt;=35, "Older", "Young")</f>
        <v>Young</v>
      </c>
      <c r="S410" t="str">
        <f>_xlfn.XLOOKUP(Orders[[#This Row],[ProductID]],Products[ProductID],Products[ProductName])</f>
        <v>Monopoly</v>
      </c>
      <c r="T410" t="str">
        <f>_xlfn.XLOOKUP(Orders[[#This Row],[ProductID]],Products[ProductID],Products[Category])</f>
        <v>Games</v>
      </c>
    </row>
    <row r="411" spans="1:20" x14ac:dyDescent="0.25">
      <c r="A411" s="4" t="s">
        <v>592</v>
      </c>
      <c r="B411" s="5">
        <v>46018</v>
      </c>
      <c r="C411" s="15">
        <f>WEEKNUM(Orders[[#This Row],[OrderDate]])</f>
        <v>52</v>
      </c>
      <c r="D411" s="15" t="str">
        <f>TEXT(Orders[[#This Row],[OrderDate]],"mmmm")</f>
        <v>December</v>
      </c>
      <c r="E411" s="4" t="s">
        <v>36</v>
      </c>
      <c r="F411" s="4" t="s">
        <v>84</v>
      </c>
      <c r="G411" s="4">
        <v>3</v>
      </c>
      <c r="H411" s="12">
        <v>11233.099999999999</v>
      </c>
      <c r="I411" s="13">
        <v>9548.1349999999984</v>
      </c>
      <c r="J411" s="13">
        <f>Orders[[#This Row],[Quantity]]*Orders[[#This Row],[Selling Price]]</f>
        <v>33699.299999999996</v>
      </c>
      <c r="K411" s="13">
        <f>Orders[[#This Row],[Quantity]]*Orders[[#This Row],[Cost Price]]</f>
        <v>28644.404999999995</v>
      </c>
      <c r="L411" s="13">
        <f>Orders[[#This Row],[Revenue]]-Orders[[#This Row],[Expenses]]</f>
        <v>5054.8950000000004</v>
      </c>
      <c r="M411" t="s">
        <v>2194</v>
      </c>
      <c r="N411" t="str">
        <f>_xlfn.XLOOKUP(Orders[[#This Row],[CustomerID]],Customers[CustomerID],Customers[CustomerName])</f>
        <v>Jide Eze</v>
      </c>
      <c r="O411" t="str">
        <f>_xlfn.XLOOKUP(Orders[[#This Row],[CustomerID]],Customers[CustomerID],Customers[City])</f>
        <v>California</v>
      </c>
      <c r="P411" t="str">
        <f>_xlfn.XLOOKUP(Orders[[#This Row],[CustomerID]],Customers[CustomerID],Customers[Gender])</f>
        <v>Male</v>
      </c>
      <c r="Q411">
        <f>_xlfn.XLOOKUP(Orders[[#This Row],[CustomerID]],Customers[CustomerID],Customers[CustomerAge])</f>
        <v>21</v>
      </c>
      <c r="R411" t="str">
        <f>IF(Orders[[#This Row],[CustomerAge]]&gt;=35, "Older", "Young")</f>
        <v>Young</v>
      </c>
      <c r="S411" t="str">
        <f>_xlfn.XLOOKUP(Orders[[#This Row],[ProductID]],Products[ProductID],Products[ProductName])</f>
        <v>Gym Wears</v>
      </c>
      <c r="T411" t="str">
        <f>_xlfn.XLOOKUP(Orders[[#This Row],[ProductID]],Products[ProductID],Products[Category])</f>
        <v>Clothing</v>
      </c>
    </row>
    <row r="412" spans="1:20" x14ac:dyDescent="0.25">
      <c r="A412" s="4" t="s">
        <v>593</v>
      </c>
      <c r="B412" s="5">
        <v>46020</v>
      </c>
      <c r="C412" s="15">
        <f>WEEKNUM(Orders[[#This Row],[OrderDate]])</f>
        <v>53</v>
      </c>
      <c r="D412" s="15" t="str">
        <f>TEXT(Orders[[#This Row],[OrderDate]],"mmmm")</f>
        <v>December</v>
      </c>
      <c r="E412" s="4" t="s">
        <v>517</v>
      </c>
      <c r="F412" s="4" t="s">
        <v>130</v>
      </c>
      <c r="G412" s="4">
        <v>1</v>
      </c>
      <c r="H412" s="12">
        <v>4653.2</v>
      </c>
      <c r="I412" s="13">
        <v>3955.22</v>
      </c>
      <c r="J412" s="13">
        <f>Orders[[#This Row],[Quantity]]*Orders[[#This Row],[Selling Price]]</f>
        <v>4653.2</v>
      </c>
      <c r="K412" s="13">
        <f>Orders[[#This Row],[Quantity]]*Orders[[#This Row],[Cost Price]]</f>
        <v>3955.22</v>
      </c>
      <c r="L412" s="13">
        <f>Orders[[#This Row],[Revenue]]-Orders[[#This Row],[Expenses]]</f>
        <v>697.98</v>
      </c>
      <c r="M412" t="s">
        <v>2220</v>
      </c>
      <c r="N412" t="str">
        <f>_xlfn.XLOOKUP(Orders[[#This Row],[CustomerID]],Customers[CustomerID],Customers[CustomerName])</f>
        <v>Efe Adeyemi</v>
      </c>
      <c r="O412" t="str">
        <f>_xlfn.XLOOKUP(Orders[[#This Row],[CustomerID]],Customers[CustomerID],Customers[City])</f>
        <v>Florida</v>
      </c>
      <c r="P412" t="str">
        <f>_xlfn.XLOOKUP(Orders[[#This Row],[CustomerID]],Customers[CustomerID],Customers[Gender])</f>
        <v>Female</v>
      </c>
      <c r="Q412">
        <f>_xlfn.XLOOKUP(Orders[[#This Row],[CustomerID]],Customers[CustomerID],Customers[CustomerAge])</f>
        <v>25</v>
      </c>
      <c r="R412" t="str">
        <f>IF(Orders[[#This Row],[CustomerAge]]&gt;=35, "Older", "Young")</f>
        <v>Young</v>
      </c>
      <c r="S412" t="str">
        <f>_xlfn.XLOOKUP(Orders[[#This Row],[ProductID]],Products[ProductID],Products[ProductName])</f>
        <v>Gold Earrings And Necklaces</v>
      </c>
      <c r="T412" t="str">
        <f>_xlfn.XLOOKUP(Orders[[#This Row],[ProductID]],Products[ProductID],Products[Category])</f>
        <v>Accessories</v>
      </c>
    </row>
    <row r="413" spans="1:20" x14ac:dyDescent="0.25">
      <c r="A413" s="4" t="s">
        <v>594</v>
      </c>
      <c r="B413" s="5">
        <v>45962</v>
      </c>
      <c r="C413" s="15">
        <f>WEEKNUM(Orders[[#This Row],[OrderDate]])</f>
        <v>44</v>
      </c>
      <c r="D413" s="15" t="str">
        <f>TEXT(Orders[[#This Row],[OrderDate]],"mmmm")</f>
        <v>November</v>
      </c>
      <c r="E413" s="4" t="s">
        <v>311</v>
      </c>
      <c r="F413" s="4" t="s">
        <v>232</v>
      </c>
      <c r="G413" s="4">
        <v>5</v>
      </c>
      <c r="H413" s="12">
        <v>11829.400000000001</v>
      </c>
      <c r="I413" s="13">
        <v>10054.990000000002</v>
      </c>
      <c r="J413" s="13">
        <f>Orders[[#This Row],[Quantity]]*Orders[[#This Row],[Selling Price]]</f>
        <v>59147.000000000007</v>
      </c>
      <c r="K413" s="13">
        <f>Orders[[#This Row],[Quantity]]*Orders[[#This Row],[Cost Price]]</f>
        <v>50274.950000000012</v>
      </c>
      <c r="L413" s="13">
        <f>Orders[[#This Row],[Revenue]]-Orders[[#This Row],[Expenses]]</f>
        <v>8872.0499999999956</v>
      </c>
      <c r="M413" t="s">
        <v>2212</v>
      </c>
      <c r="N413" t="str">
        <f>_xlfn.XLOOKUP(Orders[[#This Row],[CustomerID]],Customers[CustomerID],Customers[CustomerName])</f>
        <v>Bisi Bello</v>
      </c>
      <c r="O413" t="str">
        <f>_xlfn.XLOOKUP(Orders[[#This Row],[CustomerID]],Customers[CustomerID],Customers[City])</f>
        <v>Georgia</v>
      </c>
      <c r="P413" t="str">
        <f>_xlfn.XLOOKUP(Orders[[#This Row],[CustomerID]],Customers[CustomerID],Customers[Gender])</f>
        <v>Female</v>
      </c>
      <c r="Q413">
        <f>_xlfn.XLOOKUP(Orders[[#This Row],[CustomerID]],Customers[CustomerID],Customers[CustomerAge])</f>
        <v>31</v>
      </c>
      <c r="R413" t="str">
        <f>IF(Orders[[#This Row],[CustomerAge]]&gt;=35, "Older", "Young")</f>
        <v>Young</v>
      </c>
      <c r="S413" t="str">
        <f>_xlfn.XLOOKUP(Orders[[#This Row],[ProductID]],Products[ProductID],Products[ProductName])</f>
        <v>Ankara</v>
      </c>
      <c r="T413" t="str">
        <f>_xlfn.XLOOKUP(Orders[[#This Row],[ProductID]],Products[ProductID],Products[Category])</f>
        <v>Clothing</v>
      </c>
    </row>
    <row r="414" spans="1:20" x14ac:dyDescent="0.25">
      <c r="A414" s="4" t="s">
        <v>595</v>
      </c>
      <c r="B414" s="5">
        <v>46002</v>
      </c>
      <c r="C414" s="15">
        <f>WEEKNUM(Orders[[#This Row],[OrderDate]])</f>
        <v>50</v>
      </c>
      <c r="D414" s="15" t="str">
        <f>TEXT(Orders[[#This Row],[OrderDate]],"mmmm")</f>
        <v>December</v>
      </c>
      <c r="E414" s="4" t="s">
        <v>596</v>
      </c>
      <c r="F414" s="4" t="s">
        <v>120</v>
      </c>
      <c r="G414" s="4">
        <v>2</v>
      </c>
      <c r="H414" s="12">
        <v>8222.1</v>
      </c>
      <c r="I414" s="13">
        <v>6988.7849999999999</v>
      </c>
      <c r="J414" s="13">
        <f>Orders[[#This Row],[Quantity]]*Orders[[#This Row],[Selling Price]]</f>
        <v>16444.2</v>
      </c>
      <c r="K414" s="13">
        <f>Orders[[#This Row],[Quantity]]*Orders[[#This Row],[Cost Price]]</f>
        <v>13977.57</v>
      </c>
      <c r="L414" s="13">
        <f>Orders[[#This Row],[Revenue]]-Orders[[#This Row],[Expenses]]</f>
        <v>2466.630000000001</v>
      </c>
      <c r="M414" t="s">
        <v>2196</v>
      </c>
      <c r="N414" t="str">
        <f>_xlfn.XLOOKUP(Orders[[#This Row],[CustomerID]],Customers[CustomerID],Customers[CustomerName])</f>
        <v>Blessing Balogun</v>
      </c>
      <c r="O414" t="str">
        <f>_xlfn.XLOOKUP(Orders[[#This Row],[CustomerID]],Customers[CustomerID],Customers[City])</f>
        <v>Texas</v>
      </c>
      <c r="P414" t="str">
        <f>_xlfn.XLOOKUP(Orders[[#This Row],[CustomerID]],Customers[CustomerID],Customers[Gender])</f>
        <v>Female</v>
      </c>
      <c r="Q414">
        <f>_xlfn.XLOOKUP(Orders[[#This Row],[CustomerID]],Customers[CustomerID],Customers[CustomerAge])</f>
        <v>26</v>
      </c>
      <c r="R414" t="str">
        <f>IF(Orders[[#This Row],[CustomerAge]]&gt;=35, "Older", "Young")</f>
        <v>Young</v>
      </c>
      <c r="S414" t="str">
        <f>_xlfn.XLOOKUP(Orders[[#This Row],[ProductID]],Products[ProductID],Products[ProductName])</f>
        <v>Chess</v>
      </c>
      <c r="T414" t="str">
        <f>_xlfn.XLOOKUP(Orders[[#This Row],[ProductID]],Products[ProductID],Products[Category])</f>
        <v>Games</v>
      </c>
    </row>
    <row r="415" spans="1:20" x14ac:dyDescent="0.25">
      <c r="A415" s="4" t="s">
        <v>597</v>
      </c>
      <c r="B415" s="5">
        <v>45982</v>
      </c>
      <c r="C415" s="15">
        <f>WEEKNUM(Orders[[#This Row],[OrderDate]])</f>
        <v>47</v>
      </c>
      <c r="D415" s="15" t="str">
        <f>TEXT(Orders[[#This Row],[OrderDate]],"mmmm")</f>
        <v>November</v>
      </c>
      <c r="E415" s="4" t="s">
        <v>124</v>
      </c>
      <c r="F415" s="4" t="s">
        <v>57</v>
      </c>
      <c r="G415" s="4">
        <v>9</v>
      </c>
      <c r="H415" s="12">
        <v>12733.699999999999</v>
      </c>
      <c r="I415" s="13">
        <v>10823.644999999999</v>
      </c>
      <c r="J415" s="13">
        <f>Orders[[#This Row],[Quantity]]*Orders[[#This Row],[Selling Price]]</f>
        <v>114603.29999999999</v>
      </c>
      <c r="K415" s="13">
        <f>Orders[[#This Row],[Quantity]]*Orders[[#This Row],[Cost Price]]</f>
        <v>97412.804999999993</v>
      </c>
      <c r="L415" s="13">
        <f>Orders[[#This Row],[Revenue]]-Orders[[#This Row],[Expenses]]</f>
        <v>17190.494999999995</v>
      </c>
      <c r="M415" t="s">
        <v>2199</v>
      </c>
      <c r="N415" t="str">
        <f>_xlfn.XLOOKUP(Orders[[#This Row],[CustomerID]],Customers[CustomerID],Customers[CustomerName])</f>
        <v>Ngozi Ojo</v>
      </c>
      <c r="O415" t="str">
        <f>_xlfn.XLOOKUP(Orders[[#This Row],[CustomerID]],Customers[CustomerID],Customers[City])</f>
        <v>Texas</v>
      </c>
      <c r="P415" t="str">
        <f>_xlfn.XLOOKUP(Orders[[#This Row],[CustomerID]],Customers[CustomerID],Customers[Gender])</f>
        <v>Female</v>
      </c>
      <c r="Q415">
        <f>_xlfn.XLOOKUP(Orders[[#This Row],[CustomerID]],Customers[CustomerID],Customers[CustomerAge])</f>
        <v>22</v>
      </c>
      <c r="R415" t="str">
        <f>IF(Orders[[#This Row],[CustomerAge]]&gt;=35, "Older", "Young")</f>
        <v>Young</v>
      </c>
      <c r="S415" t="str">
        <f>_xlfn.XLOOKUP(Orders[[#This Row],[ProductID]],Products[ProductID],Products[ProductName])</f>
        <v>Badminton Racket</v>
      </c>
      <c r="T415" t="str">
        <f>_xlfn.XLOOKUP(Orders[[#This Row],[ProductID]],Products[ProductID],Products[Category])</f>
        <v>Sports</v>
      </c>
    </row>
    <row r="416" spans="1:20" x14ac:dyDescent="0.25">
      <c r="A416" s="4" t="s">
        <v>598</v>
      </c>
      <c r="B416" s="5">
        <v>45946</v>
      </c>
      <c r="C416" s="15">
        <f>WEEKNUM(Orders[[#This Row],[OrderDate]])</f>
        <v>42</v>
      </c>
      <c r="D416" s="15" t="str">
        <f>TEXT(Orders[[#This Row],[OrderDate]],"mmmm")</f>
        <v>October</v>
      </c>
      <c r="E416" s="4" t="s">
        <v>574</v>
      </c>
      <c r="F416" s="4" t="s">
        <v>28</v>
      </c>
      <c r="G416" s="4">
        <v>9</v>
      </c>
      <c r="H416" s="12">
        <v>17170.3</v>
      </c>
      <c r="I416" s="13">
        <v>14594.754999999999</v>
      </c>
      <c r="J416" s="13">
        <f>Orders[[#This Row],[Quantity]]*Orders[[#This Row],[Selling Price]]</f>
        <v>154532.69999999998</v>
      </c>
      <c r="K416" s="13">
        <f>Orders[[#This Row],[Quantity]]*Orders[[#This Row],[Cost Price]]</f>
        <v>131352.79499999998</v>
      </c>
      <c r="L416" s="13">
        <f>Orders[[#This Row],[Revenue]]-Orders[[#This Row],[Expenses]]</f>
        <v>23179.904999999999</v>
      </c>
      <c r="M416" t="s">
        <v>2208</v>
      </c>
      <c r="N416" t="str">
        <f>_xlfn.XLOOKUP(Orders[[#This Row],[CustomerID]],Customers[CustomerID],Customers[CustomerName])</f>
        <v>Adanma Obi</v>
      </c>
      <c r="O416" t="str">
        <f>_xlfn.XLOOKUP(Orders[[#This Row],[CustomerID]],Customers[CustomerID],Customers[City])</f>
        <v>Texas</v>
      </c>
      <c r="P416" t="str">
        <f>_xlfn.XLOOKUP(Orders[[#This Row],[CustomerID]],Customers[CustomerID],Customers[Gender])</f>
        <v>Female</v>
      </c>
      <c r="Q416">
        <f>_xlfn.XLOOKUP(Orders[[#This Row],[CustomerID]],Customers[CustomerID],Customers[CustomerAge])</f>
        <v>23</v>
      </c>
      <c r="R416" t="str">
        <f>IF(Orders[[#This Row],[CustomerAge]]&gt;=35, "Older", "Young")</f>
        <v>Young</v>
      </c>
      <c r="S416" t="str">
        <f>_xlfn.XLOOKUP(Orders[[#This Row],[ProductID]],Products[ProductID],Products[ProductName])</f>
        <v>Sneakers</v>
      </c>
      <c r="T416" t="str">
        <f>_xlfn.XLOOKUP(Orders[[#This Row],[ProductID]],Products[ProductID],Products[Category])</f>
        <v>Sports</v>
      </c>
    </row>
    <row r="417" spans="1:20" x14ac:dyDescent="0.25">
      <c r="A417" s="4" t="s">
        <v>599</v>
      </c>
      <c r="B417" s="5">
        <v>45990</v>
      </c>
      <c r="C417" s="15">
        <f>WEEKNUM(Orders[[#This Row],[OrderDate]])</f>
        <v>48</v>
      </c>
      <c r="D417" s="15" t="str">
        <f>TEXT(Orders[[#This Row],[OrderDate]],"mmmm")</f>
        <v>November</v>
      </c>
      <c r="E417" s="4" t="s">
        <v>221</v>
      </c>
      <c r="F417" s="4" t="s">
        <v>120</v>
      </c>
      <c r="G417" s="4">
        <v>10</v>
      </c>
      <c r="H417" s="12">
        <v>1733.1999999999998</v>
      </c>
      <c r="I417" s="13">
        <v>1473.2199999999998</v>
      </c>
      <c r="J417" s="13">
        <f>Orders[[#This Row],[Quantity]]*Orders[[#This Row],[Selling Price]]</f>
        <v>17332</v>
      </c>
      <c r="K417" s="13">
        <f>Orders[[#This Row],[Quantity]]*Orders[[#This Row],[Cost Price]]</f>
        <v>14732.199999999997</v>
      </c>
      <c r="L417" s="13">
        <f>Orders[[#This Row],[Revenue]]-Orders[[#This Row],[Expenses]]</f>
        <v>2599.8000000000029</v>
      </c>
      <c r="M417" t="s">
        <v>2212</v>
      </c>
      <c r="N417" t="str">
        <f>_xlfn.XLOOKUP(Orders[[#This Row],[CustomerID]],Customers[CustomerID],Customers[CustomerName])</f>
        <v>Obi Bello</v>
      </c>
      <c r="O417" t="str">
        <f>_xlfn.XLOOKUP(Orders[[#This Row],[CustomerID]],Customers[CustomerID],Customers[City])</f>
        <v>Texas</v>
      </c>
      <c r="P417" t="str">
        <f>_xlfn.XLOOKUP(Orders[[#This Row],[CustomerID]],Customers[CustomerID],Customers[Gender])</f>
        <v>Male</v>
      </c>
      <c r="Q417">
        <f>_xlfn.XLOOKUP(Orders[[#This Row],[CustomerID]],Customers[CustomerID],Customers[CustomerAge])</f>
        <v>18</v>
      </c>
      <c r="R417" t="str">
        <f>IF(Orders[[#This Row],[CustomerAge]]&gt;=35, "Older", "Young")</f>
        <v>Young</v>
      </c>
      <c r="S417" t="str">
        <f>_xlfn.XLOOKUP(Orders[[#This Row],[ProductID]],Products[ProductID],Products[ProductName])</f>
        <v>Chess</v>
      </c>
      <c r="T417" t="str">
        <f>_xlfn.XLOOKUP(Orders[[#This Row],[ProductID]],Products[ProductID],Products[Category])</f>
        <v>Games</v>
      </c>
    </row>
    <row r="418" spans="1:20" x14ac:dyDescent="0.25">
      <c r="A418" s="4" t="s">
        <v>600</v>
      </c>
      <c r="B418" s="5">
        <v>45954</v>
      </c>
      <c r="C418" s="15">
        <f>WEEKNUM(Orders[[#This Row],[OrderDate]])</f>
        <v>43</v>
      </c>
      <c r="D418" s="15" t="str">
        <f>TEXT(Orders[[#This Row],[OrderDate]],"mmmm")</f>
        <v>October</v>
      </c>
      <c r="E418" s="4" t="s">
        <v>305</v>
      </c>
      <c r="F418" s="4" t="s">
        <v>60</v>
      </c>
      <c r="G418" s="4">
        <v>9</v>
      </c>
      <c r="H418" s="12">
        <v>15387.3</v>
      </c>
      <c r="I418" s="13">
        <v>13079.205</v>
      </c>
      <c r="J418" s="13">
        <f>Orders[[#This Row],[Quantity]]*Orders[[#This Row],[Selling Price]]</f>
        <v>138485.69999999998</v>
      </c>
      <c r="K418" s="13">
        <f>Orders[[#This Row],[Quantity]]*Orders[[#This Row],[Cost Price]]</f>
        <v>117712.845</v>
      </c>
      <c r="L418" s="13">
        <f>Orders[[#This Row],[Revenue]]-Orders[[#This Row],[Expenses]]</f>
        <v>20772.854999999981</v>
      </c>
      <c r="M418" t="s">
        <v>2220</v>
      </c>
      <c r="N418" t="str">
        <f>_xlfn.XLOOKUP(Orders[[#This Row],[CustomerID]],Customers[CustomerID],Customers[CustomerName])</f>
        <v>Tunde Danladi</v>
      </c>
      <c r="O418" t="str">
        <f>_xlfn.XLOOKUP(Orders[[#This Row],[CustomerID]],Customers[CustomerID],Customers[City])</f>
        <v>California</v>
      </c>
      <c r="P418" t="str">
        <f>_xlfn.XLOOKUP(Orders[[#This Row],[CustomerID]],Customers[CustomerID],Customers[Gender])</f>
        <v>Male</v>
      </c>
      <c r="Q418">
        <f>_xlfn.XLOOKUP(Orders[[#This Row],[CustomerID]],Customers[CustomerID],Customers[CustomerAge])</f>
        <v>40</v>
      </c>
      <c r="R418" t="str">
        <f>IF(Orders[[#This Row],[CustomerAge]]&gt;=35, "Older", "Young")</f>
        <v>Older</v>
      </c>
      <c r="S418" t="str">
        <f>_xlfn.XLOOKUP(Orders[[#This Row],[ProductID]],Products[ProductID],Products[ProductName])</f>
        <v>Silver Rings</v>
      </c>
      <c r="T418" t="str">
        <f>_xlfn.XLOOKUP(Orders[[#This Row],[ProductID]],Products[ProductID],Products[Category])</f>
        <v>Accessories</v>
      </c>
    </row>
    <row r="419" spans="1:20" x14ac:dyDescent="0.25">
      <c r="A419" s="4" t="s">
        <v>601</v>
      </c>
      <c r="B419" s="5">
        <v>46015</v>
      </c>
      <c r="C419" s="15">
        <f>WEEKNUM(Orders[[#This Row],[OrderDate]])</f>
        <v>52</v>
      </c>
      <c r="D419" s="15" t="str">
        <f>TEXT(Orders[[#This Row],[OrderDate]],"mmmm")</f>
        <v>December</v>
      </c>
      <c r="E419" s="4" t="s">
        <v>146</v>
      </c>
      <c r="F419" s="4" t="s">
        <v>157</v>
      </c>
      <c r="G419" s="4">
        <v>3</v>
      </c>
      <c r="H419" s="12">
        <v>19428.900000000001</v>
      </c>
      <c r="I419" s="13">
        <v>16514.565000000002</v>
      </c>
      <c r="J419" s="13">
        <f>Orders[[#This Row],[Quantity]]*Orders[[#This Row],[Selling Price]]</f>
        <v>58286.700000000004</v>
      </c>
      <c r="K419" s="13">
        <f>Orders[[#This Row],[Quantity]]*Orders[[#This Row],[Cost Price]]</f>
        <v>49543.695000000007</v>
      </c>
      <c r="L419" s="13">
        <f>Orders[[#This Row],[Revenue]]-Orders[[#This Row],[Expenses]]</f>
        <v>8743.0049999999974</v>
      </c>
      <c r="M419" t="s">
        <v>2194</v>
      </c>
      <c r="N419" t="str">
        <f>_xlfn.XLOOKUP(Orders[[#This Row],[CustomerID]],Customers[CustomerID],Customers[CustomerName])</f>
        <v>Mustafa Igwe</v>
      </c>
      <c r="O419" t="str">
        <f>_xlfn.XLOOKUP(Orders[[#This Row],[CustomerID]],Customers[CustomerID],Customers[City])</f>
        <v>Texas</v>
      </c>
      <c r="P419" t="str">
        <f>_xlfn.XLOOKUP(Orders[[#This Row],[CustomerID]],Customers[CustomerID],Customers[Gender])</f>
        <v>Male</v>
      </c>
      <c r="Q419">
        <f>_xlfn.XLOOKUP(Orders[[#This Row],[CustomerID]],Customers[CustomerID],Customers[CustomerAge])</f>
        <v>27</v>
      </c>
      <c r="R419" t="str">
        <f>IF(Orders[[#This Row],[CustomerAge]]&gt;=35, "Older", "Young")</f>
        <v>Young</v>
      </c>
      <c r="S419" t="str">
        <f>_xlfn.XLOOKUP(Orders[[#This Row],[ProductID]],Products[ProductID],Products[ProductName])</f>
        <v>Football</v>
      </c>
      <c r="T419" t="str">
        <f>_xlfn.XLOOKUP(Orders[[#This Row],[ProductID]],Products[ProductID],Products[Category])</f>
        <v>Sports</v>
      </c>
    </row>
    <row r="420" spans="1:20" x14ac:dyDescent="0.25">
      <c r="A420" s="4" t="s">
        <v>602</v>
      </c>
      <c r="B420" s="5">
        <v>45958</v>
      </c>
      <c r="C420" s="15">
        <f>WEEKNUM(Orders[[#This Row],[OrderDate]])</f>
        <v>44</v>
      </c>
      <c r="D420" s="15" t="str">
        <f>TEXT(Orders[[#This Row],[OrderDate]],"mmmm")</f>
        <v>October</v>
      </c>
      <c r="E420" s="4" t="s">
        <v>30</v>
      </c>
      <c r="F420" s="4" t="s">
        <v>37</v>
      </c>
      <c r="G420" s="4">
        <v>5</v>
      </c>
      <c r="H420" s="12">
        <v>3198.1</v>
      </c>
      <c r="I420" s="13">
        <v>2718.3849999999998</v>
      </c>
      <c r="J420" s="13">
        <f>Orders[[#This Row],[Quantity]]*Orders[[#This Row],[Selling Price]]</f>
        <v>15990.5</v>
      </c>
      <c r="K420" s="13">
        <f>Orders[[#This Row],[Quantity]]*Orders[[#This Row],[Cost Price]]</f>
        <v>13591.924999999999</v>
      </c>
      <c r="L420" s="13">
        <f>Orders[[#This Row],[Revenue]]-Orders[[#This Row],[Expenses]]</f>
        <v>2398.5750000000007</v>
      </c>
      <c r="M420" t="s">
        <v>2214</v>
      </c>
      <c r="N420" t="str">
        <f>_xlfn.XLOOKUP(Orders[[#This Row],[CustomerID]],Customers[CustomerID],Customers[CustomerName])</f>
        <v>Amina Danladi</v>
      </c>
      <c r="O420" t="str">
        <f>_xlfn.XLOOKUP(Orders[[#This Row],[CustomerID]],Customers[CustomerID],Customers[City])</f>
        <v>Florida</v>
      </c>
      <c r="P420" t="str">
        <f>_xlfn.XLOOKUP(Orders[[#This Row],[CustomerID]],Customers[CustomerID],Customers[Gender])</f>
        <v>Female</v>
      </c>
      <c r="Q420">
        <f>_xlfn.XLOOKUP(Orders[[#This Row],[CustomerID]],Customers[CustomerID],Customers[CustomerAge])</f>
        <v>42</v>
      </c>
      <c r="R420" t="str">
        <f>IF(Orders[[#This Row],[CustomerAge]]&gt;=35, "Older", "Young")</f>
        <v>Older</v>
      </c>
      <c r="S420" t="str">
        <f>_xlfn.XLOOKUP(Orders[[#This Row],[ProductID]],Products[ProductID],Products[ProductName])</f>
        <v>Iron</v>
      </c>
      <c r="T420" t="str">
        <f>_xlfn.XLOOKUP(Orders[[#This Row],[ProductID]],Products[ProductID],Products[Category])</f>
        <v>Electronics</v>
      </c>
    </row>
    <row r="421" spans="1:20" x14ac:dyDescent="0.25">
      <c r="A421" s="4" t="s">
        <v>603</v>
      </c>
      <c r="B421" s="5">
        <v>46007</v>
      </c>
      <c r="C421" s="15">
        <f>WEEKNUM(Orders[[#This Row],[OrderDate]])</f>
        <v>51</v>
      </c>
      <c r="D421" s="15" t="str">
        <f>TEXT(Orders[[#This Row],[OrderDate]],"mmmm")</f>
        <v>December</v>
      </c>
      <c r="E421" s="4" t="s">
        <v>481</v>
      </c>
      <c r="F421" s="4" t="s">
        <v>120</v>
      </c>
      <c r="G421" s="4">
        <v>2</v>
      </c>
      <c r="H421" s="12">
        <v>2665.7999999999997</v>
      </c>
      <c r="I421" s="13">
        <v>2265.9299999999998</v>
      </c>
      <c r="J421" s="13">
        <f>Orders[[#This Row],[Quantity]]*Orders[[#This Row],[Selling Price]]</f>
        <v>5331.5999999999995</v>
      </c>
      <c r="K421" s="13">
        <f>Orders[[#This Row],[Quantity]]*Orders[[#This Row],[Cost Price]]</f>
        <v>4531.8599999999997</v>
      </c>
      <c r="L421" s="13">
        <f>Orders[[#This Row],[Revenue]]-Orders[[#This Row],[Expenses]]</f>
        <v>799.73999999999978</v>
      </c>
      <c r="M421" t="s">
        <v>2200</v>
      </c>
      <c r="N421" t="str">
        <f>_xlfn.XLOOKUP(Orders[[#This Row],[CustomerID]],Customers[CustomerID],Customers[CustomerName])</f>
        <v>Abiola Bello</v>
      </c>
      <c r="O421" t="str">
        <f>_xlfn.XLOOKUP(Orders[[#This Row],[CustomerID]],Customers[CustomerID],Customers[City])</f>
        <v>Illinois</v>
      </c>
      <c r="P421" t="str">
        <f>_xlfn.XLOOKUP(Orders[[#This Row],[CustomerID]],Customers[CustomerID],Customers[Gender])</f>
        <v>Male</v>
      </c>
      <c r="Q421">
        <f>_xlfn.XLOOKUP(Orders[[#This Row],[CustomerID]],Customers[CustomerID],Customers[CustomerAge])</f>
        <v>33</v>
      </c>
      <c r="R421" t="str">
        <f>IF(Orders[[#This Row],[CustomerAge]]&gt;=35, "Older", "Young")</f>
        <v>Young</v>
      </c>
      <c r="S421" t="str">
        <f>_xlfn.XLOOKUP(Orders[[#This Row],[ProductID]],Products[ProductID],Products[ProductName])</f>
        <v>Chess</v>
      </c>
      <c r="T421" t="str">
        <f>_xlfn.XLOOKUP(Orders[[#This Row],[ProductID]],Products[ProductID],Products[Category])</f>
        <v>Games</v>
      </c>
    </row>
    <row r="422" spans="1:20" x14ac:dyDescent="0.25">
      <c r="A422" s="4" t="s">
        <v>604</v>
      </c>
      <c r="B422" s="5">
        <v>45983</v>
      </c>
      <c r="C422" s="15">
        <f>WEEKNUM(Orders[[#This Row],[OrderDate]])</f>
        <v>47</v>
      </c>
      <c r="D422" s="15" t="str">
        <f>TEXT(Orders[[#This Row],[OrderDate]],"mmmm")</f>
        <v>November</v>
      </c>
      <c r="E422" s="4" t="s">
        <v>605</v>
      </c>
      <c r="F422" s="4" t="s">
        <v>253</v>
      </c>
      <c r="G422" s="4">
        <v>5</v>
      </c>
      <c r="H422" s="12">
        <v>9905.1</v>
      </c>
      <c r="I422" s="13">
        <v>8419.3350000000009</v>
      </c>
      <c r="J422" s="13">
        <f>Orders[[#This Row],[Quantity]]*Orders[[#This Row],[Selling Price]]</f>
        <v>49525.5</v>
      </c>
      <c r="K422" s="13">
        <f>Orders[[#This Row],[Quantity]]*Orders[[#This Row],[Cost Price]]</f>
        <v>42096.675000000003</v>
      </c>
      <c r="L422" s="13">
        <f>Orders[[#This Row],[Revenue]]-Orders[[#This Row],[Expenses]]</f>
        <v>7428.8249999999971</v>
      </c>
      <c r="M422" t="s">
        <v>2211</v>
      </c>
      <c r="N422" t="str">
        <f>_xlfn.XLOOKUP(Orders[[#This Row],[CustomerID]],Customers[CustomerID],Customers[CustomerName])</f>
        <v>Blessing Abubakar</v>
      </c>
      <c r="O422" t="str">
        <f>_xlfn.XLOOKUP(Orders[[#This Row],[CustomerID]],Customers[CustomerID],Customers[City])</f>
        <v>Texas</v>
      </c>
      <c r="P422" t="str">
        <f>_xlfn.XLOOKUP(Orders[[#This Row],[CustomerID]],Customers[CustomerID],Customers[Gender])</f>
        <v>Female</v>
      </c>
      <c r="Q422">
        <f>_xlfn.XLOOKUP(Orders[[#This Row],[CustomerID]],Customers[CustomerID],Customers[CustomerAge])</f>
        <v>44</v>
      </c>
      <c r="R422" t="str">
        <f>IF(Orders[[#This Row],[CustomerAge]]&gt;=35, "Older", "Young")</f>
        <v>Older</v>
      </c>
      <c r="S422" t="str">
        <f>_xlfn.XLOOKUP(Orders[[#This Row],[ProductID]],Products[ProductID],Products[ProductName])</f>
        <v>Nose Rings</v>
      </c>
      <c r="T422" t="str">
        <f>_xlfn.XLOOKUP(Orders[[#This Row],[ProductID]],Products[ProductID],Products[Category])</f>
        <v>Accessories</v>
      </c>
    </row>
    <row r="423" spans="1:20" x14ac:dyDescent="0.25">
      <c r="A423" s="4" t="s">
        <v>606</v>
      </c>
      <c r="B423" s="5">
        <v>46011</v>
      </c>
      <c r="C423" s="15">
        <f>WEEKNUM(Orders[[#This Row],[OrderDate]])</f>
        <v>51</v>
      </c>
      <c r="D423" s="15" t="str">
        <f>TEXT(Orders[[#This Row],[OrderDate]],"mmmm")</f>
        <v>December</v>
      </c>
      <c r="E423" s="4" t="s">
        <v>607</v>
      </c>
      <c r="F423" s="4" t="s">
        <v>70</v>
      </c>
      <c r="G423" s="4">
        <v>1</v>
      </c>
      <c r="H423" s="12">
        <v>18652.8</v>
      </c>
      <c r="I423" s="13">
        <v>15854.88</v>
      </c>
      <c r="J423" s="13">
        <f>Orders[[#This Row],[Quantity]]*Orders[[#This Row],[Selling Price]]</f>
        <v>18652.8</v>
      </c>
      <c r="K423" s="13">
        <f>Orders[[#This Row],[Quantity]]*Orders[[#This Row],[Cost Price]]</f>
        <v>15854.88</v>
      </c>
      <c r="L423" s="13">
        <f>Orders[[#This Row],[Revenue]]-Orders[[#This Row],[Expenses]]</f>
        <v>2797.92</v>
      </c>
      <c r="M423" t="s">
        <v>2199</v>
      </c>
      <c r="N423" t="str">
        <f>_xlfn.XLOOKUP(Orders[[#This Row],[CustomerID]],Customers[CustomerID],Customers[CustomerName])</f>
        <v>Folasade Ojo</v>
      </c>
      <c r="O423" t="str">
        <f>_xlfn.XLOOKUP(Orders[[#This Row],[CustomerID]],Customers[CustomerID],Customers[City])</f>
        <v>Texas</v>
      </c>
      <c r="P423" t="str">
        <f>_xlfn.XLOOKUP(Orders[[#This Row],[CustomerID]],Customers[CustomerID],Customers[Gender])</f>
        <v>Female</v>
      </c>
      <c r="Q423">
        <f>_xlfn.XLOOKUP(Orders[[#This Row],[CustomerID]],Customers[CustomerID],Customers[CustomerAge])</f>
        <v>19</v>
      </c>
      <c r="R423" t="str">
        <f>IF(Orders[[#This Row],[CustomerAge]]&gt;=35, "Older", "Young")</f>
        <v>Young</v>
      </c>
      <c r="S423" t="str">
        <f>_xlfn.XLOOKUP(Orders[[#This Row],[ProductID]],Products[ProductID],Products[ProductName])</f>
        <v>Yoga Mat</v>
      </c>
      <c r="T423" t="str">
        <f>_xlfn.XLOOKUP(Orders[[#This Row],[ProductID]],Products[ProductID],Products[Category])</f>
        <v>Gym</v>
      </c>
    </row>
    <row r="424" spans="1:20" x14ac:dyDescent="0.25">
      <c r="A424" s="4" t="s">
        <v>608</v>
      </c>
      <c r="B424" s="5">
        <v>45965</v>
      </c>
      <c r="C424" s="15">
        <f>WEEKNUM(Orders[[#This Row],[OrderDate]])</f>
        <v>45</v>
      </c>
      <c r="D424" s="15" t="str">
        <f>TEXT(Orders[[#This Row],[OrderDate]],"mmmm")</f>
        <v>November</v>
      </c>
      <c r="E424" s="4" t="s">
        <v>55</v>
      </c>
      <c r="F424" s="4" t="s">
        <v>46</v>
      </c>
      <c r="G424" s="4">
        <v>6</v>
      </c>
      <c r="H424" s="12">
        <v>10950.3</v>
      </c>
      <c r="I424" s="13">
        <v>9307.7549999999992</v>
      </c>
      <c r="J424" s="13">
        <f>Orders[[#This Row],[Quantity]]*Orders[[#This Row],[Selling Price]]</f>
        <v>65701.799999999988</v>
      </c>
      <c r="K424" s="13">
        <f>Orders[[#This Row],[Quantity]]*Orders[[#This Row],[Cost Price]]</f>
        <v>55846.53</v>
      </c>
      <c r="L424" s="13">
        <f>Orders[[#This Row],[Revenue]]-Orders[[#This Row],[Expenses]]</f>
        <v>9855.2699999999895</v>
      </c>
      <c r="M424" t="s">
        <v>2199</v>
      </c>
      <c r="N424" t="str">
        <f>_xlfn.XLOOKUP(Orders[[#This Row],[CustomerID]],Customers[CustomerID],Customers[CustomerName])</f>
        <v>Adanma Ojo</v>
      </c>
      <c r="O424" t="str">
        <f>_xlfn.XLOOKUP(Orders[[#This Row],[CustomerID]],Customers[CustomerID],Customers[City])</f>
        <v>California</v>
      </c>
      <c r="P424" t="str">
        <f>_xlfn.XLOOKUP(Orders[[#This Row],[CustomerID]],Customers[CustomerID],Customers[Gender])</f>
        <v>Female</v>
      </c>
      <c r="Q424">
        <f>_xlfn.XLOOKUP(Orders[[#This Row],[CustomerID]],Customers[CustomerID],Customers[CustomerAge])</f>
        <v>48</v>
      </c>
      <c r="R424" t="str">
        <f>IF(Orders[[#This Row],[CustomerAge]]&gt;=35, "Older", "Young")</f>
        <v>Older</v>
      </c>
      <c r="S424" t="str">
        <f>_xlfn.XLOOKUP(Orders[[#This Row],[ProductID]],Products[ProductID],Products[ProductName])</f>
        <v>Turtle Neck</v>
      </c>
      <c r="T424" t="str">
        <f>_xlfn.XLOOKUP(Orders[[#This Row],[ProductID]],Products[ProductID],Products[Category])</f>
        <v>Clothing</v>
      </c>
    </row>
    <row r="425" spans="1:20" x14ac:dyDescent="0.25">
      <c r="A425" s="4" t="s">
        <v>609</v>
      </c>
      <c r="B425" s="5">
        <v>45941</v>
      </c>
      <c r="C425" s="15">
        <f>WEEKNUM(Orders[[#This Row],[OrderDate]])</f>
        <v>41</v>
      </c>
      <c r="D425" s="15" t="str">
        <f>TEXT(Orders[[#This Row],[OrderDate]],"mmmm")</f>
        <v>October</v>
      </c>
      <c r="E425" s="4" t="s">
        <v>305</v>
      </c>
      <c r="F425" s="4" t="s">
        <v>25</v>
      </c>
      <c r="G425" s="4">
        <v>10</v>
      </c>
      <c r="H425" s="12">
        <v>1367.8999999999999</v>
      </c>
      <c r="I425" s="13">
        <v>1162.7149999999999</v>
      </c>
      <c r="J425" s="13">
        <f>Orders[[#This Row],[Quantity]]*Orders[[#This Row],[Selling Price]]</f>
        <v>13678.999999999998</v>
      </c>
      <c r="K425" s="13">
        <f>Orders[[#This Row],[Quantity]]*Orders[[#This Row],[Cost Price]]</f>
        <v>11627.15</v>
      </c>
      <c r="L425" s="13">
        <f>Orders[[#This Row],[Revenue]]-Orders[[#This Row],[Expenses]]</f>
        <v>2051.8499999999985</v>
      </c>
      <c r="M425" t="s">
        <v>2219</v>
      </c>
      <c r="N425" t="str">
        <f>_xlfn.XLOOKUP(Orders[[#This Row],[CustomerID]],Customers[CustomerID],Customers[CustomerName])</f>
        <v>Tunde Danladi</v>
      </c>
      <c r="O425" t="str">
        <f>_xlfn.XLOOKUP(Orders[[#This Row],[CustomerID]],Customers[CustomerID],Customers[City])</f>
        <v>California</v>
      </c>
      <c r="P425" t="str">
        <f>_xlfn.XLOOKUP(Orders[[#This Row],[CustomerID]],Customers[CustomerID],Customers[Gender])</f>
        <v>Male</v>
      </c>
      <c r="Q425">
        <f>_xlfn.XLOOKUP(Orders[[#This Row],[CustomerID]],Customers[CustomerID],Customers[CustomerAge])</f>
        <v>40</v>
      </c>
      <c r="R425" t="str">
        <f>IF(Orders[[#This Row],[CustomerAge]]&gt;=35, "Older", "Young")</f>
        <v>Older</v>
      </c>
      <c r="S425" t="str">
        <f>_xlfn.XLOOKUP(Orders[[#This Row],[ProductID]],Products[ProductID],Products[ProductName])</f>
        <v>Gold Rings</v>
      </c>
      <c r="T425" t="str">
        <f>_xlfn.XLOOKUP(Orders[[#This Row],[ProductID]],Products[ProductID],Products[Category])</f>
        <v>Accessories</v>
      </c>
    </row>
    <row r="426" spans="1:20" x14ac:dyDescent="0.25">
      <c r="A426" s="4" t="s">
        <v>610</v>
      </c>
      <c r="B426" s="5">
        <v>45986</v>
      </c>
      <c r="C426" s="15">
        <f>WEEKNUM(Orders[[#This Row],[OrderDate]])</f>
        <v>48</v>
      </c>
      <c r="D426" s="15" t="str">
        <f>TEXT(Orders[[#This Row],[OrderDate]],"mmmm")</f>
        <v>November</v>
      </c>
      <c r="E426" s="4" t="s">
        <v>256</v>
      </c>
      <c r="F426" s="4" t="s">
        <v>12</v>
      </c>
      <c r="G426" s="4">
        <v>3</v>
      </c>
      <c r="H426" s="12">
        <v>14676.099999999999</v>
      </c>
      <c r="I426" s="13">
        <v>12474.684999999999</v>
      </c>
      <c r="J426" s="13">
        <f>Orders[[#This Row],[Quantity]]*Orders[[#This Row],[Selling Price]]</f>
        <v>44028.299999999996</v>
      </c>
      <c r="K426" s="13">
        <f>Orders[[#This Row],[Quantity]]*Orders[[#This Row],[Cost Price]]</f>
        <v>37424.055</v>
      </c>
      <c r="L426" s="13">
        <f>Orders[[#This Row],[Revenue]]-Orders[[#This Row],[Expenses]]</f>
        <v>6604.2449999999953</v>
      </c>
      <c r="M426" t="s">
        <v>2200</v>
      </c>
      <c r="N426" t="str">
        <f>_xlfn.XLOOKUP(Orders[[#This Row],[CustomerID]],Customers[CustomerID],Customers[CustomerName])</f>
        <v>Efe Ojo</v>
      </c>
      <c r="O426" t="str">
        <f>_xlfn.XLOOKUP(Orders[[#This Row],[CustomerID]],Customers[CustomerID],Customers[City])</f>
        <v>Georgia</v>
      </c>
      <c r="P426" t="str">
        <f>_xlfn.XLOOKUP(Orders[[#This Row],[CustomerID]],Customers[CustomerID],Customers[Gender])</f>
        <v>Female</v>
      </c>
      <c r="Q426">
        <f>_xlfn.XLOOKUP(Orders[[#This Row],[CustomerID]],Customers[CustomerID],Customers[CustomerAge])</f>
        <v>23</v>
      </c>
      <c r="R426" t="str">
        <f>IF(Orders[[#This Row],[CustomerAge]]&gt;=35, "Older", "Young")</f>
        <v>Young</v>
      </c>
      <c r="S426" t="str">
        <f>_xlfn.XLOOKUP(Orders[[#This Row],[ProductID]],Products[ProductID],Products[ProductName])</f>
        <v>Boubou</v>
      </c>
      <c r="T426" t="str">
        <f>_xlfn.XLOOKUP(Orders[[#This Row],[ProductID]],Products[ProductID],Products[Category])</f>
        <v>Clothing</v>
      </c>
    </row>
    <row r="427" spans="1:20" x14ac:dyDescent="0.25">
      <c r="A427" s="4" t="s">
        <v>611</v>
      </c>
      <c r="B427" s="5">
        <v>45966</v>
      </c>
      <c r="C427" s="15">
        <f>WEEKNUM(Orders[[#This Row],[OrderDate]])</f>
        <v>45</v>
      </c>
      <c r="D427" s="15" t="str">
        <f>TEXT(Orders[[#This Row],[OrderDate]],"mmmm")</f>
        <v>November</v>
      </c>
      <c r="E427" s="4" t="s">
        <v>96</v>
      </c>
      <c r="F427" s="4" t="s">
        <v>130</v>
      </c>
      <c r="G427" s="4">
        <v>4</v>
      </c>
      <c r="H427" s="12">
        <v>8072.3</v>
      </c>
      <c r="I427" s="13">
        <v>6861.4549999999999</v>
      </c>
      <c r="J427" s="13">
        <f>Orders[[#This Row],[Quantity]]*Orders[[#This Row],[Selling Price]]</f>
        <v>32289.200000000001</v>
      </c>
      <c r="K427" s="13">
        <f>Orders[[#This Row],[Quantity]]*Orders[[#This Row],[Cost Price]]</f>
        <v>27445.82</v>
      </c>
      <c r="L427" s="13">
        <f>Orders[[#This Row],[Revenue]]-Orders[[#This Row],[Expenses]]</f>
        <v>4843.380000000001</v>
      </c>
      <c r="M427" t="s">
        <v>2210</v>
      </c>
      <c r="N427" t="str">
        <f>_xlfn.XLOOKUP(Orders[[#This Row],[CustomerID]],Customers[CustomerID],Customers[CustomerName])</f>
        <v>Amina Abubakar</v>
      </c>
      <c r="O427" t="str">
        <f>_xlfn.XLOOKUP(Orders[[#This Row],[CustomerID]],Customers[CustomerID],Customers[City])</f>
        <v>Texas</v>
      </c>
      <c r="P427" t="str">
        <f>_xlfn.XLOOKUP(Orders[[#This Row],[CustomerID]],Customers[CustomerID],Customers[Gender])</f>
        <v>Female</v>
      </c>
      <c r="Q427">
        <f>_xlfn.XLOOKUP(Orders[[#This Row],[CustomerID]],Customers[CustomerID],Customers[CustomerAge])</f>
        <v>35</v>
      </c>
      <c r="R427" t="str">
        <f>IF(Orders[[#This Row],[CustomerAge]]&gt;=35, "Older", "Young")</f>
        <v>Older</v>
      </c>
      <c r="S427" t="str">
        <f>_xlfn.XLOOKUP(Orders[[#This Row],[ProductID]],Products[ProductID],Products[ProductName])</f>
        <v>Gold Earrings And Necklaces</v>
      </c>
      <c r="T427" t="str">
        <f>_xlfn.XLOOKUP(Orders[[#This Row],[ProductID]],Products[ProductID],Products[Category])</f>
        <v>Accessories</v>
      </c>
    </row>
    <row r="428" spans="1:20" x14ac:dyDescent="0.25">
      <c r="A428" s="4" t="s">
        <v>612</v>
      </c>
      <c r="B428" s="5">
        <v>45944</v>
      </c>
      <c r="C428" s="15">
        <f>WEEKNUM(Orders[[#This Row],[OrderDate]])</f>
        <v>42</v>
      </c>
      <c r="D428" s="15" t="str">
        <f>TEXT(Orders[[#This Row],[OrderDate]],"mmmm")</f>
        <v>October</v>
      </c>
      <c r="E428" s="4" t="s">
        <v>346</v>
      </c>
      <c r="F428" s="4" t="s">
        <v>28</v>
      </c>
      <c r="G428" s="4">
        <v>8</v>
      </c>
      <c r="H428" s="12">
        <v>4478.6000000000004</v>
      </c>
      <c r="I428" s="13">
        <v>3806.8100000000004</v>
      </c>
      <c r="J428" s="13">
        <f>Orders[[#This Row],[Quantity]]*Orders[[#This Row],[Selling Price]]</f>
        <v>35828.800000000003</v>
      </c>
      <c r="K428" s="13">
        <f>Orders[[#This Row],[Quantity]]*Orders[[#This Row],[Cost Price]]</f>
        <v>30454.480000000003</v>
      </c>
      <c r="L428" s="13">
        <f>Orders[[#This Row],[Revenue]]-Orders[[#This Row],[Expenses]]</f>
        <v>5374.32</v>
      </c>
      <c r="M428" t="s">
        <v>2198</v>
      </c>
      <c r="N428" t="str">
        <f>_xlfn.XLOOKUP(Orders[[#This Row],[CustomerID]],Customers[CustomerID],Customers[CustomerName])</f>
        <v>Ngozi Danladi</v>
      </c>
      <c r="O428" t="str">
        <f>_xlfn.XLOOKUP(Orders[[#This Row],[CustomerID]],Customers[CustomerID],Customers[City])</f>
        <v>California</v>
      </c>
      <c r="P428" t="str">
        <f>_xlfn.XLOOKUP(Orders[[#This Row],[CustomerID]],Customers[CustomerID],Customers[Gender])</f>
        <v>Female</v>
      </c>
      <c r="Q428">
        <f>_xlfn.XLOOKUP(Orders[[#This Row],[CustomerID]],Customers[CustomerID],Customers[CustomerAge])</f>
        <v>30</v>
      </c>
      <c r="R428" t="str">
        <f>IF(Orders[[#This Row],[CustomerAge]]&gt;=35, "Older", "Young")</f>
        <v>Young</v>
      </c>
      <c r="S428" t="str">
        <f>_xlfn.XLOOKUP(Orders[[#This Row],[ProductID]],Products[ProductID],Products[ProductName])</f>
        <v>Sneakers</v>
      </c>
      <c r="T428" t="str">
        <f>_xlfn.XLOOKUP(Orders[[#This Row],[ProductID]],Products[ProductID],Products[Category])</f>
        <v>Sports</v>
      </c>
    </row>
    <row r="429" spans="1:20" x14ac:dyDescent="0.25">
      <c r="A429" s="4" t="s">
        <v>613</v>
      </c>
      <c r="B429" s="5">
        <v>45959</v>
      </c>
      <c r="C429" s="15">
        <f>WEEKNUM(Orders[[#This Row],[OrderDate]])</f>
        <v>44</v>
      </c>
      <c r="D429" s="15" t="str">
        <f>TEXT(Orders[[#This Row],[OrderDate]],"mmmm")</f>
        <v>October</v>
      </c>
      <c r="E429" s="4" t="s">
        <v>309</v>
      </c>
      <c r="F429" s="4" t="s">
        <v>353</v>
      </c>
      <c r="G429" s="4">
        <v>3</v>
      </c>
      <c r="H429" s="12">
        <v>8388.9</v>
      </c>
      <c r="I429" s="13">
        <v>7130.5649999999996</v>
      </c>
      <c r="J429" s="13">
        <f>Orders[[#This Row],[Quantity]]*Orders[[#This Row],[Selling Price]]</f>
        <v>25166.699999999997</v>
      </c>
      <c r="K429" s="13">
        <f>Orders[[#This Row],[Quantity]]*Orders[[#This Row],[Cost Price]]</f>
        <v>21391.695</v>
      </c>
      <c r="L429" s="13">
        <f>Orders[[#This Row],[Revenue]]-Orders[[#This Row],[Expenses]]</f>
        <v>3775.0049999999974</v>
      </c>
      <c r="M429" t="s">
        <v>2206</v>
      </c>
      <c r="N429" t="str">
        <f>_xlfn.XLOOKUP(Orders[[#This Row],[CustomerID]],Customers[CustomerID],Customers[CustomerName])</f>
        <v>Temi Ojo</v>
      </c>
      <c r="O429" t="str">
        <f>_xlfn.XLOOKUP(Orders[[#This Row],[CustomerID]],Customers[CustomerID],Customers[City])</f>
        <v>Washington</v>
      </c>
      <c r="P429" t="str">
        <f>_xlfn.XLOOKUP(Orders[[#This Row],[CustomerID]],Customers[CustomerID],Customers[Gender])</f>
        <v>Female</v>
      </c>
      <c r="Q429">
        <f>_xlfn.XLOOKUP(Orders[[#This Row],[CustomerID]],Customers[CustomerID],Customers[CustomerAge])</f>
        <v>36</v>
      </c>
      <c r="R429" t="str">
        <f>IF(Orders[[#This Row],[CustomerAge]]&gt;=35, "Older", "Young")</f>
        <v>Older</v>
      </c>
      <c r="S429" t="str">
        <f>_xlfn.XLOOKUP(Orders[[#This Row],[ProductID]],Products[ProductID],Products[ProductName])</f>
        <v>Silver Earrings And Necklaces</v>
      </c>
      <c r="T429" t="str">
        <f>_xlfn.XLOOKUP(Orders[[#This Row],[ProductID]],Products[ProductID],Products[Category])</f>
        <v>Accessories</v>
      </c>
    </row>
    <row r="430" spans="1:20" x14ac:dyDescent="0.25">
      <c r="A430" s="4" t="s">
        <v>614</v>
      </c>
      <c r="B430" s="5">
        <v>45986</v>
      </c>
      <c r="C430" s="15">
        <f>WEEKNUM(Orders[[#This Row],[OrderDate]])</f>
        <v>48</v>
      </c>
      <c r="D430" s="15" t="str">
        <f>TEXT(Orders[[#This Row],[OrderDate]],"mmmm")</f>
        <v>November</v>
      </c>
      <c r="E430" s="4" t="s">
        <v>186</v>
      </c>
      <c r="F430" s="4" t="s">
        <v>20</v>
      </c>
      <c r="G430" s="4">
        <v>2</v>
      </c>
      <c r="H430" s="12">
        <v>5559.9</v>
      </c>
      <c r="I430" s="13">
        <v>4725.915</v>
      </c>
      <c r="J430" s="13">
        <f>Orders[[#This Row],[Quantity]]*Orders[[#This Row],[Selling Price]]</f>
        <v>11119.8</v>
      </c>
      <c r="K430" s="13">
        <f>Orders[[#This Row],[Quantity]]*Orders[[#This Row],[Cost Price]]</f>
        <v>9451.83</v>
      </c>
      <c r="L430" s="13">
        <f>Orders[[#This Row],[Revenue]]-Orders[[#This Row],[Expenses]]</f>
        <v>1667.9699999999993</v>
      </c>
      <c r="M430" t="s">
        <v>2194</v>
      </c>
      <c r="N430" t="str">
        <f>_xlfn.XLOOKUP(Orders[[#This Row],[CustomerID]],Customers[CustomerID],Customers[CustomerName])</f>
        <v>Ronke Eze</v>
      </c>
      <c r="O430" t="str">
        <f>_xlfn.XLOOKUP(Orders[[#This Row],[CustomerID]],Customers[CustomerID],Customers[City])</f>
        <v>Texas</v>
      </c>
      <c r="P430" t="str">
        <f>_xlfn.XLOOKUP(Orders[[#This Row],[CustomerID]],Customers[CustomerID],Customers[Gender])</f>
        <v>Female</v>
      </c>
      <c r="Q430">
        <f>_xlfn.XLOOKUP(Orders[[#This Row],[CustomerID]],Customers[CustomerID],Customers[CustomerAge])</f>
        <v>37</v>
      </c>
      <c r="R430" t="str">
        <f>IF(Orders[[#This Row],[CustomerAge]]&gt;=35, "Older", "Young")</f>
        <v>Older</v>
      </c>
      <c r="S430" t="str">
        <f>_xlfn.XLOOKUP(Orders[[#This Row],[ProductID]],Products[ProductID],Products[ProductName])</f>
        <v>Gym Bag</v>
      </c>
      <c r="T430" t="str">
        <f>_xlfn.XLOOKUP(Orders[[#This Row],[ProductID]],Products[ProductID],Products[Category])</f>
        <v>Gym</v>
      </c>
    </row>
    <row r="431" spans="1:20" x14ac:dyDescent="0.25">
      <c r="A431" s="4" t="s">
        <v>615</v>
      </c>
      <c r="B431" s="5">
        <v>45945</v>
      </c>
      <c r="C431" s="15">
        <f>WEEKNUM(Orders[[#This Row],[OrderDate]])</f>
        <v>42</v>
      </c>
      <c r="D431" s="15" t="str">
        <f>TEXT(Orders[[#This Row],[OrderDate]],"mmmm")</f>
        <v>October</v>
      </c>
      <c r="E431" s="4" t="s">
        <v>481</v>
      </c>
      <c r="F431" s="4" t="s">
        <v>15</v>
      </c>
      <c r="G431" s="4">
        <v>3</v>
      </c>
      <c r="H431" s="12">
        <v>7234.5</v>
      </c>
      <c r="I431" s="13">
        <v>6149.3249999999998</v>
      </c>
      <c r="J431" s="13">
        <f>Orders[[#This Row],[Quantity]]*Orders[[#This Row],[Selling Price]]</f>
        <v>21703.5</v>
      </c>
      <c r="K431" s="13">
        <f>Orders[[#This Row],[Quantity]]*Orders[[#This Row],[Cost Price]]</f>
        <v>18447.974999999999</v>
      </c>
      <c r="L431" s="13">
        <f>Orders[[#This Row],[Revenue]]-Orders[[#This Row],[Expenses]]</f>
        <v>3255.5250000000015</v>
      </c>
      <c r="M431" t="s">
        <v>2198</v>
      </c>
      <c r="N431" t="str">
        <f>_xlfn.XLOOKUP(Orders[[#This Row],[CustomerID]],Customers[CustomerID],Customers[CustomerName])</f>
        <v>Abiola Bello</v>
      </c>
      <c r="O431" t="str">
        <f>_xlfn.XLOOKUP(Orders[[#This Row],[CustomerID]],Customers[CustomerID],Customers[City])</f>
        <v>Illinois</v>
      </c>
      <c r="P431" t="str">
        <f>_xlfn.XLOOKUP(Orders[[#This Row],[CustomerID]],Customers[CustomerID],Customers[Gender])</f>
        <v>Male</v>
      </c>
      <c r="Q431">
        <f>_xlfn.XLOOKUP(Orders[[#This Row],[CustomerID]],Customers[CustomerID],Customers[CustomerAge])</f>
        <v>33</v>
      </c>
      <c r="R431" t="str">
        <f>IF(Orders[[#This Row],[CustomerAge]]&gt;=35, "Older", "Young")</f>
        <v>Young</v>
      </c>
      <c r="S431" t="str">
        <f>_xlfn.XLOOKUP(Orders[[#This Row],[ProductID]],Products[ProductID],Products[ProductName])</f>
        <v>Monopoly</v>
      </c>
      <c r="T431" t="str">
        <f>_xlfn.XLOOKUP(Orders[[#This Row],[ProductID]],Products[ProductID],Products[Category])</f>
        <v>Games</v>
      </c>
    </row>
    <row r="432" spans="1:20" x14ac:dyDescent="0.25">
      <c r="A432" s="4" t="s">
        <v>616</v>
      </c>
      <c r="B432" s="5">
        <v>45967</v>
      </c>
      <c r="C432" s="15">
        <f>WEEKNUM(Orders[[#This Row],[OrderDate]])</f>
        <v>45</v>
      </c>
      <c r="D432" s="15" t="str">
        <f>TEXT(Orders[[#This Row],[OrderDate]],"mmmm")</f>
        <v>November</v>
      </c>
      <c r="E432" s="4" t="s">
        <v>146</v>
      </c>
      <c r="F432" s="4" t="s">
        <v>25</v>
      </c>
      <c r="G432" s="4">
        <v>4</v>
      </c>
      <c r="H432" s="12">
        <v>1504.1999999999998</v>
      </c>
      <c r="I432" s="13">
        <v>1278.57</v>
      </c>
      <c r="J432" s="13">
        <f>Orders[[#This Row],[Quantity]]*Orders[[#This Row],[Selling Price]]</f>
        <v>6016.7999999999993</v>
      </c>
      <c r="K432" s="13">
        <f>Orders[[#This Row],[Quantity]]*Orders[[#This Row],[Cost Price]]</f>
        <v>5114.28</v>
      </c>
      <c r="L432" s="13">
        <f>Orders[[#This Row],[Revenue]]-Orders[[#This Row],[Expenses]]</f>
        <v>902.51999999999953</v>
      </c>
      <c r="M432" t="s">
        <v>2200</v>
      </c>
      <c r="N432" t="str">
        <f>_xlfn.XLOOKUP(Orders[[#This Row],[CustomerID]],Customers[CustomerID],Customers[CustomerName])</f>
        <v>Mustafa Igwe</v>
      </c>
      <c r="O432" t="str">
        <f>_xlfn.XLOOKUP(Orders[[#This Row],[CustomerID]],Customers[CustomerID],Customers[City])</f>
        <v>Texas</v>
      </c>
      <c r="P432" t="str">
        <f>_xlfn.XLOOKUP(Orders[[#This Row],[CustomerID]],Customers[CustomerID],Customers[Gender])</f>
        <v>Male</v>
      </c>
      <c r="Q432">
        <f>_xlfn.XLOOKUP(Orders[[#This Row],[CustomerID]],Customers[CustomerID],Customers[CustomerAge])</f>
        <v>27</v>
      </c>
      <c r="R432" t="str">
        <f>IF(Orders[[#This Row],[CustomerAge]]&gt;=35, "Older", "Young")</f>
        <v>Young</v>
      </c>
      <c r="S432" t="str">
        <f>_xlfn.XLOOKUP(Orders[[#This Row],[ProductID]],Products[ProductID],Products[ProductName])</f>
        <v>Gold Rings</v>
      </c>
      <c r="T432" t="str">
        <f>_xlfn.XLOOKUP(Orders[[#This Row],[ProductID]],Products[ProductID],Products[Category])</f>
        <v>Accessories</v>
      </c>
    </row>
    <row r="433" spans="1:20" x14ac:dyDescent="0.25">
      <c r="A433" s="4" t="s">
        <v>617</v>
      </c>
      <c r="B433" s="5">
        <v>45973</v>
      </c>
      <c r="C433" s="15">
        <f>WEEKNUM(Orders[[#This Row],[OrderDate]])</f>
        <v>46</v>
      </c>
      <c r="D433" s="15" t="str">
        <f>TEXT(Orders[[#This Row],[OrderDate]],"mmmm")</f>
        <v>November</v>
      </c>
      <c r="E433" s="4" t="s">
        <v>272</v>
      </c>
      <c r="F433" s="4" t="s">
        <v>208</v>
      </c>
      <c r="G433" s="4">
        <v>10</v>
      </c>
      <c r="H433" s="12">
        <v>11698.599999999999</v>
      </c>
      <c r="I433" s="13">
        <v>9943.81</v>
      </c>
      <c r="J433" s="13">
        <f>Orders[[#This Row],[Quantity]]*Orders[[#This Row],[Selling Price]]</f>
        <v>116985.99999999999</v>
      </c>
      <c r="K433" s="13">
        <f>Orders[[#This Row],[Quantity]]*Orders[[#This Row],[Cost Price]]</f>
        <v>99438.099999999991</v>
      </c>
      <c r="L433" s="13">
        <f>Orders[[#This Row],[Revenue]]-Orders[[#This Row],[Expenses]]</f>
        <v>17547.899999999994</v>
      </c>
      <c r="M433" t="s">
        <v>2209</v>
      </c>
      <c r="N433" t="str">
        <f>_xlfn.XLOOKUP(Orders[[#This Row],[CustomerID]],Customers[CustomerID],Customers[CustomerName])</f>
        <v>Blessing Bello</v>
      </c>
      <c r="O433" t="str">
        <f>_xlfn.XLOOKUP(Orders[[#This Row],[CustomerID]],Customers[CustomerID],Customers[City])</f>
        <v>Florida</v>
      </c>
      <c r="P433" t="str">
        <f>_xlfn.XLOOKUP(Orders[[#This Row],[CustomerID]],Customers[CustomerID],Customers[Gender])</f>
        <v>Female</v>
      </c>
      <c r="Q433">
        <f>_xlfn.XLOOKUP(Orders[[#This Row],[CustomerID]],Customers[CustomerID],Customers[CustomerAge])</f>
        <v>38</v>
      </c>
      <c r="R433" t="str">
        <f>IF(Orders[[#This Row],[CustomerAge]]&gt;=35, "Older", "Young")</f>
        <v>Older</v>
      </c>
      <c r="S433" t="str">
        <f>_xlfn.XLOOKUP(Orders[[#This Row],[ProductID]],Products[ProductID],Products[ProductName])</f>
        <v>Skipping Rope</v>
      </c>
      <c r="T433" t="str">
        <f>_xlfn.XLOOKUP(Orders[[#This Row],[ProductID]],Products[ProductID],Products[Category])</f>
        <v>Sports</v>
      </c>
    </row>
    <row r="434" spans="1:20" x14ac:dyDescent="0.25">
      <c r="A434" s="4" t="s">
        <v>618</v>
      </c>
      <c r="B434" s="5">
        <v>45996</v>
      </c>
      <c r="C434" s="15">
        <f>WEEKNUM(Orders[[#This Row],[OrderDate]])</f>
        <v>49</v>
      </c>
      <c r="D434" s="15" t="str">
        <f>TEXT(Orders[[#This Row],[OrderDate]],"mmmm")</f>
        <v>December</v>
      </c>
      <c r="E434" s="4" t="s">
        <v>521</v>
      </c>
      <c r="F434" s="4" t="s">
        <v>28</v>
      </c>
      <c r="G434" s="4">
        <v>8</v>
      </c>
      <c r="H434" s="12">
        <v>12155.599999999999</v>
      </c>
      <c r="I434" s="13">
        <v>10332.259999999998</v>
      </c>
      <c r="J434" s="13">
        <f>Orders[[#This Row],[Quantity]]*Orders[[#This Row],[Selling Price]]</f>
        <v>97244.799999999988</v>
      </c>
      <c r="K434" s="13">
        <f>Orders[[#This Row],[Quantity]]*Orders[[#This Row],[Cost Price]]</f>
        <v>82658.079999999987</v>
      </c>
      <c r="L434" s="13">
        <f>Orders[[#This Row],[Revenue]]-Orders[[#This Row],[Expenses]]</f>
        <v>14586.720000000001</v>
      </c>
      <c r="M434" t="s">
        <v>2193</v>
      </c>
      <c r="N434" t="str">
        <f>_xlfn.XLOOKUP(Orders[[#This Row],[CustomerID]],Customers[CustomerID],Customers[CustomerName])</f>
        <v>Ronke Eze</v>
      </c>
      <c r="O434" t="str">
        <f>_xlfn.XLOOKUP(Orders[[#This Row],[CustomerID]],Customers[CustomerID],Customers[City])</f>
        <v>Illinois</v>
      </c>
      <c r="P434" t="str">
        <f>_xlfn.XLOOKUP(Orders[[#This Row],[CustomerID]],Customers[CustomerID],Customers[Gender])</f>
        <v>Female</v>
      </c>
      <c r="Q434">
        <f>_xlfn.XLOOKUP(Orders[[#This Row],[CustomerID]],Customers[CustomerID],Customers[CustomerAge])</f>
        <v>25</v>
      </c>
      <c r="R434" t="str">
        <f>IF(Orders[[#This Row],[CustomerAge]]&gt;=35, "Older", "Young")</f>
        <v>Young</v>
      </c>
      <c r="S434" t="str">
        <f>_xlfn.XLOOKUP(Orders[[#This Row],[ProductID]],Products[ProductID],Products[ProductName])</f>
        <v>Sneakers</v>
      </c>
      <c r="T434" t="str">
        <f>_xlfn.XLOOKUP(Orders[[#This Row],[ProductID]],Products[ProductID],Products[Category])</f>
        <v>Sports</v>
      </c>
    </row>
    <row r="435" spans="1:20" x14ac:dyDescent="0.25">
      <c r="A435" s="4" t="s">
        <v>619</v>
      </c>
      <c r="B435" s="5">
        <v>45989</v>
      </c>
      <c r="C435" s="15">
        <f>WEEKNUM(Orders[[#This Row],[OrderDate]])</f>
        <v>48</v>
      </c>
      <c r="D435" s="15" t="str">
        <f>TEXT(Orders[[#This Row],[OrderDate]],"mmmm")</f>
        <v>November</v>
      </c>
      <c r="E435" s="4" t="s">
        <v>154</v>
      </c>
      <c r="F435" s="4" t="s">
        <v>15</v>
      </c>
      <c r="G435" s="4">
        <v>1</v>
      </c>
      <c r="H435" s="12">
        <v>19017.900000000001</v>
      </c>
      <c r="I435" s="13">
        <v>16165.215000000002</v>
      </c>
      <c r="J435" s="13">
        <f>Orders[[#This Row],[Quantity]]*Orders[[#This Row],[Selling Price]]</f>
        <v>19017.900000000001</v>
      </c>
      <c r="K435" s="13">
        <f>Orders[[#This Row],[Quantity]]*Orders[[#This Row],[Cost Price]]</f>
        <v>16165.215000000002</v>
      </c>
      <c r="L435" s="13">
        <f>Orders[[#This Row],[Revenue]]-Orders[[#This Row],[Expenses]]</f>
        <v>2852.6849999999995</v>
      </c>
      <c r="M435" t="s">
        <v>2195</v>
      </c>
      <c r="N435" t="str">
        <f>_xlfn.XLOOKUP(Orders[[#This Row],[CustomerID]],Customers[CustomerID],Customers[CustomerName])</f>
        <v>Ronke Danladi</v>
      </c>
      <c r="O435" t="str">
        <f>_xlfn.XLOOKUP(Orders[[#This Row],[CustomerID]],Customers[CustomerID],Customers[City])</f>
        <v>Illinois</v>
      </c>
      <c r="P435" t="str">
        <f>_xlfn.XLOOKUP(Orders[[#This Row],[CustomerID]],Customers[CustomerID],Customers[Gender])</f>
        <v>Female</v>
      </c>
      <c r="Q435">
        <f>_xlfn.XLOOKUP(Orders[[#This Row],[CustomerID]],Customers[CustomerID],Customers[CustomerAge])</f>
        <v>46</v>
      </c>
      <c r="R435" t="str">
        <f>IF(Orders[[#This Row],[CustomerAge]]&gt;=35, "Older", "Young")</f>
        <v>Older</v>
      </c>
      <c r="S435" t="str">
        <f>_xlfn.XLOOKUP(Orders[[#This Row],[ProductID]],Products[ProductID],Products[ProductName])</f>
        <v>Monopoly</v>
      </c>
      <c r="T435" t="str">
        <f>_xlfn.XLOOKUP(Orders[[#This Row],[ProductID]],Products[ProductID],Products[Category])</f>
        <v>Games</v>
      </c>
    </row>
    <row r="436" spans="1:20" x14ac:dyDescent="0.25">
      <c r="A436" s="4" t="s">
        <v>620</v>
      </c>
      <c r="B436" s="5">
        <v>46014</v>
      </c>
      <c r="C436" s="15">
        <f>WEEKNUM(Orders[[#This Row],[OrderDate]])</f>
        <v>52</v>
      </c>
      <c r="D436" s="15" t="str">
        <f>TEXT(Orders[[#This Row],[OrderDate]],"mmmm")</f>
        <v>December</v>
      </c>
      <c r="E436" s="4" t="s">
        <v>410</v>
      </c>
      <c r="F436" s="4" t="s">
        <v>20</v>
      </c>
      <c r="G436" s="4">
        <v>10</v>
      </c>
      <c r="H436" s="12">
        <v>5046.5</v>
      </c>
      <c r="I436" s="13">
        <v>4289.5249999999996</v>
      </c>
      <c r="J436" s="13">
        <f>Orders[[#This Row],[Quantity]]*Orders[[#This Row],[Selling Price]]</f>
        <v>50465</v>
      </c>
      <c r="K436" s="13">
        <f>Orders[[#This Row],[Quantity]]*Orders[[#This Row],[Cost Price]]</f>
        <v>42895.25</v>
      </c>
      <c r="L436" s="13">
        <f>Orders[[#This Row],[Revenue]]-Orders[[#This Row],[Expenses]]</f>
        <v>7569.75</v>
      </c>
      <c r="M436" t="s">
        <v>2198</v>
      </c>
      <c r="N436" t="str">
        <f>_xlfn.XLOOKUP(Orders[[#This Row],[CustomerID]],Customers[CustomerID],Customers[CustomerName])</f>
        <v>Jane Thomas</v>
      </c>
      <c r="O436" t="str">
        <f>_xlfn.XLOOKUP(Orders[[#This Row],[CustomerID]],Customers[CustomerID],Customers[City])</f>
        <v>Texas</v>
      </c>
      <c r="P436" t="str">
        <f>_xlfn.XLOOKUP(Orders[[#This Row],[CustomerID]],Customers[CustomerID],Customers[Gender])</f>
        <v>Male</v>
      </c>
      <c r="Q436">
        <f>_xlfn.XLOOKUP(Orders[[#This Row],[CustomerID]],Customers[CustomerID],Customers[CustomerAge])</f>
        <v>21</v>
      </c>
      <c r="R436" t="str">
        <f>IF(Orders[[#This Row],[CustomerAge]]&gt;=35, "Older", "Young")</f>
        <v>Young</v>
      </c>
      <c r="S436" t="str">
        <f>_xlfn.XLOOKUP(Orders[[#This Row],[ProductID]],Products[ProductID],Products[ProductName])</f>
        <v>Gym Bag</v>
      </c>
      <c r="T436" t="str">
        <f>_xlfn.XLOOKUP(Orders[[#This Row],[ProductID]],Products[ProductID],Products[Category])</f>
        <v>Gym</v>
      </c>
    </row>
    <row r="437" spans="1:20" x14ac:dyDescent="0.25">
      <c r="A437" s="4" t="s">
        <v>621</v>
      </c>
      <c r="B437" s="5">
        <v>45935</v>
      </c>
      <c r="C437" s="15">
        <f>WEEKNUM(Orders[[#This Row],[OrderDate]])</f>
        <v>41</v>
      </c>
      <c r="D437" s="15" t="str">
        <f>TEXT(Orders[[#This Row],[OrderDate]],"mmmm")</f>
        <v>October</v>
      </c>
      <c r="E437" s="4" t="s">
        <v>75</v>
      </c>
      <c r="F437" s="4" t="s">
        <v>23</v>
      </c>
      <c r="G437" s="4">
        <v>8</v>
      </c>
      <c r="H437" s="12">
        <v>4013.8999999999996</v>
      </c>
      <c r="I437" s="13">
        <v>3411.8149999999996</v>
      </c>
      <c r="J437" s="13">
        <f>Orders[[#This Row],[Quantity]]*Orders[[#This Row],[Selling Price]]</f>
        <v>32111.199999999997</v>
      </c>
      <c r="K437" s="13">
        <f>Orders[[#This Row],[Quantity]]*Orders[[#This Row],[Cost Price]]</f>
        <v>27294.519999999997</v>
      </c>
      <c r="L437" s="13">
        <f>Orders[[#This Row],[Revenue]]-Orders[[#This Row],[Expenses]]</f>
        <v>4816.68</v>
      </c>
      <c r="M437" t="s">
        <v>2217</v>
      </c>
      <c r="N437" t="str">
        <f>_xlfn.XLOOKUP(Orders[[#This Row],[CustomerID]],Customers[CustomerID],Customers[CustomerName])</f>
        <v>Tunde Danladi</v>
      </c>
      <c r="O437" t="str">
        <f>_xlfn.XLOOKUP(Orders[[#This Row],[CustomerID]],Customers[CustomerID],Customers[City])</f>
        <v>Texas</v>
      </c>
      <c r="P437" t="str">
        <f>_xlfn.XLOOKUP(Orders[[#This Row],[CustomerID]],Customers[CustomerID],Customers[Gender])</f>
        <v>Male</v>
      </c>
      <c r="Q437">
        <f>_xlfn.XLOOKUP(Orders[[#This Row],[CustomerID]],Customers[CustomerID],Customers[CustomerAge])</f>
        <v>47</v>
      </c>
      <c r="R437" t="str">
        <f>IF(Orders[[#This Row],[CustomerAge]]&gt;=35, "Older", "Young")</f>
        <v>Older</v>
      </c>
      <c r="S437" t="str">
        <f>_xlfn.XLOOKUP(Orders[[#This Row],[ProductID]],Products[ProductID],Products[ProductName])</f>
        <v>Gym Gloves</v>
      </c>
      <c r="T437" t="str">
        <f>_xlfn.XLOOKUP(Orders[[#This Row],[ProductID]],Products[ProductID],Products[Category])</f>
        <v>Gym</v>
      </c>
    </row>
    <row r="438" spans="1:20" x14ac:dyDescent="0.25">
      <c r="A438" s="4" t="s">
        <v>622</v>
      </c>
      <c r="B438" s="5">
        <v>45942</v>
      </c>
      <c r="C438" s="15">
        <f>WEEKNUM(Orders[[#This Row],[OrderDate]])</f>
        <v>42</v>
      </c>
      <c r="D438" s="15" t="str">
        <f>TEXT(Orders[[#This Row],[OrderDate]],"mmmm")</f>
        <v>October</v>
      </c>
      <c r="E438" s="4" t="s">
        <v>45</v>
      </c>
      <c r="F438" s="4" t="s">
        <v>63</v>
      </c>
      <c r="G438" s="4">
        <v>5</v>
      </c>
      <c r="H438" s="12">
        <v>3450.6</v>
      </c>
      <c r="I438" s="13">
        <v>2933.01</v>
      </c>
      <c r="J438" s="13">
        <f>Orders[[#This Row],[Quantity]]*Orders[[#This Row],[Selling Price]]</f>
        <v>17253</v>
      </c>
      <c r="K438" s="13">
        <f>Orders[[#This Row],[Quantity]]*Orders[[#This Row],[Cost Price]]</f>
        <v>14665.050000000001</v>
      </c>
      <c r="L438" s="13">
        <f>Orders[[#This Row],[Revenue]]-Orders[[#This Row],[Expenses]]</f>
        <v>2587.9499999999989</v>
      </c>
      <c r="M438" t="s">
        <v>2210</v>
      </c>
      <c r="N438" t="str">
        <f>_xlfn.XLOOKUP(Orders[[#This Row],[CustomerID]],Customers[CustomerID],Customers[CustomerName])</f>
        <v>Abiola Abubakar</v>
      </c>
      <c r="O438" t="str">
        <f>_xlfn.XLOOKUP(Orders[[#This Row],[CustomerID]],Customers[CustomerID],Customers[City])</f>
        <v>Florida</v>
      </c>
      <c r="P438" t="str">
        <f>_xlfn.XLOOKUP(Orders[[#This Row],[CustomerID]],Customers[CustomerID],Customers[Gender])</f>
        <v>Male</v>
      </c>
      <c r="Q438">
        <f>_xlfn.XLOOKUP(Orders[[#This Row],[CustomerID]],Customers[CustomerID],Customers[CustomerAge])</f>
        <v>26</v>
      </c>
      <c r="R438" t="str">
        <f>IF(Orders[[#This Row],[CustomerAge]]&gt;=35, "Older", "Young")</f>
        <v>Young</v>
      </c>
      <c r="S438" t="str">
        <f>_xlfn.XLOOKUP(Orders[[#This Row],[ProductID]],Products[ProductID],Products[ProductName])</f>
        <v>Tennis Bat</v>
      </c>
      <c r="T438" t="str">
        <f>_xlfn.XLOOKUP(Orders[[#This Row],[ProductID]],Products[ProductID],Products[Category])</f>
        <v>Sports</v>
      </c>
    </row>
    <row r="439" spans="1:20" x14ac:dyDescent="0.25">
      <c r="A439" s="4" t="s">
        <v>623</v>
      </c>
      <c r="B439" s="5">
        <v>46012</v>
      </c>
      <c r="C439" s="15">
        <f>WEEKNUM(Orders[[#This Row],[OrderDate]])</f>
        <v>52</v>
      </c>
      <c r="D439" s="15" t="str">
        <f>TEXT(Orders[[#This Row],[OrderDate]],"mmmm")</f>
        <v>December</v>
      </c>
      <c r="E439" s="4" t="s">
        <v>138</v>
      </c>
      <c r="F439" s="4" t="s">
        <v>34</v>
      </c>
      <c r="G439" s="4">
        <v>3</v>
      </c>
      <c r="H439" s="12">
        <v>7480.5999999999995</v>
      </c>
      <c r="I439" s="13">
        <v>6358.5099999999993</v>
      </c>
      <c r="J439" s="13">
        <f>Orders[[#This Row],[Quantity]]*Orders[[#This Row],[Selling Price]]</f>
        <v>22441.8</v>
      </c>
      <c r="K439" s="13">
        <f>Orders[[#This Row],[Quantity]]*Orders[[#This Row],[Cost Price]]</f>
        <v>19075.53</v>
      </c>
      <c r="L439" s="13">
        <f>Orders[[#This Row],[Revenue]]-Orders[[#This Row],[Expenses]]</f>
        <v>3366.2700000000004</v>
      </c>
      <c r="M439" t="s">
        <v>2211</v>
      </c>
      <c r="N439" t="str">
        <f>_xlfn.XLOOKUP(Orders[[#This Row],[CustomerID]],Customers[CustomerID],Customers[CustomerName])</f>
        <v>Efe Adeyemi</v>
      </c>
      <c r="O439" t="str">
        <f>_xlfn.XLOOKUP(Orders[[#This Row],[CustomerID]],Customers[CustomerID],Customers[City])</f>
        <v>Washington</v>
      </c>
      <c r="P439" t="str">
        <f>_xlfn.XLOOKUP(Orders[[#This Row],[CustomerID]],Customers[CustomerID],Customers[Gender])</f>
        <v>Female</v>
      </c>
      <c r="Q439">
        <f>_xlfn.XLOOKUP(Orders[[#This Row],[CustomerID]],Customers[CustomerID],Customers[CustomerAge])</f>
        <v>22</v>
      </c>
      <c r="R439" t="str">
        <f>IF(Orders[[#This Row],[CustomerAge]]&gt;=35, "Older", "Young")</f>
        <v>Young</v>
      </c>
      <c r="S439" t="str">
        <f>_xlfn.XLOOKUP(Orders[[#This Row],[ProductID]],Products[ProductID],Products[ProductName])</f>
        <v>Gold Bracelets</v>
      </c>
      <c r="T439" t="str">
        <f>_xlfn.XLOOKUP(Orders[[#This Row],[ProductID]],Products[ProductID],Products[Category])</f>
        <v>Accessories</v>
      </c>
    </row>
    <row r="440" spans="1:20" x14ac:dyDescent="0.25">
      <c r="A440" s="4" t="s">
        <v>624</v>
      </c>
      <c r="B440" s="5">
        <v>45997</v>
      </c>
      <c r="C440" s="15">
        <f>WEEKNUM(Orders[[#This Row],[OrderDate]])</f>
        <v>49</v>
      </c>
      <c r="D440" s="15" t="str">
        <f>TEXT(Orders[[#This Row],[OrderDate]],"mmmm")</f>
        <v>December</v>
      </c>
      <c r="E440" s="4" t="s">
        <v>105</v>
      </c>
      <c r="F440" s="4" t="s">
        <v>120</v>
      </c>
      <c r="G440" s="4">
        <v>2</v>
      </c>
      <c r="H440" s="12">
        <v>17540.599999999999</v>
      </c>
      <c r="I440" s="13">
        <v>14909.509999999998</v>
      </c>
      <c r="J440" s="13">
        <f>Orders[[#This Row],[Quantity]]*Orders[[#This Row],[Selling Price]]</f>
        <v>35081.199999999997</v>
      </c>
      <c r="K440" s="13">
        <f>Orders[[#This Row],[Quantity]]*Orders[[#This Row],[Cost Price]]</f>
        <v>29819.019999999997</v>
      </c>
      <c r="L440" s="13">
        <f>Orders[[#This Row],[Revenue]]-Orders[[#This Row],[Expenses]]</f>
        <v>5262.18</v>
      </c>
      <c r="M440" t="s">
        <v>2212</v>
      </c>
      <c r="N440" t="str">
        <f>_xlfn.XLOOKUP(Orders[[#This Row],[CustomerID]],Customers[CustomerID],Customers[CustomerName])</f>
        <v>Folasade Adeyemi</v>
      </c>
      <c r="O440" t="str">
        <f>_xlfn.XLOOKUP(Orders[[#This Row],[CustomerID]],Customers[CustomerID],Customers[City])</f>
        <v>Georgia</v>
      </c>
      <c r="P440" t="str">
        <f>_xlfn.XLOOKUP(Orders[[#This Row],[CustomerID]],Customers[CustomerID],Customers[Gender])</f>
        <v>Female</v>
      </c>
      <c r="Q440">
        <f>_xlfn.XLOOKUP(Orders[[#This Row],[CustomerID]],Customers[CustomerID],Customers[CustomerAge])</f>
        <v>42</v>
      </c>
      <c r="R440" t="str">
        <f>IF(Orders[[#This Row],[CustomerAge]]&gt;=35, "Older", "Young")</f>
        <v>Older</v>
      </c>
      <c r="S440" t="str">
        <f>_xlfn.XLOOKUP(Orders[[#This Row],[ProductID]],Products[ProductID],Products[ProductName])</f>
        <v>Chess</v>
      </c>
      <c r="T440" t="str">
        <f>_xlfn.XLOOKUP(Orders[[#This Row],[ProductID]],Products[ProductID],Products[Category])</f>
        <v>Games</v>
      </c>
    </row>
    <row r="441" spans="1:20" x14ac:dyDescent="0.25">
      <c r="A441" s="4" t="s">
        <v>625</v>
      </c>
      <c r="B441" s="5">
        <v>46009</v>
      </c>
      <c r="C441" s="15">
        <f>WEEKNUM(Orders[[#This Row],[OrderDate]])</f>
        <v>51</v>
      </c>
      <c r="D441" s="15" t="str">
        <f>TEXT(Orders[[#This Row],[OrderDate]],"mmmm")</f>
        <v>December</v>
      </c>
      <c r="E441" s="4" t="s">
        <v>118</v>
      </c>
      <c r="F441" s="4" t="s">
        <v>157</v>
      </c>
      <c r="G441" s="4">
        <v>2</v>
      </c>
      <c r="H441" s="12">
        <v>7126.7999999999993</v>
      </c>
      <c r="I441" s="13">
        <v>6057.78</v>
      </c>
      <c r="J441" s="13">
        <f>Orders[[#This Row],[Quantity]]*Orders[[#This Row],[Selling Price]]</f>
        <v>14253.599999999999</v>
      </c>
      <c r="K441" s="13">
        <f>Orders[[#This Row],[Quantity]]*Orders[[#This Row],[Cost Price]]</f>
        <v>12115.56</v>
      </c>
      <c r="L441" s="13">
        <f>Orders[[#This Row],[Revenue]]-Orders[[#This Row],[Expenses]]</f>
        <v>2138.0399999999991</v>
      </c>
      <c r="M441" t="s">
        <v>2217</v>
      </c>
      <c r="N441" t="str">
        <f>_xlfn.XLOOKUP(Orders[[#This Row],[CustomerID]],Customers[CustomerID],Customers[CustomerName])</f>
        <v>Ibrahim Balogun</v>
      </c>
      <c r="O441" t="str">
        <f>_xlfn.XLOOKUP(Orders[[#This Row],[CustomerID]],Customers[CustomerID],Customers[City])</f>
        <v>Georgia</v>
      </c>
      <c r="P441" t="str">
        <f>_xlfn.XLOOKUP(Orders[[#This Row],[CustomerID]],Customers[CustomerID],Customers[Gender])</f>
        <v>Male</v>
      </c>
      <c r="Q441">
        <f>_xlfn.XLOOKUP(Orders[[#This Row],[CustomerID]],Customers[CustomerID],Customers[CustomerAge])</f>
        <v>55</v>
      </c>
      <c r="R441" t="str">
        <f>IF(Orders[[#This Row],[CustomerAge]]&gt;=35, "Older", "Young")</f>
        <v>Older</v>
      </c>
      <c r="S441" t="str">
        <f>_xlfn.XLOOKUP(Orders[[#This Row],[ProductID]],Products[ProductID],Products[ProductName])</f>
        <v>Football</v>
      </c>
      <c r="T441" t="str">
        <f>_xlfn.XLOOKUP(Orders[[#This Row],[ProductID]],Products[ProductID],Products[Category])</f>
        <v>Sports</v>
      </c>
    </row>
    <row r="442" spans="1:20" x14ac:dyDescent="0.25">
      <c r="A442" s="4" t="s">
        <v>626</v>
      </c>
      <c r="B442" s="5">
        <v>45985</v>
      </c>
      <c r="C442" s="15">
        <f>WEEKNUM(Orders[[#This Row],[OrderDate]])</f>
        <v>48</v>
      </c>
      <c r="D442" s="15" t="str">
        <f>TEXT(Orders[[#This Row],[OrderDate]],"mmmm")</f>
        <v>November</v>
      </c>
      <c r="E442" s="4" t="s">
        <v>210</v>
      </c>
      <c r="F442" s="4" t="s">
        <v>127</v>
      </c>
      <c r="G442" s="4">
        <v>1</v>
      </c>
      <c r="H442" s="12">
        <v>12393.099999999999</v>
      </c>
      <c r="I442" s="13">
        <v>10534.134999999998</v>
      </c>
      <c r="J442" s="13">
        <f>Orders[[#This Row],[Quantity]]*Orders[[#This Row],[Selling Price]]</f>
        <v>12393.099999999999</v>
      </c>
      <c r="K442" s="13">
        <f>Orders[[#This Row],[Quantity]]*Orders[[#This Row],[Cost Price]]</f>
        <v>10534.134999999998</v>
      </c>
      <c r="L442" s="13">
        <f>Orders[[#This Row],[Revenue]]-Orders[[#This Row],[Expenses]]</f>
        <v>1858.9650000000001</v>
      </c>
      <c r="M442" t="s">
        <v>2201</v>
      </c>
      <c r="N442" t="str">
        <f>_xlfn.XLOOKUP(Orders[[#This Row],[CustomerID]],Customers[CustomerID],Customers[CustomerName])</f>
        <v>Zainab Bello</v>
      </c>
      <c r="O442" t="str">
        <f>_xlfn.XLOOKUP(Orders[[#This Row],[CustomerID]],Customers[CustomerID],Customers[City])</f>
        <v>Illinois</v>
      </c>
      <c r="P442" t="str">
        <f>_xlfn.XLOOKUP(Orders[[#This Row],[CustomerID]],Customers[CustomerID],Customers[Gender])</f>
        <v>Female</v>
      </c>
      <c r="Q442">
        <f>_xlfn.XLOOKUP(Orders[[#This Row],[CustomerID]],Customers[CustomerID],Customers[CustomerAge])</f>
        <v>27</v>
      </c>
      <c r="R442" t="str">
        <f>IF(Orders[[#This Row],[CustomerAge]]&gt;=35, "Older", "Young")</f>
        <v>Young</v>
      </c>
      <c r="S442" t="str">
        <f>_xlfn.XLOOKUP(Orders[[#This Row],[ProductID]],Products[ProductID],Products[ProductName])</f>
        <v>Tops</v>
      </c>
      <c r="T442" t="str">
        <f>_xlfn.XLOOKUP(Orders[[#This Row],[ProductID]],Products[ProductID],Products[Category])</f>
        <v>Clothing</v>
      </c>
    </row>
    <row r="443" spans="1:20" x14ac:dyDescent="0.25">
      <c r="A443" s="4" t="s">
        <v>627</v>
      </c>
      <c r="B443" s="5">
        <v>45956</v>
      </c>
      <c r="C443" s="15">
        <f>WEEKNUM(Orders[[#This Row],[OrderDate]])</f>
        <v>44</v>
      </c>
      <c r="D443" s="15" t="str">
        <f>TEXT(Orders[[#This Row],[OrderDate]],"mmmm")</f>
        <v>October</v>
      </c>
      <c r="E443" s="4" t="s">
        <v>87</v>
      </c>
      <c r="F443" s="4" t="s">
        <v>25</v>
      </c>
      <c r="G443" s="4">
        <v>3</v>
      </c>
      <c r="H443" s="12">
        <v>10079.799999999999</v>
      </c>
      <c r="I443" s="13">
        <v>8567.83</v>
      </c>
      <c r="J443" s="13">
        <f>Orders[[#This Row],[Quantity]]*Orders[[#This Row],[Selling Price]]</f>
        <v>30239.399999999998</v>
      </c>
      <c r="K443" s="13">
        <f>Orders[[#This Row],[Quantity]]*Orders[[#This Row],[Cost Price]]</f>
        <v>25703.489999999998</v>
      </c>
      <c r="L443" s="13">
        <f>Orders[[#This Row],[Revenue]]-Orders[[#This Row],[Expenses]]</f>
        <v>4535.91</v>
      </c>
      <c r="M443" t="s">
        <v>2216</v>
      </c>
      <c r="N443" t="str">
        <f>_xlfn.XLOOKUP(Orders[[#This Row],[CustomerID]],Customers[CustomerID],Customers[CustomerName])</f>
        <v>Efe Igwe</v>
      </c>
      <c r="O443" t="str">
        <f>_xlfn.XLOOKUP(Orders[[#This Row],[CustomerID]],Customers[CustomerID],Customers[City])</f>
        <v>Illinois</v>
      </c>
      <c r="P443" t="str">
        <f>_xlfn.XLOOKUP(Orders[[#This Row],[CustomerID]],Customers[CustomerID],Customers[Gender])</f>
        <v>Female</v>
      </c>
      <c r="Q443">
        <f>_xlfn.XLOOKUP(Orders[[#This Row],[CustomerID]],Customers[CustomerID],Customers[CustomerAge])</f>
        <v>34</v>
      </c>
      <c r="R443" t="str">
        <f>IF(Orders[[#This Row],[CustomerAge]]&gt;=35, "Older", "Young")</f>
        <v>Young</v>
      </c>
      <c r="S443" t="str">
        <f>_xlfn.XLOOKUP(Orders[[#This Row],[ProductID]],Products[ProductID],Products[ProductName])</f>
        <v>Gold Rings</v>
      </c>
      <c r="T443" t="str">
        <f>_xlfn.XLOOKUP(Orders[[#This Row],[ProductID]],Products[ProductID],Products[Category])</f>
        <v>Accessories</v>
      </c>
    </row>
    <row r="444" spans="1:20" x14ac:dyDescent="0.25">
      <c r="A444" s="4" t="s">
        <v>628</v>
      </c>
      <c r="B444" s="5">
        <v>45936</v>
      </c>
      <c r="C444" s="15">
        <f>WEEKNUM(Orders[[#This Row],[OrderDate]])</f>
        <v>41</v>
      </c>
      <c r="D444" s="15" t="str">
        <f>TEXT(Orders[[#This Row],[OrderDate]],"mmmm")</f>
        <v>October</v>
      </c>
      <c r="E444" s="4" t="s">
        <v>43</v>
      </c>
      <c r="F444" s="4" t="s">
        <v>15</v>
      </c>
      <c r="G444" s="4">
        <v>9</v>
      </c>
      <c r="H444" s="12">
        <v>1121.5</v>
      </c>
      <c r="I444" s="13">
        <v>953.27499999999998</v>
      </c>
      <c r="J444" s="13">
        <f>Orders[[#This Row],[Quantity]]*Orders[[#This Row],[Selling Price]]</f>
        <v>10093.5</v>
      </c>
      <c r="K444" s="13">
        <f>Orders[[#This Row],[Quantity]]*Orders[[#This Row],[Cost Price]]</f>
        <v>8579.4750000000004</v>
      </c>
      <c r="L444" s="13">
        <f>Orders[[#This Row],[Revenue]]-Orders[[#This Row],[Expenses]]</f>
        <v>1514.0249999999996</v>
      </c>
      <c r="M444" t="s">
        <v>2206</v>
      </c>
      <c r="N444" t="str">
        <f>_xlfn.XLOOKUP(Orders[[#This Row],[CustomerID]],Customers[CustomerID],Customers[CustomerName])</f>
        <v>Mustafa Danladi</v>
      </c>
      <c r="O444" t="str">
        <f>_xlfn.XLOOKUP(Orders[[#This Row],[CustomerID]],Customers[CustomerID],Customers[City])</f>
        <v>Georgia</v>
      </c>
      <c r="P444" t="str">
        <f>_xlfn.XLOOKUP(Orders[[#This Row],[CustomerID]],Customers[CustomerID],Customers[Gender])</f>
        <v>Male</v>
      </c>
      <c r="Q444">
        <f>_xlfn.XLOOKUP(Orders[[#This Row],[CustomerID]],Customers[CustomerID],Customers[CustomerAge])</f>
        <v>49</v>
      </c>
      <c r="R444" t="str">
        <f>IF(Orders[[#This Row],[CustomerAge]]&gt;=35, "Older", "Young")</f>
        <v>Older</v>
      </c>
      <c r="S444" t="str">
        <f>_xlfn.XLOOKUP(Orders[[#This Row],[ProductID]],Products[ProductID],Products[ProductName])</f>
        <v>Monopoly</v>
      </c>
      <c r="T444" t="str">
        <f>_xlfn.XLOOKUP(Orders[[#This Row],[ProductID]],Products[ProductID],Products[Category])</f>
        <v>Games</v>
      </c>
    </row>
    <row r="445" spans="1:20" x14ac:dyDescent="0.25">
      <c r="A445" s="4" t="s">
        <v>629</v>
      </c>
      <c r="B445" s="5">
        <v>45989</v>
      </c>
      <c r="C445" s="15">
        <f>WEEKNUM(Orders[[#This Row],[OrderDate]])</f>
        <v>48</v>
      </c>
      <c r="D445" s="15" t="str">
        <f>TEXT(Orders[[#This Row],[OrderDate]],"mmmm")</f>
        <v>November</v>
      </c>
      <c r="E445" s="4" t="s">
        <v>136</v>
      </c>
      <c r="F445" s="4" t="s">
        <v>31</v>
      </c>
      <c r="G445" s="4">
        <v>1</v>
      </c>
      <c r="H445" s="12">
        <v>16126.900000000001</v>
      </c>
      <c r="I445" s="13">
        <v>13707.865000000002</v>
      </c>
      <c r="J445" s="13">
        <f>Orders[[#This Row],[Quantity]]*Orders[[#This Row],[Selling Price]]</f>
        <v>16126.900000000001</v>
      </c>
      <c r="K445" s="13">
        <f>Orders[[#This Row],[Quantity]]*Orders[[#This Row],[Cost Price]]</f>
        <v>13707.865000000002</v>
      </c>
      <c r="L445" s="13">
        <f>Orders[[#This Row],[Revenue]]-Orders[[#This Row],[Expenses]]</f>
        <v>2419.0349999999999</v>
      </c>
      <c r="M445" t="s">
        <v>2195</v>
      </c>
      <c r="N445" t="str">
        <f>_xlfn.XLOOKUP(Orders[[#This Row],[CustomerID]],Customers[CustomerID],Customers[CustomerName])</f>
        <v>Chinedu Obi</v>
      </c>
      <c r="O445" t="str">
        <f>_xlfn.XLOOKUP(Orders[[#This Row],[CustomerID]],Customers[CustomerID],Customers[City])</f>
        <v>California</v>
      </c>
      <c r="P445" t="str">
        <f>_xlfn.XLOOKUP(Orders[[#This Row],[CustomerID]],Customers[CustomerID],Customers[Gender])</f>
        <v>Male</v>
      </c>
      <c r="Q445">
        <f>_xlfn.XLOOKUP(Orders[[#This Row],[CustomerID]],Customers[CustomerID],Customers[CustomerAge])</f>
        <v>27</v>
      </c>
      <c r="R445" t="str">
        <f>IF(Orders[[#This Row],[CustomerAge]]&gt;=35, "Older", "Young")</f>
        <v>Young</v>
      </c>
      <c r="S445" t="str">
        <f>_xlfn.XLOOKUP(Orders[[#This Row],[ProductID]],Products[ProductID],Products[ProductName])</f>
        <v>Kids Games</v>
      </c>
      <c r="T445" t="str">
        <f>_xlfn.XLOOKUP(Orders[[#This Row],[ProductID]],Products[ProductID],Products[Category])</f>
        <v>Games</v>
      </c>
    </row>
    <row r="446" spans="1:20" x14ac:dyDescent="0.25">
      <c r="A446" s="4" t="s">
        <v>630</v>
      </c>
      <c r="B446" s="5">
        <v>45985</v>
      </c>
      <c r="C446" s="15">
        <f>WEEKNUM(Orders[[#This Row],[OrderDate]])</f>
        <v>48</v>
      </c>
      <c r="D446" s="15" t="str">
        <f>TEXT(Orders[[#This Row],[OrderDate]],"mmmm")</f>
        <v>November</v>
      </c>
      <c r="E446" s="4" t="s">
        <v>280</v>
      </c>
      <c r="F446" s="4" t="s">
        <v>60</v>
      </c>
      <c r="G446" s="4">
        <v>10</v>
      </c>
      <c r="H446" s="12">
        <v>2161</v>
      </c>
      <c r="I446" s="13">
        <v>1836.85</v>
      </c>
      <c r="J446" s="13">
        <f>Orders[[#This Row],[Quantity]]*Orders[[#This Row],[Selling Price]]</f>
        <v>21610</v>
      </c>
      <c r="K446" s="13">
        <f>Orders[[#This Row],[Quantity]]*Orders[[#This Row],[Cost Price]]</f>
        <v>18368.5</v>
      </c>
      <c r="L446" s="13">
        <f>Orders[[#This Row],[Revenue]]-Orders[[#This Row],[Expenses]]</f>
        <v>3241.5</v>
      </c>
      <c r="M446" t="s">
        <v>2213</v>
      </c>
      <c r="N446" t="str">
        <f>_xlfn.XLOOKUP(Orders[[#This Row],[CustomerID]],Customers[CustomerID],Customers[CustomerName])</f>
        <v>Folasade Okonkwo</v>
      </c>
      <c r="O446" t="str">
        <f>_xlfn.XLOOKUP(Orders[[#This Row],[CustomerID]],Customers[CustomerID],Customers[City])</f>
        <v>Texas</v>
      </c>
      <c r="P446" t="str">
        <f>_xlfn.XLOOKUP(Orders[[#This Row],[CustomerID]],Customers[CustomerID],Customers[Gender])</f>
        <v>Female</v>
      </c>
      <c r="Q446">
        <f>_xlfn.XLOOKUP(Orders[[#This Row],[CustomerID]],Customers[CustomerID],Customers[CustomerAge])</f>
        <v>21</v>
      </c>
      <c r="R446" t="str">
        <f>IF(Orders[[#This Row],[CustomerAge]]&gt;=35, "Older", "Young")</f>
        <v>Young</v>
      </c>
      <c r="S446" t="str">
        <f>_xlfn.XLOOKUP(Orders[[#This Row],[ProductID]],Products[ProductID],Products[ProductName])</f>
        <v>Silver Rings</v>
      </c>
      <c r="T446" t="str">
        <f>_xlfn.XLOOKUP(Orders[[#This Row],[ProductID]],Products[ProductID],Products[Category])</f>
        <v>Accessories</v>
      </c>
    </row>
    <row r="447" spans="1:20" x14ac:dyDescent="0.25">
      <c r="A447" s="4" t="s">
        <v>631</v>
      </c>
      <c r="B447" s="5">
        <v>45987</v>
      </c>
      <c r="C447" s="15">
        <f>WEEKNUM(Orders[[#This Row],[OrderDate]])</f>
        <v>48</v>
      </c>
      <c r="D447" s="15" t="str">
        <f>TEXT(Orders[[#This Row],[OrderDate]],"mmmm")</f>
        <v>November</v>
      </c>
      <c r="E447" s="4" t="s">
        <v>258</v>
      </c>
      <c r="F447" s="4" t="s">
        <v>81</v>
      </c>
      <c r="G447" s="4">
        <v>10</v>
      </c>
      <c r="H447" s="12">
        <v>16315.2</v>
      </c>
      <c r="I447" s="13">
        <v>13867.92</v>
      </c>
      <c r="J447" s="13">
        <f>Orders[[#This Row],[Quantity]]*Orders[[#This Row],[Selling Price]]</f>
        <v>163152</v>
      </c>
      <c r="K447" s="13">
        <f>Orders[[#This Row],[Quantity]]*Orders[[#This Row],[Cost Price]]</f>
        <v>138679.20000000001</v>
      </c>
      <c r="L447" s="13">
        <f>Orders[[#This Row],[Revenue]]-Orders[[#This Row],[Expenses]]</f>
        <v>24472.799999999988</v>
      </c>
      <c r="M447" t="s">
        <v>2195</v>
      </c>
      <c r="N447" t="str">
        <f>_xlfn.XLOOKUP(Orders[[#This Row],[CustomerID]],Customers[CustomerID],Customers[CustomerName])</f>
        <v>Sani Abubakar</v>
      </c>
      <c r="O447" t="str">
        <f>_xlfn.XLOOKUP(Orders[[#This Row],[CustomerID]],Customers[CustomerID],Customers[City])</f>
        <v>Washington</v>
      </c>
      <c r="P447" t="str">
        <f>_xlfn.XLOOKUP(Orders[[#This Row],[CustomerID]],Customers[CustomerID],Customers[Gender])</f>
        <v>Male</v>
      </c>
      <c r="Q447">
        <f>_xlfn.XLOOKUP(Orders[[#This Row],[CustomerID]],Customers[CustomerID],Customers[CustomerAge])</f>
        <v>37</v>
      </c>
      <c r="R447" t="str">
        <f>IF(Orders[[#This Row],[CustomerAge]]&gt;=35, "Older", "Young")</f>
        <v>Older</v>
      </c>
      <c r="S447" t="str">
        <f>_xlfn.XLOOKUP(Orders[[#This Row],[ProductID]],Products[ProductID],Products[ProductName])</f>
        <v>Trousers</v>
      </c>
      <c r="T447" t="str">
        <f>_xlfn.XLOOKUP(Orders[[#This Row],[ProductID]],Products[ProductID],Products[Category])</f>
        <v>Clothing</v>
      </c>
    </row>
    <row r="448" spans="1:20" x14ac:dyDescent="0.25">
      <c r="A448" s="4" t="s">
        <v>632</v>
      </c>
      <c r="B448" s="5">
        <v>46012</v>
      </c>
      <c r="C448" s="15">
        <f>WEEKNUM(Orders[[#This Row],[OrderDate]])</f>
        <v>52</v>
      </c>
      <c r="D448" s="15" t="str">
        <f>TEXT(Orders[[#This Row],[OrderDate]],"mmmm")</f>
        <v>December</v>
      </c>
      <c r="E448" s="4" t="s">
        <v>305</v>
      </c>
      <c r="F448" s="4" t="s">
        <v>151</v>
      </c>
      <c r="G448" s="4">
        <v>6</v>
      </c>
      <c r="H448" s="12">
        <v>7214.2</v>
      </c>
      <c r="I448" s="13">
        <v>6132.07</v>
      </c>
      <c r="J448" s="13">
        <f>Orders[[#This Row],[Quantity]]*Orders[[#This Row],[Selling Price]]</f>
        <v>43285.2</v>
      </c>
      <c r="K448" s="13">
        <f>Orders[[#This Row],[Quantity]]*Orders[[#This Row],[Cost Price]]</f>
        <v>36792.42</v>
      </c>
      <c r="L448" s="13">
        <f>Orders[[#This Row],[Revenue]]-Orders[[#This Row],[Expenses]]</f>
        <v>6492.7799999999988</v>
      </c>
      <c r="M448" t="s">
        <v>2203</v>
      </c>
      <c r="N448" t="str">
        <f>_xlfn.XLOOKUP(Orders[[#This Row],[CustomerID]],Customers[CustomerID],Customers[CustomerName])</f>
        <v>Tunde Danladi</v>
      </c>
      <c r="O448" t="str">
        <f>_xlfn.XLOOKUP(Orders[[#This Row],[CustomerID]],Customers[CustomerID],Customers[City])</f>
        <v>California</v>
      </c>
      <c r="P448" t="str">
        <f>_xlfn.XLOOKUP(Orders[[#This Row],[CustomerID]],Customers[CustomerID],Customers[Gender])</f>
        <v>Male</v>
      </c>
      <c r="Q448">
        <f>_xlfn.XLOOKUP(Orders[[#This Row],[CustomerID]],Customers[CustomerID],Customers[CustomerAge])</f>
        <v>40</v>
      </c>
      <c r="R448" t="str">
        <f>IF(Orders[[#This Row],[CustomerAge]]&gt;=35, "Older", "Young")</f>
        <v>Older</v>
      </c>
      <c r="S448" t="str">
        <f>_xlfn.XLOOKUP(Orders[[#This Row],[ProductID]],Products[ProductID],Products[ProductName])</f>
        <v>Checkers</v>
      </c>
      <c r="T448" t="str">
        <f>_xlfn.XLOOKUP(Orders[[#This Row],[ProductID]],Products[ProductID],Products[Category])</f>
        <v>Games</v>
      </c>
    </row>
    <row r="449" spans="1:20" x14ac:dyDescent="0.25">
      <c r="A449" s="4" t="s">
        <v>633</v>
      </c>
      <c r="B449" s="5">
        <v>45983</v>
      </c>
      <c r="C449" s="15">
        <f>WEEKNUM(Orders[[#This Row],[OrderDate]])</f>
        <v>47</v>
      </c>
      <c r="D449" s="15" t="str">
        <f>TEXT(Orders[[#This Row],[OrderDate]],"mmmm")</f>
        <v>November</v>
      </c>
      <c r="E449" s="4" t="s">
        <v>400</v>
      </c>
      <c r="F449" s="4" t="s">
        <v>84</v>
      </c>
      <c r="G449" s="4">
        <v>6</v>
      </c>
      <c r="H449" s="12">
        <v>15212.4</v>
      </c>
      <c r="I449" s="13">
        <v>12930.54</v>
      </c>
      <c r="J449" s="13">
        <f>Orders[[#This Row],[Quantity]]*Orders[[#This Row],[Selling Price]]</f>
        <v>91274.4</v>
      </c>
      <c r="K449" s="13">
        <f>Orders[[#This Row],[Quantity]]*Orders[[#This Row],[Cost Price]]</f>
        <v>77583.240000000005</v>
      </c>
      <c r="L449" s="13">
        <f>Orders[[#This Row],[Revenue]]-Orders[[#This Row],[Expenses]]</f>
        <v>13691.159999999989</v>
      </c>
      <c r="M449" t="s">
        <v>2199</v>
      </c>
      <c r="N449" t="str">
        <f>_xlfn.XLOOKUP(Orders[[#This Row],[CustomerID]],Customers[CustomerID],Customers[CustomerName])</f>
        <v>Obi Igwe</v>
      </c>
      <c r="O449" t="str">
        <f>_xlfn.XLOOKUP(Orders[[#This Row],[CustomerID]],Customers[CustomerID],Customers[City])</f>
        <v>Florida</v>
      </c>
      <c r="P449" t="str">
        <f>_xlfn.XLOOKUP(Orders[[#This Row],[CustomerID]],Customers[CustomerID],Customers[Gender])</f>
        <v>Male</v>
      </c>
      <c r="Q449">
        <f>_xlfn.XLOOKUP(Orders[[#This Row],[CustomerID]],Customers[CustomerID],Customers[CustomerAge])</f>
        <v>35</v>
      </c>
      <c r="R449" t="str">
        <f>IF(Orders[[#This Row],[CustomerAge]]&gt;=35, "Older", "Young")</f>
        <v>Older</v>
      </c>
      <c r="S449" t="str">
        <f>_xlfn.XLOOKUP(Orders[[#This Row],[ProductID]],Products[ProductID],Products[ProductName])</f>
        <v>Gym Wears</v>
      </c>
      <c r="T449" t="str">
        <f>_xlfn.XLOOKUP(Orders[[#This Row],[ProductID]],Products[ProductID],Products[Category])</f>
        <v>Clothing</v>
      </c>
    </row>
    <row r="450" spans="1:20" x14ac:dyDescent="0.25">
      <c r="A450" s="4" t="s">
        <v>634</v>
      </c>
      <c r="B450" s="5">
        <v>46007</v>
      </c>
      <c r="C450" s="15">
        <f>WEEKNUM(Orders[[#This Row],[OrderDate]])</f>
        <v>51</v>
      </c>
      <c r="D450" s="15" t="str">
        <f>TEXT(Orders[[#This Row],[OrderDate]],"mmmm")</f>
        <v>December</v>
      </c>
      <c r="E450" s="4" t="s">
        <v>457</v>
      </c>
      <c r="F450" s="4" t="s">
        <v>15</v>
      </c>
      <c r="G450" s="4">
        <v>1</v>
      </c>
      <c r="H450" s="12">
        <v>6849.4000000000005</v>
      </c>
      <c r="I450" s="13">
        <v>5821.9900000000007</v>
      </c>
      <c r="J450" s="13">
        <f>Orders[[#This Row],[Quantity]]*Orders[[#This Row],[Selling Price]]</f>
        <v>6849.4000000000005</v>
      </c>
      <c r="K450" s="13">
        <f>Orders[[#This Row],[Quantity]]*Orders[[#This Row],[Cost Price]]</f>
        <v>5821.9900000000007</v>
      </c>
      <c r="L450" s="13">
        <f>Orders[[#This Row],[Revenue]]-Orders[[#This Row],[Expenses]]</f>
        <v>1027.4099999999999</v>
      </c>
      <c r="M450" t="s">
        <v>2195</v>
      </c>
      <c r="N450" t="str">
        <f>_xlfn.XLOOKUP(Orders[[#This Row],[CustomerID]],Customers[CustomerID],Customers[CustomerName])</f>
        <v>Tunde Okonkwo</v>
      </c>
      <c r="O450" t="str">
        <f>_xlfn.XLOOKUP(Orders[[#This Row],[CustomerID]],Customers[CustomerID],Customers[City])</f>
        <v>Illinois</v>
      </c>
      <c r="P450" t="str">
        <f>_xlfn.XLOOKUP(Orders[[#This Row],[CustomerID]],Customers[CustomerID],Customers[Gender])</f>
        <v>Male</v>
      </c>
      <c r="Q450">
        <f>_xlfn.XLOOKUP(Orders[[#This Row],[CustomerID]],Customers[CustomerID],Customers[CustomerAge])</f>
        <v>23</v>
      </c>
      <c r="R450" t="str">
        <f>IF(Orders[[#This Row],[CustomerAge]]&gt;=35, "Older", "Young")</f>
        <v>Young</v>
      </c>
      <c r="S450" t="str">
        <f>_xlfn.XLOOKUP(Orders[[#This Row],[ProductID]],Products[ProductID],Products[ProductName])</f>
        <v>Monopoly</v>
      </c>
      <c r="T450" t="str">
        <f>_xlfn.XLOOKUP(Orders[[#This Row],[ProductID]],Products[ProductID],Products[Category])</f>
        <v>Games</v>
      </c>
    </row>
    <row r="451" spans="1:20" x14ac:dyDescent="0.25">
      <c r="A451" s="4" t="s">
        <v>635</v>
      </c>
      <c r="B451" s="5">
        <v>46011</v>
      </c>
      <c r="C451" s="15">
        <f>WEEKNUM(Orders[[#This Row],[OrderDate]])</f>
        <v>51</v>
      </c>
      <c r="D451" s="15" t="str">
        <f>TEXT(Orders[[#This Row],[OrderDate]],"mmmm")</f>
        <v>December</v>
      </c>
      <c r="E451" s="4" t="s">
        <v>19</v>
      </c>
      <c r="F451" s="4" t="s">
        <v>120</v>
      </c>
      <c r="G451" s="4">
        <v>6</v>
      </c>
      <c r="H451" s="12">
        <v>18346</v>
      </c>
      <c r="I451" s="13">
        <v>15594.1</v>
      </c>
      <c r="J451" s="13">
        <f>Orders[[#This Row],[Quantity]]*Orders[[#This Row],[Selling Price]]</f>
        <v>110076</v>
      </c>
      <c r="K451" s="13">
        <f>Orders[[#This Row],[Quantity]]*Orders[[#This Row],[Cost Price]]</f>
        <v>93564.6</v>
      </c>
      <c r="L451" s="13">
        <f>Orders[[#This Row],[Revenue]]-Orders[[#This Row],[Expenses]]</f>
        <v>16511.399999999994</v>
      </c>
      <c r="M451" t="s">
        <v>2194</v>
      </c>
      <c r="N451" t="str">
        <f>_xlfn.XLOOKUP(Orders[[#This Row],[CustomerID]],Customers[CustomerID],Customers[CustomerName])</f>
        <v>Obi Adeyemi</v>
      </c>
      <c r="O451" t="str">
        <f>_xlfn.XLOOKUP(Orders[[#This Row],[CustomerID]],Customers[CustomerID],Customers[City])</f>
        <v>California</v>
      </c>
      <c r="P451" t="str">
        <f>_xlfn.XLOOKUP(Orders[[#This Row],[CustomerID]],Customers[CustomerID],Customers[Gender])</f>
        <v>Male</v>
      </c>
      <c r="Q451">
        <f>_xlfn.XLOOKUP(Orders[[#This Row],[CustomerID]],Customers[CustomerID],Customers[CustomerAge])</f>
        <v>24</v>
      </c>
      <c r="R451" t="str">
        <f>IF(Orders[[#This Row],[CustomerAge]]&gt;=35, "Older", "Young")</f>
        <v>Young</v>
      </c>
      <c r="S451" t="str">
        <f>_xlfn.XLOOKUP(Orders[[#This Row],[ProductID]],Products[ProductID],Products[ProductName])</f>
        <v>Chess</v>
      </c>
      <c r="T451" t="str">
        <f>_xlfn.XLOOKUP(Orders[[#This Row],[ProductID]],Products[ProductID],Products[Category])</f>
        <v>Games</v>
      </c>
    </row>
    <row r="452" spans="1:20" x14ac:dyDescent="0.25">
      <c r="A452" s="4" t="s">
        <v>636</v>
      </c>
      <c r="B452" s="5">
        <v>45936</v>
      </c>
      <c r="C452" s="15">
        <f>WEEKNUM(Orders[[#This Row],[OrderDate]])</f>
        <v>41</v>
      </c>
      <c r="D452" s="15" t="str">
        <f>TEXT(Orders[[#This Row],[OrderDate]],"mmmm")</f>
        <v>October</v>
      </c>
      <c r="E452" s="4" t="s">
        <v>418</v>
      </c>
      <c r="F452" s="4" t="s">
        <v>15</v>
      </c>
      <c r="G452" s="4">
        <v>10</v>
      </c>
      <c r="H452" s="12">
        <v>16772.099999999999</v>
      </c>
      <c r="I452" s="13">
        <v>14256.285</v>
      </c>
      <c r="J452" s="13">
        <f>Orders[[#This Row],[Quantity]]*Orders[[#This Row],[Selling Price]]</f>
        <v>167721</v>
      </c>
      <c r="K452" s="13">
        <f>Orders[[#This Row],[Quantity]]*Orders[[#This Row],[Cost Price]]</f>
        <v>142562.85</v>
      </c>
      <c r="L452" s="13">
        <f>Orders[[#This Row],[Revenue]]-Orders[[#This Row],[Expenses]]</f>
        <v>25158.149999999994</v>
      </c>
      <c r="M452" t="s">
        <v>2211</v>
      </c>
      <c r="N452" t="str">
        <f>_xlfn.XLOOKUP(Orders[[#This Row],[CustomerID]],Customers[CustomerID],Customers[CustomerName])</f>
        <v>Amina Danladi</v>
      </c>
      <c r="O452" t="str">
        <f>_xlfn.XLOOKUP(Orders[[#This Row],[CustomerID]],Customers[CustomerID],Customers[City])</f>
        <v>Illinois</v>
      </c>
      <c r="P452" t="str">
        <f>_xlfn.XLOOKUP(Orders[[#This Row],[CustomerID]],Customers[CustomerID],Customers[Gender])</f>
        <v>Female</v>
      </c>
      <c r="Q452">
        <f>_xlfn.XLOOKUP(Orders[[#This Row],[CustomerID]],Customers[CustomerID],Customers[CustomerAge])</f>
        <v>20</v>
      </c>
      <c r="R452" t="str">
        <f>IF(Orders[[#This Row],[CustomerAge]]&gt;=35, "Older", "Young")</f>
        <v>Young</v>
      </c>
      <c r="S452" t="str">
        <f>_xlfn.XLOOKUP(Orders[[#This Row],[ProductID]],Products[ProductID],Products[ProductName])</f>
        <v>Monopoly</v>
      </c>
      <c r="T452" t="str">
        <f>_xlfn.XLOOKUP(Orders[[#This Row],[ProductID]],Products[ProductID],Products[Category])</f>
        <v>Games</v>
      </c>
    </row>
    <row r="453" spans="1:20" x14ac:dyDescent="0.25">
      <c r="A453" s="4" t="s">
        <v>637</v>
      </c>
      <c r="B453" s="5">
        <v>45958</v>
      </c>
      <c r="C453" s="15">
        <f>WEEKNUM(Orders[[#This Row],[OrderDate]])</f>
        <v>44</v>
      </c>
      <c r="D453" s="15" t="str">
        <f>TEXT(Orders[[#This Row],[OrderDate]],"mmmm")</f>
        <v>October</v>
      </c>
      <c r="E453" s="4" t="s">
        <v>343</v>
      </c>
      <c r="F453" s="4" t="s">
        <v>125</v>
      </c>
      <c r="G453" s="4">
        <v>1</v>
      </c>
      <c r="H453" s="12">
        <v>11904.1</v>
      </c>
      <c r="I453" s="13">
        <v>10118.485000000001</v>
      </c>
      <c r="J453" s="13">
        <f>Orders[[#This Row],[Quantity]]*Orders[[#This Row],[Selling Price]]</f>
        <v>11904.1</v>
      </c>
      <c r="K453" s="13">
        <f>Orders[[#This Row],[Quantity]]*Orders[[#This Row],[Cost Price]]</f>
        <v>10118.485000000001</v>
      </c>
      <c r="L453" s="13">
        <f>Orders[[#This Row],[Revenue]]-Orders[[#This Row],[Expenses]]</f>
        <v>1785.6149999999998</v>
      </c>
      <c r="M453" t="s">
        <v>2218</v>
      </c>
      <c r="N453" t="str">
        <f>_xlfn.XLOOKUP(Orders[[#This Row],[CustomerID]],Customers[CustomerID],Customers[CustomerName])</f>
        <v>Ronke Obi</v>
      </c>
      <c r="O453" t="str">
        <f>_xlfn.XLOOKUP(Orders[[#This Row],[CustomerID]],Customers[CustomerID],Customers[City])</f>
        <v>Washington</v>
      </c>
      <c r="P453" t="str">
        <f>_xlfn.XLOOKUP(Orders[[#This Row],[CustomerID]],Customers[CustomerID],Customers[Gender])</f>
        <v>Female</v>
      </c>
      <c r="Q453">
        <f>_xlfn.XLOOKUP(Orders[[#This Row],[CustomerID]],Customers[CustomerID],Customers[CustomerAge])</f>
        <v>31</v>
      </c>
      <c r="R453" t="str">
        <f>IF(Orders[[#This Row],[CustomerAge]]&gt;=35, "Older", "Young")</f>
        <v>Young</v>
      </c>
      <c r="S453" t="str">
        <f>_xlfn.XLOOKUP(Orders[[#This Row],[ProductID]],Products[ProductID],Products[ProductName])</f>
        <v>Earrings</v>
      </c>
      <c r="T453" t="str">
        <f>_xlfn.XLOOKUP(Orders[[#This Row],[ProductID]],Products[ProductID],Products[Category])</f>
        <v>Accessories</v>
      </c>
    </row>
    <row r="454" spans="1:20" x14ac:dyDescent="0.25">
      <c r="A454" s="4" t="s">
        <v>638</v>
      </c>
      <c r="B454" s="5">
        <v>45948</v>
      </c>
      <c r="C454" s="15">
        <f>WEEKNUM(Orders[[#This Row],[OrderDate]])</f>
        <v>42</v>
      </c>
      <c r="D454" s="15" t="str">
        <f>TEXT(Orders[[#This Row],[OrderDate]],"mmmm")</f>
        <v>October</v>
      </c>
      <c r="E454" s="4" t="s">
        <v>282</v>
      </c>
      <c r="F454" s="4" t="s">
        <v>130</v>
      </c>
      <c r="G454" s="4">
        <v>7</v>
      </c>
      <c r="H454" s="12">
        <v>10433.5</v>
      </c>
      <c r="I454" s="13">
        <v>8868.4750000000004</v>
      </c>
      <c r="J454" s="13">
        <f>Orders[[#This Row],[Quantity]]*Orders[[#This Row],[Selling Price]]</f>
        <v>73034.5</v>
      </c>
      <c r="K454" s="13">
        <f>Orders[[#This Row],[Quantity]]*Orders[[#This Row],[Cost Price]]</f>
        <v>62079.325000000004</v>
      </c>
      <c r="L454" s="13">
        <f>Orders[[#This Row],[Revenue]]-Orders[[#This Row],[Expenses]]</f>
        <v>10955.174999999996</v>
      </c>
      <c r="M454" t="s">
        <v>2193</v>
      </c>
      <c r="N454" t="str">
        <f>_xlfn.XLOOKUP(Orders[[#This Row],[CustomerID]],Customers[CustomerID],Customers[CustomerName])</f>
        <v>Bisi Ojo</v>
      </c>
      <c r="O454" t="str">
        <f>_xlfn.XLOOKUP(Orders[[#This Row],[CustomerID]],Customers[CustomerID],Customers[City])</f>
        <v>Texas</v>
      </c>
      <c r="P454" t="str">
        <f>_xlfn.XLOOKUP(Orders[[#This Row],[CustomerID]],Customers[CustomerID],Customers[Gender])</f>
        <v>Female</v>
      </c>
      <c r="Q454">
        <f>_xlfn.XLOOKUP(Orders[[#This Row],[CustomerID]],Customers[CustomerID],Customers[CustomerAge])</f>
        <v>26</v>
      </c>
      <c r="R454" t="str">
        <f>IF(Orders[[#This Row],[CustomerAge]]&gt;=35, "Older", "Young")</f>
        <v>Young</v>
      </c>
      <c r="S454" t="str">
        <f>_xlfn.XLOOKUP(Orders[[#This Row],[ProductID]],Products[ProductID],Products[ProductName])</f>
        <v>Gold Earrings And Necklaces</v>
      </c>
      <c r="T454" t="str">
        <f>_xlfn.XLOOKUP(Orders[[#This Row],[ProductID]],Products[ProductID],Products[Category])</f>
        <v>Accessories</v>
      </c>
    </row>
    <row r="455" spans="1:20" x14ac:dyDescent="0.25">
      <c r="A455" s="4" t="s">
        <v>639</v>
      </c>
      <c r="B455" s="5">
        <v>46006</v>
      </c>
      <c r="C455" s="15">
        <f>WEEKNUM(Orders[[#This Row],[OrderDate]])</f>
        <v>51</v>
      </c>
      <c r="D455" s="15" t="str">
        <f>TEXT(Orders[[#This Row],[OrderDate]],"mmmm")</f>
        <v>December</v>
      </c>
      <c r="E455" s="4" t="s">
        <v>607</v>
      </c>
      <c r="F455" s="4" t="s">
        <v>127</v>
      </c>
      <c r="G455" s="4">
        <v>5</v>
      </c>
      <c r="H455" s="12">
        <v>3164.5</v>
      </c>
      <c r="I455" s="13">
        <v>2689.8249999999998</v>
      </c>
      <c r="J455" s="13">
        <f>Orders[[#This Row],[Quantity]]*Orders[[#This Row],[Selling Price]]</f>
        <v>15822.5</v>
      </c>
      <c r="K455" s="13">
        <f>Orders[[#This Row],[Quantity]]*Orders[[#This Row],[Cost Price]]</f>
        <v>13449.125</v>
      </c>
      <c r="L455" s="13">
        <f>Orders[[#This Row],[Revenue]]-Orders[[#This Row],[Expenses]]</f>
        <v>2373.375</v>
      </c>
      <c r="M455" t="s">
        <v>2201</v>
      </c>
      <c r="N455" t="str">
        <f>_xlfn.XLOOKUP(Orders[[#This Row],[CustomerID]],Customers[CustomerID],Customers[CustomerName])</f>
        <v>Folasade Ojo</v>
      </c>
      <c r="O455" t="str">
        <f>_xlfn.XLOOKUP(Orders[[#This Row],[CustomerID]],Customers[CustomerID],Customers[City])</f>
        <v>Texas</v>
      </c>
      <c r="P455" t="str">
        <f>_xlfn.XLOOKUP(Orders[[#This Row],[CustomerID]],Customers[CustomerID],Customers[Gender])</f>
        <v>Female</v>
      </c>
      <c r="Q455">
        <f>_xlfn.XLOOKUP(Orders[[#This Row],[CustomerID]],Customers[CustomerID],Customers[CustomerAge])</f>
        <v>19</v>
      </c>
      <c r="R455" t="str">
        <f>IF(Orders[[#This Row],[CustomerAge]]&gt;=35, "Older", "Young")</f>
        <v>Young</v>
      </c>
      <c r="S455" t="str">
        <f>_xlfn.XLOOKUP(Orders[[#This Row],[ProductID]],Products[ProductID],Products[ProductName])</f>
        <v>Tops</v>
      </c>
      <c r="T455" t="str">
        <f>_xlfn.XLOOKUP(Orders[[#This Row],[ProductID]],Products[ProductID],Products[Category])</f>
        <v>Clothing</v>
      </c>
    </row>
    <row r="456" spans="1:20" x14ac:dyDescent="0.25">
      <c r="A456" s="4" t="s">
        <v>640</v>
      </c>
      <c r="B456" s="5">
        <v>45977</v>
      </c>
      <c r="C456" s="15">
        <f>WEEKNUM(Orders[[#This Row],[OrderDate]])</f>
        <v>47</v>
      </c>
      <c r="D456" s="15" t="str">
        <f>TEXT(Orders[[#This Row],[OrderDate]],"mmmm")</f>
        <v>November</v>
      </c>
      <c r="E456" s="4" t="s">
        <v>105</v>
      </c>
      <c r="F456" s="4" t="s">
        <v>208</v>
      </c>
      <c r="G456" s="4">
        <v>3</v>
      </c>
      <c r="H456" s="12">
        <v>6902.2000000000007</v>
      </c>
      <c r="I456" s="13">
        <v>5866.8700000000008</v>
      </c>
      <c r="J456" s="13">
        <f>Orders[[#This Row],[Quantity]]*Orders[[#This Row],[Selling Price]]</f>
        <v>20706.600000000002</v>
      </c>
      <c r="K456" s="13">
        <f>Orders[[#This Row],[Quantity]]*Orders[[#This Row],[Cost Price]]</f>
        <v>17600.61</v>
      </c>
      <c r="L456" s="13">
        <f>Orders[[#This Row],[Revenue]]-Orders[[#This Row],[Expenses]]</f>
        <v>3105.9900000000016</v>
      </c>
      <c r="M456" t="s">
        <v>2194</v>
      </c>
      <c r="N456" t="str">
        <f>_xlfn.XLOOKUP(Orders[[#This Row],[CustomerID]],Customers[CustomerID],Customers[CustomerName])</f>
        <v>Folasade Adeyemi</v>
      </c>
      <c r="O456" t="str">
        <f>_xlfn.XLOOKUP(Orders[[#This Row],[CustomerID]],Customers[CustomerID],Customers[City])</f>
        <v>Georgia</v>
      </c>
      <c r="P456" t="str">
        <f>_xlfn.XLOOKUP(Orders[[#This Row],[CustomerID]],Customers[CustomerID],Customers[Gender])</f>
        <v>Female</v>
      </c>
      <c r="Q456">
        <f>_xlfn.XLOOKUP(Orders[[#This Row],[CustomerID]],Customers[CustomerID],Customers[CustomerAge])</f>
        <v>42</v>
      </c>
      <c r="R456" t="str">
        <f>IF(Orders[[#This Row],[CustomerAge]]&gt;=35, "Older", "Young")</f>
        <v>Older</v>
      </c>
      <c r="S456" t="str">
        <f>_xlfn.XLOOKUP(Orders[[#This Row],[ProductID]],Products[ProductID],Products[ProductName])</f>
        <v>Skipping Rope</v>
      </c>
      <c r="T456" t="str">
        <f>_xlfn.XLOOKUP(Orders[[#This Row],[ProductID]],Products[ProductID],Products[Category])</f>
        <v>Sports</v>
      </c>
    </row>
    <row r="457" spans="1:20" x14ac:dyDescent="0.25">
      <c r="A457" s="4" t="s">
        <v>641</v>
      </c>
      <c r="B457" s="5">
        <v>45985</v>
      </c>
      <c r="C457" s="15">
        <f>WEEKNUM(Orders[[#This Row],[OrderDate]])</f>
        <v>48</v>
      </c>
      <c r="D457" s="15" t="str">
        <f>TEXT(Orders[[#This Row],[OrderDate]],"mmmm")</f>
        <v>November</v>
      </c>
      <c r="E457" s="4" t="s">
        <v>383</v>
      </c>
      <c r="F457" s="4" t="s">
        <v>25</v>
      </c>
      <c r="G457" s="4">
        <v>9</v>
      </c>
      <c r="H457" s="12">
        <v>15250.2</v>
      </c>
      <c r="I457" s="13">
        <v>12962.67</v>
      </c>
      <c r="J457" s="13">
        <f>Orders[[#This Row],[Quantity]]*Orders[[#This Row],[Selling Price]]</f>
        <v>137251.80000000002</v>
      </c>
      <c r="K457" s="13">
        <f>Orders[[#This Row],[Quantity]]*Orders[[#This Row],[Cost Price]]</f>
        <v>116664.03</v>
      </c>
      <c r="L457" s="13">
        <f>Orders[[#This Row],[Revenue]]-Orders[[#This Row],[Expenses]]</f>
        <v>20587.770000000019</v>
      </c>
      <c r="M457" t="s">
        <v>2192</v>
      </c>
      <c r="N457" t="str">
        <f>_xlfn.XLOOKUP(Orders[[#This Row],[CustomerID]],Customers[CustomerID],Customers[CustomerName])</f>
        <v>Ibrahim Balogun</v>
      </c>
      <c r="O457" t="str">
        <f>_xlfn.XLOOKUP(Orders[[#This Row],[CustomerID]],Customers[CustomerID],Customers[City])</f>
        <v>Florida</v>
      </c>
      <c r="P457" t="str">
        <f>_xlfn.XLOOKUP(Orders[[#This Row],[CustomerID]],Customers[CustomerID],Customers[Gender])</f>
        <v>Male</v>
      </c>
      <c r="Q457">
        <f>_xlfn.XLOOKUP(Orders[[#This Row],[CustomerID]],Customers[CustomerID],Customers[CustomerAge])</f>
        <v>27</v>
      </c>
      <c r="R457" t="str">
        <f>IF(Orders[[#This Row],[CustomerAge]]&gt;=35, "Older", "Young")</f>
        <v>Young</v>
      </c>
      <c r="S457" t="str">
        <f>_xlfn.XLOOKUP(Orders[[#This Row],[ProductID]],Products[ProductID],Products[ProductName])</f>
        <v>Gold Rings</v>
      </c>
      <c r="T457" t="str">
        <f>_xlfn.XLOOKUP(Orders[[#This Row],[ProductID]],Products[ProductID],Products[Category])</f>
        <v>Accessories</v>
      </c>
    </row>
    <row r="458" spans="1:20" x14ac:dyDescent="0.25">
      <c r="A458" s="4" t="s">
        <v>642</v>
      </c>
      <c r="B458" s="5">
        <v>45964</v>
      </c>
      <c r="C458" s="15">
        <f>WEEKNUM(Orders[[#This Row],[OrderDate]])</f>
        <v>45</v>
      </c>
      <c r="D458" s="15" t="str">
        <f>TEXT(Orders[[#This Row],[OrderDate]],"mmmm")</f>
        <v>November</v>
      </c>
      <c r="E458" s="4" t="s">
        <v>36</v>
      </c>
      <c r="F458" s="4" t="s">
        <v>25</v>
      </c>
      <c r="G458" s="4">
        <v>3</v>
      </c>
      <c r="H458" s="12">
        <v>15496.300000000001</v>
      </c>
      <c r="I458" s="13">
        <v>13171.855000000001</v>
      </c>
      <c r="J458" s="13">
        <f>Orders[[#This Row],[Quantity]]*Orders[[#This Row],[Selling Price]]</f>
        <v>46488.9</v>
      </c>
      <c r="K458" s="13">
        <f>Orders[[#This Row],[Quantity]]*Orders[[#This Row],[Cost Price]]</f>
        <v>39515.565000000002</v>
      </c>
      <c r="L458" s="13">
        <f>Orders[[#This Row],[Revenue]]-Orders[[#This Row],[Expenses]]</f>
        <v>6973.3349999999991</v>
      </c>
      <c r="M458" t="s">
        <v>2200</v>
      </c>
      <c r="N458" t="str">
        <f>_xlfn.XLOOKUP(Orders[[#This Row],[CustomerID]],Customers[CustomerID],Customers[CustomerName])</f>
        <v>Jide Eze</v>
      </c>
      <c r="O458" t="str">
        <f>_xlfn.XLOOKUP(Orders[[#This Row],[CustomerID]],Customers[CustomerID],Customers[City])</f>
        <v>California</v>
      </c>
      <c r="P458" t="str">
        <f>_xlfn.XLOOKUP(Orders[[#This Row],[CustomerID]],Customers[CustomerID],Customers[Gender])</f>
        <v>Male</v>
      </c>
      <c r="Q458">
        <f>_xlfn.XLOOKUP(Orders[[#This Row],[CustomerID]],Customers[CustomerID],Customers[CustomerAge])</f>
        <v>21</v>
      </c>
      <c r="R458" t="str">
        <f>IF(Orders[[#This Row],[CustomerAge]]&gt;=35, "Older", "Young")</f>
        <v>Young</v>
      </c>
      <c r="S458" t="str">
        <f>_xlfn.XLOOKUP(Orders[[#This Row],[ProductID]],Products[ProductID],Products[ProductName])</f>
        <v>Gold Rings</v>
      </c>
      <c r="T458" t="str">
        <f>_xlfn.XLOOKUP(Orders[[#This Row],[ProductID]],Products[ProductID],Products[Category])</f>
        <v>Accessories</v>
      </c>
    </row>
    <row r="459" spans="1:20" x14ac:dyDescent="0.25">
      <c r="A459" s="4" t="s">
        <v>643</v>
      </c>
      <c r="B459" s="5">
        <v>46003</v>
      </c>
      <c r="C459" s="15">
        <f>WEEKNUM(Orders[[#This Row],[OrderDate]])</f>
        <v>50</v>
      </c>
      <c r="D459" s="15" t="str">
        <f>TEXT(Orders[[#This Row],[OrderDate]],"mmmm")</f>
        <v>December</v>
      </c>
      <c r="E459" s="4" t="s">
        <v>383</v>
      </c>
      <c r="F459" s="4" t="s">
        <v>76</v>
      </c>
      <c r="G459" s="4">
        <v>2</v>
      </c>
      <c r="H459" s="12">
        <v>19571.300000000003</v>
      </c>
      <c r="I459" s="13">
        <v>16635.605000000003</v>
      </c>
      <c r="J459" s="13">
        <f>Orders[[#This Row],[Quantity]]*Orders[[#This Row],[Selling Price]]</f>
        <v>39142.600000000006</v>
      </c>
      <c r="K459" s="13">
        <f>Orders[[#This Row],[Quantity]]*Orders[[#This Row],[Cost Price]]</f>
        <v>33271.210000000006</v>
      </c>
      <c r="L459" s="13">
        <f>Orders[[#This Row],[Revenue]]-Orders[[#This Row],[Expenses]]</f>
        <v>5871.3899999999994</v>
      </c>
      <c r="M459" t="s">
        <v>2195</v>
      </c>
      <c r="N459" t="str">
        <f>_xlfn.XLOOKUP(Orders[[#This Row],[CustomerID]],Customers[CustomerID],Customers[CustomerName])</f>
        <v>Ibrahim Balogun</v>
      </c>
      <c r="O459" t="str">
        <f>_xlfn.XLOOKUP(Orders[[#This Row],[CustomerID]],Customers[CustomerID],Customers[City])</f>
        <v>Florida</v>
      </c>
      <c r="P459" t="str">
        <f>_xlfn.XLOOKUP(Orders[[#This Row],[CustomerID]],Customers[CustomerID],Customers[Gender])</f>
        <v>Male</v>
      </c>
      <c r="Q459">
        <f>_xlfn.XLOOKUP(Orders[[#This Row],[CustomerID]],Customers[CustomerID],Customers[CustomerAge])</f>
        <v>27</v>
      </c>
      <c r="R459" t="str">
        <f>IF(Orders[[#This Row],[CustomerAge]]&gt;=35, "Older", "Young")</f>
        <v>Young</v>
      </c>
      <c r="S459" t="str">
        <f>_xlfn.XLOOKUP(Orders[[#This Row],[ProductID]],Products[ProductID],Products[ProductName])</f>
        <v>Blender</v>
      </c>
      <c r="T459" t="str">
        <f>_xlfn.XLOOKUP(Orders[[#This Row],[ProductID]],Products[ProductID],Products[Category])</f>
        <v>Electronics</v>
      </c>
    </row>
    <row r="460" spans="1:20" x14ac:dyDescent="0.25">
      <c r="A460" s="4" t="s">
        <v>644</v>
      </c>
      <c r="B460" s="5">
        <v>46012</v>
      </c>
      <c r="C460" s="15">
        <f>WEEKNUM(Orders[[#This Row],[OrderDate]])</f>
        <v>52</v>
      </c>
      <c r="D460" s="15" t="str">
        <f>TEXT(Orders[[#This Row],[OrderDate]],"mmmm")</f>
        <v>December</v>
      </c>
      <c r="E460" s="4" t="s">
        <v>105</v>
      </c>
      <c r="F460" s="4" t="s">
        <v>37</v>
      </c>
      <c r="G460" s="4">
        <v>4</v>
      </c>
      <c r="H460" s="12">
        <v>8584.7000000000007</v>
      </c>
      <c r="I460" s="13">
        <v>7296.9950000000008</v>
      </c>
      <c r="J460" s="13">
        <f>Orders[[#This Row],[Quantity]]*Orders[[#This Row],[Selling Price]]</f>
        <v>34338.800000000003</v>
      </c>
      <c r="K460" s="13">
        <f>Orders[[#This Row],[Quantity]]*Orders[[#This Row],[Cost Price]]</f>
        <v>29187.980000000003</v>
      </c>
      <c r="L460" s="13">
        <f>Orders[[#This Row],[Revenue]]-Orders[[#This Row],[Expenses]]</f>
        <v>5150.82</v>
      </c>
      <c r="M460" t="s">
        <v>2205</v>
      </c>
      <c r="N460" t="str">
        <f>_xlfn.XLOOKUP(Orders[[#This Row],[CustomerID]],Customers[CustomerID],Customers[CustomerName])</f>
        <v>Folasade Adeyemi</v>
      </c>
      <c r="O460" t="str">
        <f>_xlfn.XLOOKUP(Orders[[#This Row],[CustomerID]],Customers[CustomerID],Customers[City])</f>
        <v>Georgia</v>
      </c>
      <c r="P460" t="str">
        <f>_xlfn.XLOOKUP(Orders[[#This Row],[CustomerID]],Customers[CustomerID],Customers[Gender])</f>
        <v>Female</v>
      </c>
      <c r="Q460">
        <f>_xlfn.XLOOKUP(Orders[[#This Row],[CustomerID]],Customers[CustomerID],Customers[CustomerAge])</f>
        <v>42</v>
      </c>
      <c r="R460" t="str">
        <f>IF(Orders[[#This Row],[CustomerAge]]&gt;=35, "Older", "Young")</f>
        <v>Older</v>
      </c>
      <c r="S460" t="str">
        <f>_xlfn.XLOOKUP(Orders[[#This Row],[ProductID]],Products[ProductID],Products[ProductName])</f>
        <v>Iron</v>
      </c>
      <c r="T460" t="str">
        <f>_xlfn.XLOOKUP(Orders[[#This Row],[ProductID]],Products[ProductID],Products[Category])</f>
        <v>Electronics</v>
      </c>
    </row>
    <row r="461" spans="1:20" x14ac:dyDescent="0.25">
      <c r="A461" s="4" t="s">
        <v>645</v>
      </c>
      <c r="B461" s="5">
        <v>45973</v>
      </c>
      <c r="C461" s="15">
        <f>WEEKNUM(Orders[[#This Row],[OrderDate]])</f>
        <v>46</v>
      </c>
      <c r="D461" s="15" t="str">
        <f>TEXT(Orders[[#This Row],[OrderDate]],"mmmm")</f>
        <v>November</v>
      </c>
      <c r="E461" s="4" t="s">
        <v>521</v>
      </c>
      <c r="F461" s="4" t="s">
        <v>70</v>
      </c>
      <c r="G461" s="4">
        <v>9</v>
      </c>
      <c r="H461" s="12">
        <v>18988</v>
      </c>
      <c r="I461" s="13">
        <v>16139.8</v>
      </c>
      <c r="J461" s="13">
        <f>Orders[[#This Row],[Quantity]]*Orders[[#This Row],[Selling Price]]</f>
        <v>170892</v>
      </c>
      <c r="K461" s="13">
        <f>Orders[[#This Row],[Quantity]]*Orders[[#This Row],[Cost Price]]</f>
        <v>145258.19999999998</v>
      </c>
      <c r="L461" s="13">
        <f>Orders[[#This Row],[Revenue]]-Orders[[#This Row],[Expenses]]</f>
        <v>25633.800000000017</v>
      </c>
      <c r="M461" t="s">
        <v>2197</v>
      </c>
      <c r="N461" t="str">
        <f>_xlfn.XLOOKUP(Orders[[#This Row],[CustomerID]],Customers[CustomerID],Customers[CustomerName])</f>
        <v>Ronke Eze</v>
      </c>
      <c r="O461" t="str">
        <f>_xlfn.XLOOKUP(Orders[[#This Row],[CustomerID]],Customers[CustomerID],Customers[City])</f>
        <v>Illinois</v>
      </c>
      <c r="P461" t="str">
        <f>_xlfn.XLOOKUP(Orders[[#This Row],[CustomerID]],Customers[CustomerID],Customers[Gender])</f>
        <v>Female</v>
      </c>
      <c r="Q461">
        <f>_xlfn.XLOOKUP(Orders[[#This Row],[CustomerID]],Customers[CustomerID],Customers[CustomerAge])</f>
        <v>25</v>
      </c>
      <c r="R461" t="str">
        <f>IF(Orders[[#This Row],[CustomerAge]]&gt;=35, "Older", "Young")</f>
        <v>Young</v>
      </c>
      <c r="S461" t="str">
        <f>_xlfn.XLOOKUP(Orders[[#This Row],[ProductID]],Products[ProductID],Products[ProductName])</f>
        <v>Yoga Mat</v>
      </c>
      <c r="T461" t="str">
        <f>_xlfn.XLOOKUP(Orders[[#This Row],[ProductID]],Products[ProductID],Products[Category])</f>
        <v>Gym</v>
      </c>
    </row>
    <row r="462" spans="1:20" x14ac:dyDescent="0.25">
      <c r="A462" s="4" t="s">
        <v>646</v>
      </c>
      <c r="B462" s="5">
        <v>45953</v>
      </c>
      <c r="C462" s="15">
        <f>WEEKNUM(Orders[[#This Row],[OrderDate]])</f>
        <v>43</v>
      </c>
      <c r="D462" s="15" t="str">
        <f>TEXT(Orders[[#This Row],[OrderDate]],"mmmm")</f>
        <v>October</v>
      </c>
      <c r="E462" s="4" t="s">
        <v>75</v>
      </c>
      <c r="F462" s="4" t="s">
        <v>70</v>
      </c>
      <c r="G462" s="4">
        <v>8</v>
      </c>
      <c r="H462" s="12">
        <v>7816.5999999999995</v>
      </c>
      <c r="I462" s="13">
        <v>6644.11</v>
      </c>
      <c r="J462" s="13">
        <f>Orders[[#This Row],[Quantity]]*Orders[[#This Row],[Selling Price]]</f>
        <v>62532.799999999996</v>
      </c>
      <c r="K462" s="13">
        <f>Orders[[#This Row],[Quantity]]*Orders[[#This Row],[Cost Price]]</f>
        <v>53152.88</v>
      </c>
      <c r="L462" s="13">
        <f>Orders[[#This Row],[Revenue]]-Orders[[#This Row],[Expenses]]</f>
        <v>9379.9199999999983</v>
      </c>
      <c r="M462" t="s">
        <v>2208</v>
      </c>
      <c r="N462" t="str">
        <f>_xlfn.XLOOKUP(Orders[[#This Row],[CustomerID]],Customers[CustomerID],Customers[CustomerName])</f>
        <v>Tunde Danladi</v>
      </c>
      <c r="O462" t="str">
        <f>_xlfn.XLOOKUP(Orders[[#This Row],[CustomerID]],Customers[CustomerID],Customers[City])</f>
        <v>Texas</v>
      </c>
      <c r="P462" t="str">
        <f>_xlfn.XLOOKUP(Orders[[#This Row],[CustomerID]],Customers[CustomerID],Customers[Gender])</f>
        <v>Male</v>
      </c>
      <c r="Q462">
        <f>_xlfn.XLOOKUP(Orders[[#This Row],[CustomerID]],Customers[CustomerID],Customers[CustomerAge])</f>
        <v>47</v>
      </c>
      <c r="R462" t="str">
        <f>IF(Orders[[#This Row],[CustomerAge]]&gt;=35, "Older", "Young")</f>
        <v>Older</v>
      </c>
      <c r="S462" t="str">
        <f>_xlfn.XLOOKUP(Orders[[#This Row],[ProductID]],Products[ProductID],Products[ProductName])</f>
        <v>Yoga Mat</v>
      </c>
      <c r="T462" t="str">
        <f>_xlfn.XLOOKUP(Orders[[#This Row],[ProductID]],Products[ProductID],Products[Category])</f>
        <v>Gym</v>
      </c>
    </row>
    <row r="463" spans="1:20" x14ac:dyDescent="0.25">
      <c r="A463" s="4" t="s">
        <v>647</v>
      </c>
      <c r="B463" s="5">
        <v>45996</v>
      </c>
      <c r="C463" s="15">
        <f>WEEKNUM(Orders[[#This Row],[OrderDate]])</f>
        <v>49</v>
      </c>
      <c r="D463" s="15" t="str">
        <f>TEXT(Orders[[#This Row],[OrderDate]],"mmmm")</f>
        <v>December</v>
      </c>
      <c r="E463" s="4" t="s">
        <v>212</v>
      </c>
      <c r="F463" s="4" t="s">
        <v>28</v>
      </c>
      <c r="G463" s="4">
        <v>7</v>
      </c>
      <c r="H463" s="12">
        <v>4849.7000000000007</v>
      </c>
      <c r="I463" s="13">
        <v>4122.2450000000008</v>
      </c>
      <c r="J463" s="13">
        <f>Orders[[#This Row],[Quantity]]*Orders[[#This Row],[Selling Price]]</f>
        <v>33947.900000000009</v>
      </c>
      <c r="K463" s="13">
        <f>Orders[[#This Row],[Quantity]]*Orders[[#This Row],[Cost Price]]</f>
        <v>28855.715000000004</v>
      </c>
      <c r="L463" s="13">
        <f>Orders[[#This Row],[Revenue]]-Orders[[#This Row],[Expenses]]</f>
        <v>5092.1850000000049</v>
      </c>
      <c r="M463" t="s">
        <v>2198</v>
      </c>
      <c r="N463" t="str">
        <f>_xlfn.XLOOKUP(Orders[[#This Row],[CustomerID]],Customers[CustomerID],Customers[CustomerName])</f>
        <v>Ngozi Ojo</v>
      </c>
      <c r="O463" t="str">
        <f>_xlfn.XLOOKUP(Orders[[#This Row],[CustomerID]],Customers[CustomerID],Customers[City])</f>
        <v>Illinois</v>
      </c>
      <c r="P463" t="str">
        <f>_xlfn.XLOOKUP(Orders[[#This Row],[CustomerID]],Customers[CustomerID],Customers[Gender])</f>
        <v>Female</v>
      </c>
      <c r="Q463">
        <f>_xlfn.XLOOKUP(Orders[[#This Row],[CustomerID]],Customers[CustomerID],Customers[CustomerAge])</f>
        <v>53</v>
      </c>
      <c r="R463" t="str">
        <f>IF(Orders[[#This Row],[CustomerAge]]&gt;=35, "Older", "Young")</f>
        <v>Older</v>
      </c>
      <c r="S463" t="str">
        <f>_xlfn.XLOOKUP(Orders[[#This Row],[ProductID]],Products[ProductID],Products[ProductName])</f>
        <v>Sneakers</v>
      </c>
      <c r="T463" t="str">
        <f>_xlfn.XLOOKUP(Orders[[#This Row],[ProductID]],Products[ProductID],Products[Category])</f>
        <v>Sports</v>
      </c>
    </row>
    <row r="464" spans="1:20" x14ac:dyDescent="0.25">
      <c r="A464" s="4" t="s">
        <v>648</v>
      </c>
      <c r="B464" s="5">
        <v>45957</v>
      </c>
      <c r="C464" s="15">
        <f>WEEKNUM(Orders[[#This Row],[OrderDate]])</f>
        <v>44</v>
      </c>
      <c r="D464" s="15" t="str">
        <f>TEXT(Orders[[#This Row],[OrderDate]],"mmmm")</f>
        <v>October</v>
      </c>
      <c r="E464" s="4" t="s">
        <v>649</v>
      </c>
      <c r="F464" s="4" t="s">
        <v>53</v>
      </c>
      <c r="G464" s="4">
        <v>8</v>
      </c>
      <c r="H464" s="12">
        <v>1976.8000000000002</v>
      </c>
      <c r="I464" s="13">
        <v>1680.2800000000002</v>
      </c>
      <c r="J464" s="13">
        <f>Orders[[#This Row],[Quantity]]*Orders[[#This Row],[Selling Price]]</f>
        <v>15814.400000000001</v>
      </c>
      <c r="K464" s="13">
        <f>Orders[[#This Row],[Quantity]]*Orders[[#This Row],[Cost Price]]</f>
        <v>13442.240000000002</v>
      </c>
      <c r="L464" s="13">
        <f>Orders[[#This Row],[Revenue]]-Orders[[#This Row],[Expenses]]</f>
        <v>2372.16</v>
      </c>
      <c r="M464" t="s">
        <v>2207</v>
      </c>
      <c r="N464" t="str">
        <f>_xlfn.XLOOKUP(Orders[[#This Row],[CustomerID]],Customers[CustomerID],Customers[CustomerName])</f>
        <v>Bisi Abubakar</v>
      </c>
      <c r="O464" t="str">
        <f>_xlfn.XLOOKUP(Orders[[#This Row],[CustomerID]],Customers[CustomerID],Customers[City])</f>
        <v>Washington</v>
      </c>
      <c r="P464" t="str">
        <f>_xlfn.XLOOKUP(Orders[[#This Row],[CustomerID]],Customers[CustomerID],Customers[Gender])</f>
        <v>Female</v>
      </c>
      <c r="Q464">
        <f>_xlfn.XLOOKUP(Orders[[#This Row],[CustomerID]],Customers[CustomerID],Customers[CustomerAge])</f>
        <v>35</v>
      </c>
      <c r="R464" t="str">
        <f>IF(Orders[[#This Row],[CustomerAge]]&gt;=35, "Older", "Young")</f>
        <v>Older</v>
      </c>
      <c r="S464" t="str">
        <f>_xlfn.XLOOKUP(Orders[[#This Row],[ProductID]],Products[ProductID],Products[ProductName])</f>
        <v>Silver Bangles</v>
      </c>
      <c r="T464" t="str">
        <f>_xlfn.XLOOKUP(Orders[[#This Row],[ProductID]],Products[ProductID],Products[Category])</f>
        <v>Accessories</v>
      </c>
    </row>
    <row r="465" spans="1:20" x14ac:dyDescent="0.25">
      <c r="A465" s="4" t="s">
        <v>650</v>
      </c>
      <c r="B465" s="5">
        <v>46011</v>
      </c>
      <c r="C465" s="15">
        <f>WEEKNUM(Orders[[#This Row],[OrderDate]])</f>
        <v>51</v>
      </c>
      <c r="D465" s="15" t="str">
        <f>TEXT(Orders[[#This Row],[OrderDate]],"mmmm")</f>
        <v>December</v>
      </c>
      <c r="E465" s="4" t="s">
        <v>194</v>
      </c>
      <c r="F465" s="4" t="s">
        <v>20</v>
      </c>
      <c r="G465" s="4">
        <v>9</v>
      </c>
      <c r="H465" s="12">
        <v>6140.1</v>
      </c>
      <c r="I465" s="13">
        <v>5219.085</v>
      </c>
      <c r="J465" s="13">
        <f>Orders[[#This Row],[Quantity]]*Orders[[#This Row],[Selling Price]]</f>
        <v>55260.9</v>
      </c>
      <c r="K465" s="13">
        <f>Orders[[#This Row],[Quantity]]*Orders[[#This Row],[Cost Price]]</f>
        <v>46971.764999999999</v>
      </c>
      <c r="L465" s="13">
        <f>Orders[[#This Row],[Revenue]]-Orders[[#This Row],[Expenses]]</f>
        <v>8289.135000000002</v>
      </c>
      <c r="M465" t="s">
        <v>2194</v>
      </c>
      <c r="N465" t="str">
        <f>_xlfn.XLOOKUP(Orders[[#This Row],[CustomerID]],Customers[CustomerID],Customers[CustomerName])</f>
        <v>Adanma Adeyemi</v>
      </c>
      <c r="O465" t="str">
        <f>_xlfn.XLOOKUP(Orders[[#This Row],[CustomerID]],Customers[CustomerID],Customers[City])</f>
        <v>Washington</v>
      </c>
      <c r="P465" t="str">
        <f>_xlfn.XLOOKUP(Orders[[#This Row],[CustomerID]],Customers[CustomerID],Customers[Gender])</f>
        <v>Female</v>
      </c>
      <c r="Q465">
        <f>_xlfn.XLOOKUP(Orders[[#This Row],[CustomerID]],Customers[CustomerID],Customers[CustomerAge])</f>
        <v>45</v>
      </c>
      <c r="R465" t="str">
        <f>IF(Orders[[#This Row],[CustomerAge]]&gt;=35, "Older", "Young")</f>
        <v>Older</v>
      </c>
      <c r="S465" t="str">
        <f>_xlfn.XLOOKUP(Orders[[#This Row],[ProductID]],Products[ProductID],Products[ProductName])</f>
        <v>Gym Bag</v>
      </c>
      <c r="T465" t="str">
        <f>_xlfn.XLOOKUP(Orders[[#This Row],[ProductID]],Products[ProductID],Products[Category])</f>
        <v>Gym</v>
      </c>
    </row>
    <row r="466" spans="1:20" x14ac:dyDescent="0.25">
      <c r="A466" s="4" t="s">
        <v>651</v>
      </c>
      <c r="B466" s="5">
        <v>45961</v>
      </c>
      <c r="C466" s="15">
        <f>WEEKNUM(Orders[[#This Row],[OrderDate]])</f>
        <v>44</v>
      </c>
      <c r="D466" s="15" t="str">
        <f>TEXT(Orders[[#This Row],[OrderDate]],"mmmm")</f>
        <v>October</v>
      </c>
      <c r="E466" s="4" t="s">
        <v>201</v>
      </c>
      <c r="F466" s="4" t="s">
        <v>34</v>
      </c>
      <c r="G466" s="4">
        <v>8</v>
      </c>
      <c r="H466" s="12">
        <v>3242</v>
      </c>
      <c r="I466" s="13">
        <v>2755.7</v>
      </c>
      <c r="J466" s="13">
        <f>Orders[[#This Row],[Quantity]]*Orders[[#This Row],[Selling Price]]</f>
        <v>25936</v>
      </c>
      <c r="K466" s="13">
        <f>Orders[[#This Row],[Quantity]]*Orders[[#This Row],[Cost Price]]</f>
        <v>22045.599999999999</v>
      </c>
      <c r="L466" s="13">
        <f>Orders[[#This Row],[Revenue]]-Orders[[#This Row],[Expenses]]</f>
        <v>3890.4000000000015</v>
      </c>
      <c r="M466" t="s">
        <v>2218</v>
      </c>
      <c r="N466" t="str">
        <f>_xlfn.XLOOKUP(Orders[[#This Row],[CustomerID]],Customers[CustomerID],Customers[CustomerName])</f>
        <v>Sani Igwe</v>
      </c>
      <c r="O466" t="str">
        <f>_xlfn.XLOOKUP(Orders[[#This Row],[CustomerID]],Customers[CustomerID],Customers[City])</f>
        <v>Georgia</v>
      </c>
      <c r="P466" t="str">
        <f>_xlfn.XLOOKUP(Orders[[#This Row],[CustomerID]],Customers[CustomerID],Customers[Gender])</f>
        <v>Male</v>
      </c>
      <c r="Q466">
        <f>_xlfn.XLOOKUP(Orders[[#This Row],[CustomerID]],Customers[CustomerID],Customers[CustomerAge])</f>
        <v>20</v>
      </c>
      <c r="R466" t="str">
        <f>IF(Orders[[#This Row],[CustomerAge]]&gt;=35, "Older", "Young")</f>
        <v>Young</v>
      </c>
      <c r="S466" t="str">
        <f>_xlfn.XLOOKUP(Orders[[#This Row],[ProductID]],Products[ProductID],Products[ProductName])</f>
        <v>Gold Bracelets</v>
      </c>
      <c r="T466" t="str">
        <f>_xlfn.XLOOKUP(Orders[[#This Row],[ProductID]],Products[ProductID],Products[Category])</f>
        <v>Accessories</v>
      </c>
    </row>
    <row r="467" spans="1:20" x14ac:dyDescent="0.25">
      <c r="A467" s="4" t="s">
        <v>652</v>
      </c>
      <c r="B467" s="5">
        <v>46013</v>
      </c>
      <c r="C467" s="15">
        <f>WEEKNUM(Orders[[#This Row],[OrderDate]])</f>
        <v>52</v>
      </c>
      <c r="D467" s="15" t="str">
        <f>TEXT(Orders[[#This Row],[OrderDate]],"mmmm")</f>
        <v>December</v>
      </c>
      <c r="E467" s="4" t="s">
        <v>36</v>
      </c>
      <c r="F467" s="4" t="s">
        <v>157</v>
      </c>
      <c r="G467" s="4">
        <v>4</v>
      </c>
      <c r="H467" s="12">
        <v>18080.3</v>
      </c>
      <c r="I467" s="13">
        <v>15368.254999999999</v>
      </c>
      <c r="J467" s="13">
        <f>Orders[[#This Row],[Quantity]]*Orders[[#This Row],[Selling Price]]</f>
        <v>72321.2</v>
      </c>
      <c r="K467" s="13">
        <f>Orders[[#This Row],[Quantity]]*Orders[[#This Row],[Cost Price]]</f>
        <v>61473.02</v>
      </c>
      <c r="L467" s="13">
        <f>Orders[[#This Row],[Revenue]]-Orders[[#This Row],[Expenses]]</f>
        <v>10848.18</v>
      </c>
      <c r="M467" t="s">
        <v>2198</v>
      </c>
      <c r="N467" t="str">
        <f>_xlfn.XLOOKUP(Orders[[#This Row],[CustomerID]],Customers[CustomerID],Customers[CustomerName])</f>
        <v>Jide Eze</v>
      </c>
      <c r="O467" t="str">
        <f>_xlfn.XLOOKUP(Orders[[#This Row],[CustomerID]],Customers[CustomerID],Customers[City])</f>
        <v>California</v>
      </c>
      <c r="P467" t="str">
        <f>_xlfn.XLOOKUP(Orders[[#This Row],[CustomerID]],Customers[CustomerID],Customers[Gender])</f>
        <v>Male</v>
      </c>
      <c r="Q467">
        <f>_xlfn.XLOOKUP(Orders[[#This Row],[CustomerID]],Customers[CustomerID],Customers[CustomerAge])</f>
        <v>21</v>
      </c>
      <c r="R467" t="str">
        <f>IF(Orders[[#This Row],[CustomerAge]]&gt;=35, "Older", "Young")</f>
        <v>Young</v>
      </c>
      <c r="S467" t="str">
        <f>_xlfn.XLOOKUP(Orders[[#This Row],[ProductID]],Products[ProductID],Products[ProductName])</f>
        <v>Football</v>
      </c>
      <c r="T467" t="str">
        <f>_xlfn.XLOOKUP(Orders[[#This Row],[ProductID]],Products[ProductID],Products[Category])</f>
        <v>Sports</v>
      </c>
    </row>
    <row r="468" spans="1:20" x14ac:dyDescent="0.25">
      <c r="A468" s="4" t="s">
        <v>653</v>
      </c>
      <c r="B468" s="5">
        <v>45986</v>
      </c>
      <c r="C468" s="15">
        <f>WEEKNUM(Orders[[#This Row],[OrderDate]])</f>
        <v>48</v>
      </c>
      <c r="D468" s="15" t="str">
        <f>TEXT(Orders[[#This Row],[OrderDate]],"mmmm")</f>
        <v>November</v>
      </c>
      <c r="E468" s="4" t="s">
        <v>388</v>
      </c>
      <c r="F468" s="4" t="s">
        <v>84</v>
      </c>
      <c r="G468" s="4">
        <v>3</v>
      </c>
      <c r="H468" s="12">
        <v>3355.8999999999996</v>
      </c>
      <c r="I468" s="13">
        <v>2852.5149999999999</v>
      </c>
      <c r="J468" s="13">
        <f>Orders[[#This Row],[Quantity]]*Orders[[#This Row],[Selling Price]]</f>
        <v>10067.699999999999</v>
      </c>
      <c r="K468" s="13">
        <f>Orders[[#This Row],[Quantity]]*Orders[[#This Row],[Cost Price]]</f>
        <v>8557.5450000000001</v>
      </c>
      <c r="L468" s="13">
        <f>Orders[[#This Row],[Revenue]]-Orders[[#This Row],[Expenses]]</f>
        <v>1510.1549999999988</v>
      </c>
      <c r="M468" t="s">
        <v>2202</v>
      </c>
      <c r="N468" t="str">
        <f>_xlfn.XLOOKUP(Orders[[#This Row],[CustomerID]],Customers[CustomerID],Customers[CustomerName])</f>
        <v>Folasade Okonkwo</v>
      </c>
      <c r="O468" t="str">
        <f>_xlfn.XLOOKUP(Orders[[#This Row],[CustomerID]],Customers[CustomerID],Customers[City])</f>
        <v>Washington</v>
      </c>
      <c r="P468" t="str">
        <f>_xlfn.XLOOKUP(Orders[[#This Row],[CustomerID]],Customers[CustomerID],Customers[Gender])</f>
        <v>Female</v>
      </c>
      <c r="Q468">
        <f>_xlfn.XLOOKUP(Orders[[#This Row],[CustomerID]],Customers[CustomerID],Customers[CustomerAge])</f>
        <v>52</v>
      </c>
      <c r="R468" t="str">
        <f>IF(Orders[[#This Row],[CustomerAge]]&gt;=35, "Older", "Young")</f>
        <v>Older</v>
      </c>
      <c r="S468" t="str">
        <f>_xlfn.XLOOKUP(Orders[[#This Row],[ProductID]],Products[ProductID],Products[ProductName])</f>
        <v>Gym Wears</v>
      </c>
      <c r="T468" t="str">
        <f>_xlfn.XLOOKUP(Orders[[#This Row],[ProductID]],Products[ProductID],Products[Category])</f>
        <v>Clothing</v>
      </c>
    </row>
    <row r="469" spans="1:20" x14ac:dyDescent="0.25">
      <c r="A469" s="4" t="s">
        <v>654</v>
      </c>
      <c r="B469" s="5">
        <v>46021</v>
      </c>
      <c r="C469" s="15">
        <f>WEEKNUM(Orders[[#This Row],[OrderDate]])</f>
        <v>53</v>
      </c>
      <c r="D469" s="15" t="str">
        <f>TEXT(Orders[[#This Row],[OrderDate]],"mmmm")</f>
        <v>December</v>
      </c>
      <c r="E469" s="4" t="s">
        <v>272</v>
      </c>
      <c r="F469" s="4" t="s">
        <v>76</v>
      </c>
      <c r="G469" s="4">
        <v>2</v>
      </c>
      <c r="H469" s="12">
        <v>18499.2</v>
      </c>
      <c r="I469" s="13">
        <v>15724.32</v>
      </c>
      <c r="J469" s="13">
        <f>Orders[[#This Row],[Quantity]]*Orders[[#This Row],[Selling Price]]</f>
        <v>36998.400000000001</v>
      </c>
      <c r="K469" s="13">
        <f>Orders[[#This Row],[Quantity]]*Orders[[#This Row],[Cost Price]]</f>
        <v>31448.639999999999</v>
      </c>
      <c r="L469" s="13">
        <f>Orders[[#This Row],[Revenue]]-Orders[[#This Row],[Expenses]]</f>
        <v>5549.760000000002</v>
      </c>
      <c r="M469" t="s">
        <v>2197</v>
      </c>
      <c r="N469" t="str">
        <f>_xlfn.XLOOKUP(Orders[[#This Row],[CustomerID]],Customers[CustomerID],Customers[CustomerName])</f>
        <v>Blessing Bello</v>
      </c>
      <c r="O469" t="str">
        <f>_xlfn.XLOOKUP(Orders[[#This Row],[CustomerID]],Customers[CustomerID],Customers[City])</f>
        <v>Florida</v>
      </c>
      <c r="P469" t="str">
        <f>_xlfn.XLOOKUP(Orders[[#This Row],[CustomerID]],Customers[CustomerID],Customers[Gender])</f>
        <v>Female</v>
      </c>
      <c r="Q469">
        <f>_xlfn.XLOOKUP(Orders[[#This Row],[CustomerID]],Customers[CustomerID],Customers[CustomerAge])</f>
        <v>38</v>
      </c>
      <c r="R469" t="str">
        <f>IF(Orders[[#This Row],[CustomerAge]]&gt;=35, "Older", "Young")</f>
        <v>Older</v>
      </c>
      <c r="S469" t="str">
        <f>_xlfn.XLOOKUP(Orders[[#This Row],[ProductID]],Products[ProductID],Products[ProductName])</f>
        <v>Blender</v>
      </c>
      <c r="T469" t="str">
        <f>_xlfn.XLOOKUP(Orders[[#This Row],[ProductID]],Products[ProductID],Products[Category])</f>
        <v>Electronics</v>
      </c>
    </row>
    <row r="470" spans="1:20" x14ac:dyDescent="0.25">
      <c r="A470" s="4" t="s">
        <v>655</v>
      </c>
      <c r="B470" s="5">
        <v>45981</v>
      </c>
      <c r="C470" s="15">
        <f>WEEKNUM(Orders[[#This Row],[OrderDate]])</f>
        <v>47</v>
      </c>
      <c r="D470" s="15" t="str">
        <f>TEXT(Orders[[#This Row],[OrderDate]],"mmmm")</f>
        <v>November</v>
      </c>
      <c r="E470" s="4" t="s">
        <v>246</v>
      </c>
      <c r="F470" s="4" t="s">
        <v>23</v>
      </c>
      <c r="G470" s="4">
        <v>7</v>
      </c>
      <c r="H470" s="12">
        <v>12466.300000000001</v>
      </c>
      <c r="I470" s="13">
        <v>10596.355000000001</v>
      </c>
      <c r="J470" s="13">
        <f>Orders[[#This Row],[Quantity]]*Orders[[#This Row],[Selling Price]]</f>
        <v>87264.1</v>
      </c>
      <c r="K470" s="13">
        <f>Orders[[#This Row],[Quantity]]*Orders[[#This Row],[Cost Price]]</f>
        <v>74174.485000000015</v>
      </c>
      <c r="L470" s="13">
        <f>Orders[[#This Row],[Revenue]]-Orders[[#This Row],[Expenses]]</f>
        <v>13089.614999999991</v>
      </c>
      <c r="M470" t="s">
        <v>2195</v>
      </c>
      <c r="N470" t="str">
        <f>_xlfn.XLOOKUP(Orders[[#This Row],[CustomerID]],Customers[CustomerID],Customers[CustomerName])</f>
        <v>Emeka Abubakar</v>
      </c>
      <c r="O470" t="str">
        <f>_xlfn.XLOOKUP(Orders[[#This Row],[CustomerID]],Customers[CustomerID],Customers[City])</f>
        <v>Florida</v>
      </c>
      <c r="P470" t="str">
        <f>_xlfn.XLOOKUP(Orders[[#This Row],[CustomerID]],Customers[CustomerID],Customers[Gender])</f>
        <v>Male</v>
      </c>
      <c r="Q470">
        <f>_xlfn.XLOOKUP(Orders[[#This Row],[CustomerID]],Customers[CustomerID],Customers[CustomerAge])</f>
        <v>28</v>
      </c>
      <c r="R470" t="str">
        <f>IF(Orders[[#This Row],[CustomerAge]]&gt;=35, "Older", "Young")</f>
        <v>Young</v>
      </c>
      <c r="S470" t="str">
        <f>_xlfn.XLOOKUP(Orders[[#This Row],[ProductID]],Products[ProductID],Products[ProductName])</f>
        <v>Gym Gloves</v>
      </c>
      <c r="T470" t="str">
        <f>_xlfn.XLOOKUP(Orders[[#This Row],[ProductID]],Products[ProductID],Products[Category])</f>
        <v>Gym</v>
      </c>
    </row>
    <row r="471" spans="1:20" x14ac:dyDescent="0.25">
      <c r="A471" s="4" t="s">
        <v>656</v>
      </c>
      <c r="B471" s="5">
        <v>45971</v>
      </c>
      <c r="C471" s="15">
        <f>WEEKNUM(Orders[[#This Row],[OrderDate]])</f>
        <v>46</v>
      </c>
      <c r="D471" s="15" t="str">
        <f>TEXT(Orders[[#This Row],[OrderDate]],"mmmm")</f>
        <v>November</v>
      </c>
      <c r="E471" s="4" t="s">
        <v>324</v>
      </c>
      <c r="F471" s="4" t="s">
        <v>37</v>
      </c>
      <c r="G471" s="4">
        <v>3</v>
      </c>
      <c r="H471" s="12">
        <v>17394.2</v>
      </c>
      <c r="I471" s="13">
        <v>14785.07</v>
      </c>
      <c r="J471" s="13">
        <f>Orders[[#This Row],[Quantity]]*Orders[[#This Row],[Selling Price]]</f>
        <v>52182.600000000006</v>
      </c>
      <c r="K471" s="13">
        <f>Orders[[#This Row],[Quantity]]*Orders[[#This Row],[Cost Price]]</f>
        <v>44355.21</v>
      </c>
      <c r="L471" s="13">
        <f>Orders[[#This Row],[Revenue]]-Orders[[#This Row],[Expenses]]</f>
        <v>7827.3900000000067</v>
      </c>
      <c r="M471" t="s">
        <v>2215</v>
      </c>
      <c r="N471" t="str">
        <f>_xlfn.XLOOKUP(Orders[[#This Row],[CustomerID]],Customers[CustomerID],Customers[CustomerName])</f>
        <v>Tunde Okonkwo</v>
      </c>
      <c r="O471" t="str">
        <f>_xlfn.XLOOKUP(Orders[[#This Row],[CustomerID]],Customers[CustomerID],Customers[City])</f>
        <v>Texas</v>
      </c>
      <c r="P471" t="str">
        <f>_xlfn.XLOOKUP(Orders[[#This Row],[CustomerID]],Customers[CustomerID],Customers[Gender])</f>
        <v>Male</v>
      </c>
      <c r="Q471">
        <f>_xlfn.XLOOKUP(Orders[[#This Row],[CustomerID]],Customers[CustomerID],Customers[CustomerAge])</f>
        <v>25</v>
      </c>
      <c r="R471" t="str">
        <f>IF(Orders[[#This Row],[CustomerAge]]&gt;=35, "Older", "Young")</f>
        <v>Young</v>
      </c>
      <c r="S471" t="str">
        <f>_xlfn.XLOOKUP(Orders[[#This Row],[ProductID]],Products[ProductID],Products[ProductName])</f>
        <v>Iron</v>
      </c>
      <c r="T471" t="str">
        <f>_xlfn.XLOOKUP(Orders[[#This Row],[ProductID]],Products[ProductID],Products[Category])</f>
        <v>Electronics</v>
      </c>
    </row>
    <row r="472" spans="1:20" x14ac:dyDescent="0.25">
      <c r="A472" s="4" t="s">
        <v>657</v>
      </c>
      <c r="B472" s="5">
        <v>45989</v>
      </c>
      <c r="C472" s="15">
        <f>WEEKNUM(Orders[[#This Row],[OrderDate]])</f>
        <v>48</v>
      </c>
      <c r="D472" s="15" t="str">
        <f>TEXT(Orders[[#This Row],[OrderDate]],"mmmm")</f>
        <v>November</v>
      </c>
      <c r="E472" s="4" t="s">
        <v>180</v>
      </c>
      <c r="F472" s="4" t="s">
        <v>25</v>
      </c>
      <c r="G472" s="4">
        <v>8</v>
      </c>
      <c r="H472" s="12">
        <v>13944</v>
      </c>
      <c r="I472" s="13">
        <v>11852.4</v>
      </c>
      <c r="J472" s="13">
        <f>Orders[[#This Row],[Quantity]]*Orders[[#This Row],[Selling Price]]</f>
        <v>111552</v>
      </c>
      <c r="K472" s="13">
        <f>Orders[[#This Row],[Quantity]]*Orders[[#This Row],[Cost Price]]</f>
        <v>94819.199999999997</v>
      </c>
      <c r="L472" s="13">
        <f>Orders[[#This Row],[Revenue]]-Orders[[#This Row],[Expenses]]</f>
        <v>16732.800000000003</v>
      </c>
      <c r="M472" t="s">
        <v>2193</v>
      </c>
      <c r="N472" t="str">
        <f>_xlfn.XLOOKUP(Orders[[#This Row],[CustomerID]],Customers[CustomerID],Customers[CustomerName])</f>
        <v>Jide Okonkwo</v>
      </c>
      <c r="O472" t="str">
        <f>_xlfn.XLOOKUP(Orders[[#This Row],[CustomerID]],Customers[CustomerID],Customers[City])</f>
        <v>Texas</v>
      </c>
      <c r="P472" t="str">
        <f>_xlfn.XLOOKUP(Orders[[#This Row],[CustomerID]],Customers[CustomerID],Customers[Gender])</f>
        <v>Male</v>
      </c>
      <c r="Q472">
        <f>_xlfn.XLOOKUP(Orders[[#This Row],[CustomerID]],Customers[CustomerID],Customers[CustomerAge])</f>
        <v>25</v>
      </c>
      <c r="R472" t="str">
        <f>IF(Orders[[#This Row],[CustomerAge]]&gt;=35, "Older", "Young")</f>
        <v>Young</v>
      </c>
      <c r="S472" t="str">
        <f>_xlfn.XLOOKUP(Orders[[#This Row],[ProductID]],Products[ProductID],Products[ProductName])</f>
        <v>Gold Rings</v>
      </c>
      <c r="T472" t="str">
        <f>_xlfn.XLOOKUP(Orders[[#This Row],[ProductID]],Products[ProductID],Products[Category])</f>
        <v>Accessories</v>
      </c>
    </row>
    <row r="473" spans="1:20" x14ac:dyDescent="0.25">
      <c r="A473" s="4" t="s">
        <v>658</v>
      </c>
      <c r="B473" s="5">
        <v>45960</v>
      </c>
      <c r="C473" s="15">
        <f>WEEKNUM(Orders[[#This Row],[OrderDate]])</f>
        <v>44</v>
      </c>
      <c r="D473" s="15" t="str">
        <f>TEXT(Orders[[#This Row],[OrderDate]],"mmmm")</f>
        <v>October</v>
      </c>
      <c r="E473" s="4" t="s">
        <v>314</v>
      </c>
      <c r="F473" s="4" t="s">
        <v>120</v>
      </c>
      <c r="G473" s="4">
        <v>10</v>
      </c>
      <c r="H473" s="12">
        <v>13082.8</v>
      </c>
      <c r="I473" s="13">
        <v>11120.38</v>
      </c>
      <c r="J473" s="13">
        <f>Orders[[#This Row],[Quantity]]*Orders[[#This Row],[Selling Price]]</f>
        <v>130828</v>
      </c>
      <c r="K473" s="13">
        <f>Orders[[#This Row],[Quantity]]*Orders[[#This Row],[Cost Price]]</f>
        <v>111203.79999999999</v>
      </c>
      <c r="L473" s="13">
        <f>Orders[[#This Row],[Revenue]]-Orders[[#This Row],[Expenses]]</f>
        <v>19624.200000000012</v>
      </c>
      <c r="M473" t="s">
        <v>2204</v>
      </c>
      <c r="N473" t="str">
        <f>_xlfn.XLOOKUP(Orders[[#This Row],[CustomerID]],Customers[CustomerID],Customers[CustomerName])</f>
        <v>Bisi Ojo</v>
      </c>
      <c r="O473" t="str">
        <f>_xlfn.XLOOKUP(Orders[[#This Row],[CustomerID]],Customers[CustomerID],Customers[City])</f>
        <v>Washington</v>
      </c>
      <c r="P473" t="str">
        <f>_xlfn.XLOOKUP(Orders[[#This Row],[CustomerID]],Customers[CustomerID],Customers[Gender])</f>
        <v>Female</v>
      </c>
      <c r="Q473">
        <f>_xlfn.XLOOKUP(Orders[[#This Row],[CustomerID]],Customers[CustomerID],Customers[CustomerAge])</f>
        <v>18</v>
      </c>
      <c r="R473" t="str">
        <f>IF(Orders[[#This Row],[CustomerAge]]&gt;=35, "Older", "Young")</f>
        <v>Young</v>
      </c>
      <c r="S473" t="str">
        <f>_xlfn.XLOOKUP(Orders[[#This Row],[ProductID]],Products[ProductID],Products[ProductName])</f>
        <v>Chess</v>
      </c>
      <c r="T473" t="str">
        <f>_xlfn.XLOOKUP(Orders[[#This Row],[ProductID]],Products[ProductID],Products[Category])</f>
        <v>Games</v>
      </c>
    </row>
    <row r="474" spans="1:20" x14ac:dyDescent="0.25">
      <c r="A474" s="4" t="s">
        <v>659</v>
      </c>
      <c r="B474" s="5">
        <v>46000</v>
      </c>
      <c r="C474" s="15">
        <f>WEEKNUM(Orders[[#This Row],[OrderDate]])</f>
        <v>50</v>
      </c>
      <c r="D474" s="15" t="str">
        <f>TEXT(Orders[[#This Row],[OrderDate]],"mmmm")</f>
        <v>December</v>
      </c>
      <c r="E474" s="4" t="s">
        <v>256</v>
      </c>
      <c r="F474" s="4" t="s">
        <v>31</v>
      </c>
      <c r="G474" s="4">
        <v>1</v>
      </c>
      <c r="H474" s="12">
        <v>17504.100000000002</v>
      </c>
      <c r="I474" s="13">
        <v>14878.485000000002</v>
      </c>
      <c r="J474" s="13">
        <f>Orders[[#This Row],[Quantity]]*Orders[[#This Row],[Selling Price]]</f>
        <v>17504.100000000002</v>
      </c>
      <c r="K474" s="13">
        <f>Orders[[#This Row],[Quantity]]*Orders[[#This Row],[Cost Price]]</f>
        <v>14878.485000000002</v>
      </c>
      <c r="L474" s="13">
        <f>Orders[[#This Row],[Revenue]]-Orders[[#This Row],[Expenses]]</f>
        <v>2625.6149999999998</v>
      </c>
      <c r="M474" t="s">
        <v>2220</v>
      </c>
      <c r="N474" t="str">
        <f>_xlfn.XLOOKUP(Orders[[#This Row],[CustomerID]],Customers[CustomerID],Customers[CustomerName])</f>
        <v>Efe Ojo</v>
      </c>
      <c r="O474" t="str">
        <f>_xlfn.XLOOKUP(Orders[[#This Row],[CustomerID]],Customers[CustomerID],Customers[City])</f>
        <v>Georgia</v>
      </c>
      <c r="P474" t="str">
        <f>_xlfn.XLOOKUP(Orders[[#This Row],[CustomerID]],Customers[CustomerID],Customers[Gender])</f>
        <v>Female</v>
      </c>
      <c r="Q474">
        <f>_xlfn.XLOOKUP(Orders[[#This Row],[CustomerID]],Customers[CustomerID],Customers[CustomerAge])</f>
        <v>23</v>
      </c>
      <c r="R474" t="str">
        <f>IF(Orders[[#This Row],[CustomerAge]]&gt;=35, "Older", "Young")</f>
        <v>Young</v>
      </c>
      <c r="S474" t="str">
        <f>_xlfn.XLOOKUP(Orders[[#This Row],[ProductID]],Products[ProductID],Products[ProductName])</f>
        <v>Kids Games</v>
      </c>
      <c r="T474" t="str">
        <f>_xlfn.XLOOKUP(Orders[[#This Row],[ProductID]],Products[ProductID],Products[Category])</f>
        <v>Games</v>
      </c>
    </row>
    <row r="475" spans="1:20" x14ac:dyDescent="0.25">
      <c r="A475" s="4" t="s">
        <v>660</v>
      </c>
      <c r="B475" s="5">
        <v>46016</v>
      </c>
      <c r="C475" s="15">
        <f>WEEKNUM(Orders[[#This Row],[OrderDate]])</f>
        <v>52</v>
      </c>
      <c r="D475" s="15" t="str">
        <f>TEXT(Orders[[#This Row],[OrderDate]],"mmmm")</f>
        <v>December</v>
      </c>
      <c r="E475" s="4" t="s">
        <v>468</v>
      </c>
      <c r="F475" s="4" t="s">
        <v>208</v>
      </c>
      <c r="G475" s="4">
        <v>5</v>
      </c>
      <c r="H475" s="12">
        <v>5355.5999999999995</v>
      </c>
      <c r="I475" s="13">
        <v>4552.2599999999993</v>
      </c>
      <c r="J475" s="13">
        <f>Orders[[#This Row],[Quantity]]*Orders[[#This Row],[Selling Price]]</f>
        <v>26777.999999999996</v>
      </c>
      <c r="K475" s="13">
        <f>Orders[[#This Row],[Quantity]]*Orders[[#This Row],[Cost Price]]</f>
        <v>22761.299999999996</v>
      </c>
      <c r="L475" s="13">
        <f>Orders[[#This Row],[Revenue]]-Orders[[#This Row],[Expenses]]</f>
        <v>4016.7000000000007</v>
      </c>
      <c r="M475" t="s">
        <v>2206</v>
      </c>
      <c r="N475" t="str">
        <f>_xlfn.XLOOKUP(Orders[[#This Row],[CustomerID]],Customers[CustomerID],Customers[CustomerName])</f>
        <v>Chioma Adeyemi</v>
      </c>
      <c r="O475" t="str">
        <f>_xlfn.XLOOKUP(Orders[[#This Row],[CustomerID]],Customers[CustomerID],Customers[City])</f>
        <v>California</v>
      </c>
      <c r="P475" t="str">
        <f>_xlfn.XLOOKUP(Orders[[#This Row],[CustomerID]],Customers[CustomerID],Customers[Gender])</f>
        <v>Female</v>
      </c>
      <c r="Q475">
        <f>_xlfn.XLOOKUP(Orders[[#This Row],[CustomerID]],Customers[CustomerID],Customers[CustomerAge])</f>
        <v>23</v>
      </c>
      <c r="R475" t="str">
        <f>IF(Orders[[#This Row],[CustomerAge]]&gt;=35, "Older", "Young")</f>
        <v>Young</v>
      </c>
      <c r="S475" t="str">
        <f>_xlfn.XLOOKUP(Orders[[#This Row],[ProductID]],Products[ProductID],Products[ProductName])</f>
        <v>Skipping Rope</v>
      </c>
      <c r="T475" t="str">
        <f>_xlfn.XLOOKUP(Orders[[#This Row],[ProductID]],Products[ProductID],Products[Category])</f>
        <v>Sports</v>
      </c>
    </row>
    <row r="476" spans="1:20" x14ac:dyDescent="0.25">
      <c r="A476" s="4" t="s">
        <v>661</v>
      </c>
      <c r="B476" s="5">
        <v>45933</v>
      </c>
      <c r="C476" s="15">
        <f>WEEKNUM(Orders[[#This Row],[OrderDate]])</f>
        <v>40</v>
      </c>
      <c r="D476" s="15" t="str">
        <f>TEXT(Orders[[#This Row],[OrderDate]],"mmmm")</f>
        <v>October</v>
      </c>
      <c r="E476" s="4" t="s">
        <v>83</v>
      </c>
      <c r="F476" s="4" t="s">
        <v>25</v>
      </c>
      <c r="G476" s="4">
        <v>7</v>
      </c>
      <c r="H476" s="12">
        <v>12575</v>
      </c>
      <c r="I476" s="13">
        <v>10688.75</v>
      </c>
      <c r="J476" s="13">
        <f>Orders[[#This Row],[Quantity]]*Orders[[#This Row],[Selling Price]]</f>
        <v>88025</v>
      </c>
      <c r="K476" s="13">
        <f>Orders[[#This Row],[Quantity]]*Orders[[#This Row],[Cost Price]]</f>
        <v>74821.25</v>
      </c>
      <c r="L476" s="13">
        <f>Orders[[#This Row],[Revenue]]-Orders[[#This Row],[Expenses]]</f>
        <v>13203.75</v>
      </c>
      <c r="M476" t="s">
        <v>2202</v>
      </c>
      <c r="N476" t="str">
        <f>_xlfn.XLOOKUP(Orders[[#This Row],[CustomerID]],Customers[CustomerID],Customers[CustomerName])</f>
        <v>Funke Danladi</v>
      </c>
      <c r="O476" t="str">
        <f>_xlfn.XLOOKUP(Orders[[#This Row],[CustomerID]],Customers[CustomerID],Customers[City])</f>
        <v>Florida</v>
      </c>
      <c r="P476" t="str">
        <f>_xlfn.XLOOKUP(Orders[[#This Row],[CustomerID]],Customers[CustomerID],Customers[Gender])</f>
        <v>Female</v>
      </c>
      <c r="Q476">
        <f>_xlfn.XLOOKUP(Orders[[#This Row],[CustomerID]],Customers[CustomerID],Customers[CustomerAge])</f>
        <v>26</v>
      </c>
      <c r="R476" t="str">
        <f>IF(Orders[[#This Row],[CustomerAge]]&gt;=35, "Older", "Young")</f>
        <v>Young</v>
      </c>
      <c r="S476" t="str">
        <f>_xlfn.XLOOKUP(Orders[[#This Row],[ProductID]],Products[ProductID],Products[ProductName])</f>
        <v>Gold Rings</v>
      </c>
      <c r="T476" t="str">
        <f>_xlfn.XLOOKUP(Orders[[#This Row],[ProductID]],Products[ProductID],Products[Category])</f>
        <v>Accessories</v>
      </c>
    </row>
    <row r="477" spans="1:20" x14ac:dyDescent="0.25">
      <c r="A477" s="4" t="s">
        <v>662</v>
      </c>
      <c r="B477" s="5">
        <v>46012</v>
      </c>
      <c r="C477" s="15">
        <f>WEEKNUM(Orders[[#This Row],[OrderDate]])</f>
        <v>52</v>
      </c>
      <c r="D477" s="15" t="str">
        <f>TEXT(Orders[[#This Row],[OrderDate]],"mmmm")</f>
        <v>December</v>
      </c>
      <c r="E477" s="4" t="s">
        <v>298</v>
      </c>
      <c r="F477" s="4" t="s">
        <v>37</v>
      </c>
      <c r="G477" s="4">
        <v>9</v>
      </c>
      <c r="H477" s="12">
        <v>4796.8</v>
      </c>
      <c r="I477" s="13">
        <v>4077.28</v>
      </c>
      <c r="J477" s="13">
        <f>Orders[[#This Row],[Quantity]]*Orders[[#This Row],[Selling Price]]</f>
        <v>43171.200000000004</v>
      </c>
      <c r="K477" s="13">
        <f>Orders[[#This Row],[Quantity]]*Orders[[#This Row],[Cost Price]]</f>
        <v>36695.520000000004</v>
      </c>
      <c r="L477" s="13">
        <f>Orders[[#This Row],[Revenue]]-Orders[[#This Row],[Expenses]]</f>
        <v>6475.68</v>
      </c>
      <c r="M477" t="s">
        <v>2195</v>
      </c>
      <c r="N477" t="str">
        <f>_xlfn.XLOOKUP(Orders[[#This Row],[CustomerID]],Customers[CustomerID],Customers[CustomerName])</f>
        <v>Amina Obi</v>
      </c>
      <c r="O477" t="str">
        <f>_xlfn.XLOOKUP(Orders[[#This Row],[CustomerID]],Customers[CustomerID],Customers[City])</f>
        <v>Florida</v>
      </c>
      <c r="P477" t="str">
        <f>_xlfn.XLOOKUP(Orders[[#This Row],[CustomerID]],Customers[CustomerID],Customers[Gender])</f>
        <v>Female</v>
      </c>
      <c r="Q477">
        <f>_xlfn.XLOOKUP(Orders[[#This Row],[CustomerID]],Customers[CustomerID],Customers[CustomerAge])</f>
        <v>19</v>
      </c>
      <c r="R477" t="str">
        <f>IF(Orders[[#This Row],[CustomerAge]]&gt;=35, "Older", "Young")</f>
        <v>Young</v>
      </c>
      <c r="S477" t="str">
        <f>_xlfn.XLOOKUP(Orders[[#This Row],[ProductID]],Products[ProductID],Products[ProductName])</f>
        <v>Iron</v>
      </c>
      <c r="T477" t="str">
        <f>_xlfn.XLOOKUP(Orders[[#This Row],[ProductID]],Products[ProductID],Products[Category])</f>
        <v>Electronics</v>
      </c>
    </row>
    <row r="478" spans="1:20" x14ac:dyDescent="0.25">
      <c r="A478" s="4" t="s">
        <v>663</v>
      </c>
      <c r="B478" s="5">
        <v>45936</v>
      </c>
      <c r="C478" s="15">
        <f>WEEKNUM(Orders[[#This Row],[OrderDate]])</f>
        <v>41</v>
      </c>
      <c r="D478" s="15" t="str">
        <f>TEXT(Orders[[#This Row],[OrderDate]],"mmmm")</f>
        <v>October</v>
      </c>
      <c r="E478" s="4" t="s">
        <v>150</v>
      </c>
      <c r="F478" s="4" t="s">
        <v>9</v>
      </c>
      <c r="G478" s="4">
        <v>3</v>
      </c>
      <c r="H478" s="12">
        <v>10607</v>
      </c>
      <c r="I478" s="13">
        <v>9015.9500000000007</v>
      </c>
      <c r="J478" s="13">
        <f>Orders[[#This Row],[Quantity]]*Orders[[#This Row],[Selling Price]]</f>
        <v>31821</v>
      </c>
      <c r="K478" s="13">
        <f>Orders[[#This Row],[Quantity]]*Orders[[#This Row],[Cost Price]]</f>
        <v>27047.850000000002</v>
      </c>
      <c r="L478" s="13">
        <f>Orders[[#This Row],[Revenue]]-Orders[[#This Row],[Expenses]]</f>
        <v>4773.1499999999978</v>
      </c>
      <c r="M478" t="s">
        <v>2210</v>
      </c>
      <c r="N478" t="str">
        <f>_xlfn.XLOOKUP(Orders[[#This Row],[CustomerID]],Customers[CustomerID],Customers[CustomerName])</f>
        <v>Ronke Eze</v>
      </c>
      <c r="O478" t="str">
        <f>_xlfn.XLOOKUP(Orders[[#This Row],[CustomerID]],Customers[CustomerID],Customers[City])</f>
        <v>Georgia</v>
      </c>
      <c r="P478" t="str">
        <f>_xlfn.XLOOKUP(Orders[[#This Row],[CustomerID]],Customers[CustomerID],Customers[Gender])</f>
        <v>Female</v>
      </c>
      <c r="Q478">
        <f>_xlfn.XLOOKUP(Orders[[#This Row],[CustomerID]],Customers[CustomerID],Customers[CustomerAge])</f>
        <v>23</v>
      </c>
      <c r="R478" t="str">
        <f>IF(Orders[[#This Row],[CustomerAge]]&gt;=35, "Older", "Young")</f>
        <v>Young</v>
      </c>
      <c r="S478" t="str">
        <f>_xlfn.XLOOKUP(Orders[[#This Row],[ProductID]],Products[ProductID],Products[ProductName])</f>
        <v>Beaded Earrings And Necklaces</v>
      </c>
      <c r="T478" t="str">
        <f>_xlfn.XLOOKUP(Orders[[#This Row],[ProductID]],Products[ProductID],Products[Category])</f>
        <v>Accessories</v>
      </c>
    </row>
    <row r="479" spans="1:20" x14ac:dyDescent="0.25">
      <c r="A479" s="4" t="s">
        <v>664</v>
      </c>
      <c r="B479" s="5">
        <v>45984</v>
      </c>
      <c r="C479" s="15">
        <f>WEEKNUM(Orders[[#This Row],[OrderDate]])</f>
        <v>48</v>
      </c>
      <c r="D479" s="15" t="str">
        <f>TEXT(Orders[[#This Row],[OrderDate]],"mmmm")</f>
        <v>November</v>
      </c>
      <c r="E479" s="4" t="s">
        <v>223</v>
      </c>
      <c r="F479" s="4" t="s">
        <v>37</v>
      </c>
      <c r="G479" s="4">
        <v>7</v>
      </c>
      <c r="H479" s="12">
        <v>7226.2</v>
      </c>
      <c r="I479" s="13">
        <v>6142.27</v>
      </c>
      <c r="J479" s="13">
        <f>Orders[[#This Row],[Quantity]]*Orders[[#This Row],[Selling Price]]</f>
        <v>50583.4</v>
      </c>
      <c r="K479" s="13">
        <f>Orders[[#This Row],[Quantity]]*Orders[[#This Row],[Cost Price]]</f>
        <v>42995.89</v>
      </c>
      <c r="L479" s="13">
        <f>Orders[[#This Row],[Revenue]]-Orders[[#This Row],[Expenses]]</f>
        <v>7587.510000000002</v>
      </c>
      <c r="M479" t="s">
        <v>2193</v>
      </c>
      <c r="N479" t="str">
        <f>_xlfn.XLOOKUP(Orders[[#This Row],[CustomerID]],Customers[CustomerID],Customers[CustomerName])</f>
        <v>Blessing Danladi</v>
      </c>
      <c r="O479" t="str">
        <f>_xlfn.XLOOKUP(Orders[[#This Row],[CustomerID]],Customers[CustomerID],Customers[City])</f>
        <v>Washington</v>
      </c>
      <c r="P479" t="str">
        <f>_xlfn.XLOOKUP(Orders[[#This Row],[CustomerID]],Customers[CustomerID],Customers[Gender])</f>
        <v>Female</v>
      </c>
      <c r="Q479">
        <f>_xlfn.XLOOKUP(Orders[[#This Row],[CustomerID]],Customers[CustomerID],Customers[CustomerAge])</f>
        <v>20</v>
      </c>
      <c r="R479" t="str">
        <f>IF(Orders[[#This Row],[CustomerAge]]&gt;=35, "Older", "Young")</f>
        <v>Young</v>
      </c>
      <c r="S479" t="str">
        <f>_xlfn.XLOOKUP(Orders[[#This Row],[ProductID]],Products[ProductID],Products[ProductName])</f>
        <v>Iron</v>
      </c>
      <c r="T479" t="str">
        <f>_xlfn.XLOOKUP(Orders[[#This Row],[ProductID]],Products[ProductID],Products[Category])</f>
        <v>Electronics</v>
      </c>
    </row>
    <row r="480" spans="1:20" x14ac:dyDescent="0.25">
      <c r="A480" s="4" t="s">
        <v>665</v>
      </c>
      <c r="B480" s="5">
        <v>45962</v>
      </c>
      <c r="C480" s="15">
        <f>WEEKNUM(Orders[[#This Row],[OrderDate]])</f>
        <v>44</v>
      </c>
      <c r="D480" s="15" t="str">
        <f>TEXT(Orders[[#This Row],[OrderDate]],"mmmm")</f>
        <v>November</v>
      </c>
      <c r="E480" s="4" t="s">
        <v>320</v>
      </c>
      <c r="F480" s="4" t="s">
        <v>76</v>
      </c>
      <c r="G480" s="4">
        <v>10</v>
      </c>
      <c r="H480" s="12">
        <v>5711.3</v>
      </c>
      <c r="I480" s="13">
        <v>4854.6050000000005</v>
      </c>
      <c r="J480" s="13">
        <f>Orders[[#This Row],[Quantity]]*Orders[[#This Row],[Selling Price]]</f>
        <v>57113</v>
      </c>
      <c r="K480" s="13">
        <f>Orders[[#This Row],[Quantity]]*Orders[[#This Row],[Cost Price]]</f>
        <v>48546.05</v>
      </c>
      <c r="L480" s="13">
        <f>Orders[[#This Row],[Revenue]]-Orders[[#This Row],[Expenses]]</f>
        <v>8566.9499999999971</v>
      </c>
      <c r="M480" t="s">
        <v>2194</v>
      </c>
      <c r="N480" t="str">
        <f>_xlfn.XLOOKUP(Orders[[#This Row],[CustomerID]],Customers[CustomerID],Customers[CustomerName])</f>
        <v>Temi Okonkwo</v>
      </c>
      <c r="O480" t="str">
        <f>_xlfn.XLOOKUP(Orders[[#This Row],[CustomerID]],Customers[CustomerID],Customers[City])</f>
        <v>Texas</v>
      </c>
      <c r="P480" t="str">
        <f>_xlfn.XLOOKUP(Orders[[#This Row],[CustomerID]],Customers[CustomerID],Customers[Gender])</f>
        <v>Female</v>
      </c>
      <c r="Q480">
        <f>_xlfn.XLOOKUP(Orders[[#This Row],[CustomerID]],Customers[CustomerID],Customers[CustomerAge])</f>
        <v>31</v>
      </c>
      <c r="R480" t="str">
        <f>IF(Orders[[#This Row],[CustomerAge]]&gt;=35, "Older", "Young")</f>
        <v>Young</v>
      </c>
      <c r="S480" t="str">
        <f>_xlfn.XLOOKUP(Orders[[#This Row],[ProductID]],Products[ProductID],Products[ProductName])</f>
        <v>Blender</v>
      </c>
      <c r="T480" t="str">
        <f>_xlfn.XLOOKUP(Orders[[#This Row],[ProductID]],Products[ProductID],Products[Category])</f>
        <v>Electronics</v>
      </c>
    </row>
    <row r="481" spans="1:20" x14ac:dyDescent="0.25">
      <c r="A481" s="4" t="s">
        <v>666</v>
      </c>
      <c r="B481" s="5">
        <v>45940</v>
      </c>
      <c r="C481" s="15">
        <f>WEEKNUM(Orders[[#This Row],[OrderDate]])</f>
        <v>41</v>
      </c>
      <c r="D481" s="15" t="str">
        <f>TEXT(Orders[[#This Row],[OrderDate]],"mmmm")</f>
        <v>October</v>
      </c>
      <c r="E481" s="4" t="s">
        <v>234</v>
      </c>
      <c r="F481" s="4" t="s">
        <v>34</v>
      </c>
      <c r="G481" s="4">
        <v>6</v>
      </c>
      <c r="H481" s="12">
        <v>19362.7</v>
      </c>
      <c r="I481" s="13">
        <v>16458.295000000002</v>
      </c>
      <c r="J481" s="13">
        <f>Orders[[#This Row],[Quantity]]*Orders[[#This Row],[Selling Price]]</f>
        <v>116176.20000000001</v>
      </c>
      <c r="K481" s="13">
        <f>Orders[[#This Row],[Quantity]]*Orders[[#This Row],[Cost Price]]</f>
        <v>98749.770000000019</v>
      </c>
      <c r="L481" s="13">
        <f>Orders[[#This Row],[Revenue]]-Orders[[#This Row],[Expenses]]</f>
        <v>17426.429999999993</v>
      </c>
      <c r="M481" t="s">
        <v>2214</v>
      </c>
      <c r="N481" t="str">
        <f>_xlfn.XLOOKUP(Orders[[#This Row],[CustomerID]],Customers[CustomerID],Customers[CustomerName])</f>
        <v>Adanma Ojo</v>
      </c>
      <c r="O481" t="str">
        <f>_xlfn.XLOOKUP(Orders[[#This Row],[CustomerID]],Customers[CustomerID],Customers[City])</f>
        <v>Texas</v>
      </c>
      <c r="P481" t="str">
        <f>_xlfn.XLOOKUP(Orders[[#This Row],[CustomerID]],Customers[CustomerID],Customers[Gender])</f>
        <v>Female</v>
      </c>
      <c r="Q481">
        <f>_xlfn.XLOOKUP(Orders[[#This Row],[CustomerID]],Customers[CustomerID],Customers[CustomerAge])</f>
        <v>18</v>
      </c>
      <c r="R481" t="str">
        <f>IF(Orders[[#This Row],[CustomerAge]]&gt;=35, "Older", "Young")</f>
        <v>Young</v>
      </c>
      <c r="S481" t="str">
        <f>_xlfn.XLOOKUP(Orders[[#This Row],[ProductID]],Products[ProductID],Products[ProductName])</f>
        <v>Gold Bracelets</v>
      </c>
      <c r="T481" t="str">
        <f>_xlfn.XLOOKUP(Orders[[#This Row],[ProductID]],Products[ProductID],Products[Category])</f>
        <v>Accessories</v>
      </c>
    </row>
    <row r="482" spans="1:20" x14ac:dyDescent="0.25">
      <c r="A482" s="4" t="s">
        <v>667</v>
      </c>
      <c r="B482" s="5">
        <v>45999</v>
      </c>
      <c r="C482" s="15">
        <f>WEEKNUM(Orders[[#This Row],[OrderDate]])</f>
        <v>50</v>
      </c>
      <c r="D482" s="15" t="str">
        <f>TEXT(Orders[[#This Row],[OrderDate]],"mmmm")</f>
        <v>December</v>
      </c>
      <c r="E482" s="4" t="s">
        <v>89</v>
      </c>
      <c r="F482" s="4" t="s">
        <v>127</v>
      </c>
      <c r="G482" s="4">
        <v>4</v>
      </c>
      <c r="H482" s="12">
        <v>2339.1999999999998</v>
      </c>
      <c r="I482" s="13">
        <v>1988.32</v>
      </c>
      <c r="J482" s="13">
        <f>Orders[[#This Row],[Quantity]]*Orders[[#This Row],[Selling Price]]</f>
        <v>9356.7999999999993</v>
      </c>
      <c r="K482" s="13">
        <f>Orders[[#This Row],[Quantity]]*Orders[[#This Row],[Cost Price]]</f>
        <v>7953.28</v>
      </c>
      <c r="L482" s="13">
        <f>Orders[[#This Row],[Revenue]]-Orders[[#This Row],[Expenses]]</f>
        <v>1403.5199999999995</v>
      </c>
      <c r="M482" t="s">
        <v>2205</v>
      </c>
      <c r="N482" t="str">
        <f>_xlfn.XLOOKUP(Orders[[#This Row],[CustomerID]],Customers[CustomerID],Customers[CustomerName])</f>
        <v>Blessing Balogun</v>
      </c>
      <c r="O482" t="str">
        <f>_xlfn.XLOOKUP(Orders[[#This Row],[CustomerID]],Customers[CustomerID],Customers[City])</f>
        <v>Washington</v>
      </c>
      <c r="P482" t="str">
        <f>_xlfn.XLOOKUP(Orders[[#This Row],[CustomerID]],Customers[CustomerID],Customers[Gender])</f>
        <v>Female</v>
      </c>
      <c r="Q482">
        <f>_xlfn.XLOOKUP(Orders[[#This Row],[CustomerID]],Customers[CustomerID],Customers[CustomerAge])</f>
        <v>19</v>
      </c>
      <c r="R482" t="str">
        <f>IF(Orders[[#This Row],[CustomerAge]]&gt;=35, "Older", "Young")</f>
        <v>Young</v>
      </c>
      <c r="S482" t="str">
        <f>_xlfn.XLOOKUP(Orders[[#This Row],[ProductID]],Products[ProductID],Products[ProductName])</f>
        <v>Tops</v>
      </c>
      <c r="T482" t="str">
        <f>_xlfn.XLOOKUP(Orders[[#This Row],[ProductID]],Products[ProductID],Products[Category])</f>
        <v>Clothing</v>
      </c>
    </row>
    <row r="483" spans="1:20" x14ac:dyDescent="0.25">
      <c r="A483" s="4" t="s">
        <v>668</v>
      </c>
      <c r="B483" s="5">
        <v>45965</v>
      </c>
      <c r="C483" s="15">
        <f>WEEKNUM(Orders[[#This Row],[OrderDate]])</f>
        <v>45</v>
      </c>
      <c r="D483" s="15" t="str">
        <f>TEXT(Orders[[#This Row],[OrderDate]],"mmmm")</f>
        <v>November</v>
      </c>
      <c r="E483" s="4" t="s">
        <v>564</v>
      </c>
      <c r="F483" s="4" t="s">
        <v>60</v>
      </c>
      <c r="G483" s="4">
        <v>4</v>
      </c>
      <c r="H483" s="12">
        <v>10470.699999999999</v>
      </c>
      <c r="I483" s="13">
        <v>8900.0949999999993</v>
      </c>
      <c r="J483" s="13">
        <f>Orders[[#This Row],[Quantity]]*Orders[[#This Row],[Selling Price]]</f>
        <v>41882.799999999996</v>
      </c>
      <c r="K483" s="13">
        <f>Orders[[#This Row],[Quantity]]*Orders[[#This Row],[Cost Price]]</f>
        <v>35600.379999999997</v>
      </c>
      <c r="L483" s="13">
        <f>Orders[[#This Row],[Revenue]]-Orders[[#This Row],[Expenses]]</f>
        <v>6282.4199999999983</v>
      </c>
      <c r="M483" t="s">
        <v>2218</v>
      </c>
      <c r="N483" t="str">
        <f>_xlfn.XLOOKUP(Orders[[#This Row],[CustomerID]],Customers[CustomerID],Customers[CustomerName])</f>
        <v>Blessing Eze</v>
      </c>
      <c r="O483" t="str">
        <f>_xlfn.XLOOKUP(Orders[[#This Row],[CustomerID]],Customers[CustomerID],Customers[City])</f>
        <v>Georgia</v>
      </c>
      <c r="P483" t="str">
        <f>_xlfn.XLOOKUP(Orders[[#This Row],[CustomerID]],Customers[CustomerID],Customers[Gender])</f>
        <v>Female</v>
      </c>
      <c r="Q483">
        <f>_xlfn.XLOOKUP(Orders[[#This Row],[CustomerID]],Customers[CustomerID],Customers[CustomerAge])</f>
        <v>19</v>
      </c>
      <c r="R483" t="str">
        <f>IF(Orders[[#This Row],[CustomerAge]]&gt;=35, "Older", "Young")</f>
        <v>Young</v>
      </c>
      <c r="S483" t="str">
        <f>_xlfn.XLOOKUP(Orders[[#This Row],[ProductID]],Products[ProductID],Products[ProductName])</f>
        <v>Silver Rings</v>
      </c>
      <c r="T483" t="str">
        <f>_xlfn.XLOOKUP(Orders[[#This Row],[ProductID]],Products[ProductID],Products[Category])</f>
        <v>Accessories</v>
      </c>
    </row>
    <row r="484" spans="1:20" x14ac:dyDescent="0.25">
      <c r="A484" s="4" t="s">
        <v>669</v>
      </c>
      <c r="B484" s="5">
        <v>46018</v>
      </c>
      <c r="C484" s="15">
        <f>WEEKNUM(Orders[[#This Row],[OrderDate]])</f>
        <v>52</v>
      </c>
      <c r="D484" s="15" t="str">
        <f>TEXT(Orders[[#This Row],[OrderDate]],"mmmm")</f>
        <v>December</v>
      </c>
      <c r="E484" s="4" t="s">
        <v>22</v>
      </c>
      <c r="F484" s="4" t="s">
        <v>127</v>
      </c>
      <c r="G484" s="4">
        <v>7</v>
      </c>
      <c r="H484" s="12">
        <v>19131.8</v>
      </c>
      <c r="I484" s="13">
        <v>16262.029999999999</v>
      </c>
      <c r="J484" s="13">
        <f>Orders[[#This Row],[Quantity]]*Orders[[#This Row],[Selling Price]]</f>
        <v>133922.6</v>
      </c>
      <c r="K484" s="13">
        <f>Orders[[#This Row],[Quantity]]*Orders[[#This Row],[Cost Price]]</f>
        <v>113834.20999999999</v>
      </c>
      <c r="L484" s="13">
        <f>Orders[[#This Row],[Revenue]]-Orders[[#This Row],[Expenses]]</f>
        <v>20088.390000000014</v>
      </c>
      <c r="M484" t="s">
        <v>2211</v>
      </c>
      <c r="N484" t="str">
        <f>_xlfn.XLOOKUP(Orders[[#This Row],[CustomerID]],Customers[CustomerID],Customers[CustomerName])</f>
        <v>Temi Bello</v>
      </c>
      <c r="O484" t="str">
        <f>_xlfn.XLOOKUP(Orders[[#This Row],[CustomerID]],Customers[CustomerID],Customers[City])</f>
        <v>Texas</v>
      </c>
      <c r="P484" t="str">
        <f>_xlfn.XLOOKUP(Orders[[#This Row],[CustomerID]],Customers[CustomerID],Customers[Gender])</f>
        <v>Female</v>
      </c>
      <c r="Q484">
        <f>_xlfn.XLOOKUP(Orders[[#This Row],[CustomerID]],Customers[CustomerID],Customers[CustomerAge])</f>
        <v>52</v>
      </c>
      <c r="R484" t="str">
        <f>IF(Orders[[#This Row],[CustomerAge]]&gt;=35, "Older", "Young")</f>
        <v>Older</v>
      </c>
      <c r="S484" t="str">
        <f>_xlfn.XLOOKUP(Orders[[#This Row],[ProductID]],Products[ProductID],Products[ProductName])</f>
        <v>Tops</v>
      </c>
      <c r="T484" t="str">
        <f>_xlfn.XLOOKUP(Orders[[#This Row],[ProductID]],Products[ProductID],Products[Category])</f>
        <v>Clothing</v>
      </c>
    </row>
    <row r="485" spans="1:20" x14ac:dyDescent="0.25">
      <c r="A485" s="4" t="s">
        <v>670</v>
      </c>
      <c r="B485" s="5">
        <v>45980</v>
      </c>
      <c r="C485" s="15">
        <f>WEEKNUM(Orders[[#This Row],[OrderDate]])</f>
        <v>47</v>
      </c>
      <c r="D485" s="15" t="str">
        <f>TEXT(Orders[[#This Row],[OrderDate]],"mmmm")</f>
        <v>November</v>
      </c>
      <c r="E485" s="4" t="s">
        <v>671</v>
      </c>
      <c r="F485" s="4" t="s">
        <v>111</v>
      </c>
      <c r="G485" s="4">
        <v>10</v>
      </c>
      <c r="H485" s="12">
        <v>1351.3</v>
      </c>
      <c r="I485" s="13">
        <v>1148.605</v>
      </c>
      <c r="J485" s="13">
        <f>Orders[[#This Row],[Quantity]]*Orders[[#This Row],[Selling Price]]</f>
        <v>13513</v>
      </c>
      <c r="K485" s="13">
        <f>Orders[[#This Row],[Quantity]]*Orders[[#This Row],[Cost Price]]</f>
        <v>11486.05</v>
      </c>
      <c r="L485" s="13">
        <f>Orders[[#This Row],[Revenue]]-Orders[[#This Row],[Expenses]]</f>
        <v>2026.9500000000007</v>
      </c>
      <c r="M485" t="s">
        <v>2202</v>
      </c>
      <c r="N485" t="str">
        <f>_xlfn.XLOOKUP(Orders[[#This Row],[CustomerID]],Customers[CustomerID],Customers[CustomerName])</f>
        <v>Tunde Abubakar</v>
      </c>
      <c r="O485" t="str">
        <f>_xlfn.XLOOKUP(Orders[[#This Row],[CustomerID]],Customers[CustomerID],Customers[City])</f>
        <v>Texas</v>
      </c>
      <c r="P485" t="str">
        <f>_xlfn.XLOOKUP(Orders[[#This Row],[CustomerID]],Customers[CustomerID],Customers[Gender])</f>
        <v>Male</v>
      </c>
      <c r="Q485">
        <f>_xlfn.XLOOKUP(Orders[[#This Row],[CustomerID]],Customers[CustomerID],Customers[CustomerAge])</f>
        <v>26</v>
      </c>
      <c r="R485" t="str">
        <f>IF(Orders[[#This Row],[CustomerAge]]&gt;=35, "Older", "Young")</f>
        <v>Young</v>
      </c>
      <c r="S485" t="str">
        <f>_xlfn.XLOOKUP(Orders[[#This Row],[ProductID]],Products[ProductID],Products[ProductName])</f>
        <v>Refrigerator</v>
      </c>
      <c r="T485" t="str">
        <f>_xlfn.XLOOKUP(Orders[[#This Row],[ProductID]],Products[ProductID],Products[Category])</f>
        <v>Electronics</v>
      </c>
    </row>
    <row r="486" spans="1:20" x14ac:dyDescent="0.25">
      <c r="A486" s="4" t="s">
        <v>672</v>
      </c>
      <c r="B486" s="5">
        <v>45976</v>
      </c>
      <c r="C486" s="15">
        <f>WEEKNUM(Orders[[#This Row],[OrderDate]])</f>
        <v>46</v>
      </c>
      <c r="D486" s="15" t="str">
        <f>TEXT(Orders[[#This Row],[OrderDate]],"mmmm")</f>
        <v>November</v>
      </c>
      <c r="E486" s="4" t="s">
        <v>239</v>
      </c>
      <c r="F486" s="4" t="s">
        <v>111</v>
      </c>
      <c r="G486" s="4">
        <v>2</v>
      </c>
      <c r="H486" s="12">
        <v>17703.5</v>
      </c>
      <c r="I486" s="13">
        <v>15047.975</v>
      </c>
      <c r="J486" s="13">
        <f>Orders[[#This Row],[Quantity]]*Orders[[#This Row],[Selling Price]]</f>
        <v>35407</v>
      </c>
      <c r="K486" s="13">
        <f>Orders[[#This Row],[Quantity]]*Orders[[#This Row],[Cost Price]]</f>
        <v>30095.95</v>
      </c>
      <c r="L486" s="13">
        <f>Orders[[#This Row],[Revenue]]-Orders[[#This Row],[Expenses]]</f>
        <v>5311.0499999999993</v>
      </c>
      <c r="M486" t="s">
        <v>2218</v>
      </c>
      <c r="N486" t="str">
        <f>_xlfn.XLOOKUP(Orders[[#This Row],[CustomerID]],Customers[CustomerID],Customers[CustomerName])</f>
        <v>Emeka Danladi</v>
      </c>
      <c r="O486" t="str">
        <f>_xlfn.XLOOKUP(Orders[[#This Row],[CustomerID]],Customers[CustomerID],Customers[City])</f>
        <v>Florida</v>
      </c>
      <c r="P486" t="str">
        <f>_xlfn.XLOOKUP(Orders[[#This Row],[CustomerID]],Customers[CustomerID],Customers[Gender])</f>
        <v>Male</v>
      </c>
      <c r="Q486">
        <f>_xlfn.XLOOKUP(Orders[[#This Row],[CustomerID]],Customers[CustomerID],Customers[CustomerAge])</f>
        <v>23</v>
      </c>
      <c r="R486" t="str">
        <f>IF(Orders[[#This Row],[CustomerAge]]&gt;=35, "Older", "Young")</f>
        <v>Young</v>
      </c>
      <c r="S486" t="str">
        <f>_xlfn.XLOOKUP(Orders[[#This Row],[ProductID]],Products[ProductID],Products[ProductName])</f>
        <v>Refrigerator</v>
      </c>
      <c r="T486" t="str">
        <f>_xlfn.XLOOKUP(Orders[[#This Row],[ProductID]],Products[ProductID],Products[Category])</f>
        <v>Electronics</v>
      </c>
    </row>
    <row r="487" spans="1:20" x14ac:dyDescent="0.25">
      <c r="A487" s="4" t="s">
        <v>673</v>
      </c>
      <c r="B487" s="5">
        <v>45979</v>
      </c>
      <c r="C487" s="15">
        <f>WEEKNUM(Orders[[#This Row],[OrderDate]])</f>
        <v>47</v>
      </c>
      <c r="D487" s="15" t="str">
        <f>TEXT(Orders[[#This Row],[OrderDate]],"mmmm")</f>
        <v>November</v>
      </c>
      <c r="E487" s="4" t="s">
        <v>159</v>
      </c>
      <c r="F487" s="4" t="s">
        <v>63</v>
      </c>
      <c r="G487" s="4">
        <v>3</v>
      </c>
      <c r="H487" s="12">
        <v>16309.6</v>
      </c>
      <c r="I487" s="13">
        <v>13863.16</v>
      </c>
      <c r="J487" s="13">
        <f>Orders[[#This Row],[Quantity]]*Orders[[#This Row],[Selling Price]]</f>
        <v>48928.800000000003</v>
      </c>
      <c r="K487" s="13">
        <f>Orders[[#This Row],[Quantity]]*Orders[[#This Row],[Cost Price]]</f>
        <v>41589.479999999996</v>
      </c>
      <c r="L487" s="13">
        <f>Orders[[#This Row],[Revenue]]-Orders[[#This Row],[Expenses]]</f>
        <v>7339.320000000007</v>
      </c>
      <c r="M487" t="s">
        <v>2203</v>
      </c>
      <c r="N487" t="str">
        <f>_xlfn.XLOOKUP(Orders[[#This Row],[CustomerID]],Customers[CustomerID],Customers[CustomerName])</f>
        <v>Ibrahim Okonkwo</v>
      </c>
      <c r="O487" t="str">
        <f>_xlfn.XLOOKUP(Orders[[#This Row],[CustomerID]],Customers[CustomerID],Customers[City])</f>
        <v>Florida</v>
      </c>
      <c r="P487" t="str">
        <f>_xlfn.XLOOKUP(Orders[[#This Row],[CustomerID]],Customers[CustomerID],Customers[Gender])</f>
        <v>Male</v>
      </c>
      <c r="Q487">
        <f>_xlfn.XLOOKUP(Orders[[#This Row],[CustomerID]],Customers[CustomerID],Customers[CustomerAge])</f>
        <v>49</v>
      </c>
      <c r="R487" t="str">
        <f>IF(Orders[[#This Row],[CustomerAge]]&gt;=35, "Older", "Young")</f>
        <v>Older</v>
      </c>
      <c r="S487" t="str">
        <f>_xlfn.XLOOKUP(Orders[[#This Row],[ProductID]],Products[ProductID],Products[ProductName])</f>
        <v>Tennis Bat</v>
      </c>
      <c r="T487" t="str">
        <f>_xlfn.XLOOKUP(Orders[[#This Row],[ProductID]],Products[ProductID],Products[Category])</f>
        <v>Sports</v>
      </c>
    </row>
    <row r="488" spans="1:20" x14ac:dyDescent="0.25">
      <c r="A488" s="4" t="s">
        <v>674</v>
      </c>
      <c r="B488" s="5">
        <v>45986</v>
      </c>
      <c r="C488" s="15">
        <f>WEEKNUM(Orders[[#This Row],[OrderDate]])</f>
        <v>48</v>
      </c>
      <c r="D488" s="15" t="str">
        <f>TEXT(Orders[[#This Row],[OrderDate]],"mmmm")</f>
        <v>November</v>
      </c>
      <c r="E488" s="4" t="s">
        <v>98</v>
      </c>
      <c r="F488" s="4" t="s">
        <v>120</v>
      </c>
      <c r="G488" s="4">
        <v>2</v>
      </c>
      <c r="H488" s="12">
        <v>4222.9000000000005</v>
      </c>
      <c r="I488" s="13">
        <v>3589.4650000000006</v>
      </c>
      <c r="J488" s="13">
        <f>Orders[[#This Row],[Quantity]]*Orders[[#This Row],[Selling Price]]</f>
        <v>8445.8000000000011</v>
      </c>
      <c r="K488" s="13">
        <f>Orders[[#This Row],[Quantity]]*Orders[[#This Row],[Cost Price]]</f>
        <v>7178.9300000000012</v>
      </c>
      <c r="L488" s="13">
        <f>Orders[[#This Row],[Revenue]]-Orders[[#This Row],[Expenses]]</f>
        <v>1266.8699999999999</v>
      </c>
      <c r="M488" t="s">
        <v>2206</v>
      </c>
      <c r="N488" t="str">
        <f>_xlfn.XLOOKUP(Orders[[#This Row],[CustomerID]],Customers[CustomerID],Customers[CustomerName])</f>
        <v>Chioma Adeyemi</v>
      </c>
      <c r="O488" t="str">
        <f>_xlfn.XLOOKUP(Orders[[#This Row],[CustomerID]],Customers[CustomerID],Customers[City])</f>
        <v>Illinois</v>
      </c>
      <c r="P488" t="str">
        <f>_xlfn.XLOOKUP(Orders[[#This Row],[CustomerID]],Customers[CustomerID],Customers[Gender])</f>
        <v>Female</v>
      </c>
      <c r="Q488">
        <f>_xlfn.XLOOKUP(Orders[[#This Row],[CustomerID]],Customers[CustomerID],Customers[CustomerAge])</f>
        <v>23</v>
      </c>
      <c r="R488" t="str">
        <f>IF(Orders[[#This Row],[CustomerAge]]&gt;=35, "Older", "Young")</f>
        <v>Young</v>
      </c>
      <c r="S488" t="str">
        <f>_xlfn.XLOOKUP(Orders[[#This Row],[ProductID]],Products[ProductID],Products[ProductName])</f>
        <v>Chess</v>
      </c>
      <c r="T488" t="str">
        <f>_xlfn.XLOOKUP(Orders[[#This Row],[ProductID]],Products[ProductID],Products[Category])</f>
        <v>Games</v>
      </c>
    </row>
    <row r="489" spans="1:20" x14ac:dyDescent="0.25">
      <c r="A489" s="4" t="s">
        <v>675</v>
      </c>
      <c r="B489" s="5">
        <v>45948</v>
      </c>
      <c r="C489" s="15">
        <f>WEEKNUM(Orders[[#This Row],[OrderDate]])</f>
        <v>42</v>
      </c>
      <c r="D489" s="15" t="str">
        <f>TEXT(Orders[[#This Row],[OrderDate]],"mmmm")</f>
        <v>October</v>
      </c>
      <c r="E489" s="4" t="s">
        <v>140</v>
      </c>
      <c r="F489" s="4" t="s">
        <v>120</v>
      </c>
      <c r="G489" s="4">
        <v>6</v>
      </c>
      <c r="H489" s="12">
        <v>650.19999999999993</v>
      </c>
      <c r="I489" s="13">
        <v>552.66999999999996</v>
      </c>
      <c r="J489" s="13">
        <f>Orders[[#This Row],[Quantity]]*Orders[[#This Row],[Selling Price]]</f>
        <v>3901.2</v>
      </c>
      <c r="K489" s="13">
        <f>Orders[[#This Row],[Quantity]]*Orders[[#This Row],[Cost Price]]</f>
        <v>3316.0199999999995</v>
      </c>
      <c r="L489" s="13">
        <f>Orders[[#This Row],[Revenue]]-Orders[[#This Row],[Expenses]]</f>
        <v>585.18000000000029</v>
      </c>
      <c r="M489" t="s">
        <v>2200</v>
      </c>
      <c r="N489" t="str">
        <f>_xlfn.XLOOKUP(Orders[[#This Row],[CustomerID]],Customers[CustomerID],Customers[CustomerName])</f>
        <v>Tunde Igwe</v>
      </c>
      <c r="O489" t="str">
        <f>_xlfn.XLOOKUP(Orders[[#This Row],[CustomerID]],Customers[CustomerID],Customers[City])</f>
        <v>Washington</v>
      </c>
      <c r="P489" t="str">
        <f>_xlfn.XLOOKUP(Orders[[#This Row],[CustomerID]],Customers[CustomerID],Customers[Gender])</f>
        <v>Male</v>
      </c>
      <c r="Q489">
        <f>_xlfn.XLOOKUP(Orders[[#This Row],[CustomerID]],Customers[CustomerID],Customers[CustomerAge])</f>
        <v>20</v>
      </c>
      <c r="R489" t="str">
        <f>IF(Orders[[#This Row],[CustomerAge]]&gt;=35, "Older", "Young")</f>
        <v>Young</v>
      </c>
      <c r="S489" t="str">
        <f>_xlfn.XLOOKUP(Orders[[#This Row],[ProductID]],Products[ProductID],Products[ProductName])</f>
        <v>Chess</v>
      </c>
      <c r="T489" t="str">
        <f>_xlfn.XLOOKUP(Orders[[#This Row],[ProductID]],Products[ProductID],Products[Category])</f>
        <v>Games</v>
      </c>
    </row>
    <row r="490" spans="1:20" x14ac:dyDescent="0.25">
      <c r="A490" s="4" t="s">
        <v>676</v>
      </c>
      <c r="B490" s="5">
        <v>45988</v>
      </c>
      <c r="C490" s="15">
        <f>WEEKNUM(Orders[[#This Row],[OrderDate]])</f>
        <v>48</v>
      </c>
      <c r="D490" s="15" t="str">
        <f>TEXT(Orders[[#This Row],[OrderDate]],"mmmm")</f>
        <v>November</v>
      </c>
      <c r="E490" s="4" t="s">
        <v>285</v>
      </c>
      <c r="F490" s="4" t="s">
        <v>20</v>
      </c>
      <c r="G490" s="4">
        <v>10</v>
      </c>
      <c r="H490" s="12">
        <v>11883</v>
      </c>
      <c r="I490" s="13">
        <v>10100.549999999999</v>
      </c>
      <c r="J490" s="13">
        <f>Orders[[#This Row],[Quantity]]*Orders[[#This Row],[Selling Price]]</f>
        <v>118830</v>
      </c>
      <c r="K490" s="13">
        <f>Orders[[#This Row],[Quantity]]*Orders[[#This Row],[Cost Price]]</f>
        <v>101005.5</v>
      </c>
      <c r="L490" s="13">
        <f>Orders[[#This Row],[Revenue]]-Orders[[#This Row],[Expenses]]</f>
        <v>17824.5</v>
      </c>
      <c r="M490" t="s">
        <v>2207</v>
      </c>
      <c r="N490" t="str">
        <f>_xlfn.XLOOKUP(Orders[[#This Row],[CustomerID]],Customers[CustomerID],Customers[CustomerName])</f>
        <v>Sani Balogun</v>
      </c>
      <c r="O490" t="str">
        <f>_xlfn.XLOOKUP(Orders[[#This Row],[CustomerID]],Customers[CustomerID],Customers[City])</f>
        <v>California</v>
      </c>
      <c r="P490" t="str">
        <f>_xlfn.XLOOKUP(Orders[[#This Row],[CustomerID]],Customers[CustomerID],Customers[Gender])</f>
        <v>Male</v>
      </c>
      <c r="Q490">
        <f>_xlfn.XLOOKUP(Orders[[#This Row],[CustomerID]],Customers[CustomerID],Customers[CustomerAge])</f>
        <v>27</v>
      </c>
      <c r="R490" t="str">
        <f>IF(Orders[[#This Row],[CustomerAge]]&gt;=35, "Older", "Young")</f>
        <v>Young</v>
      </c>
      <c r="S490" t="str">
        <f>_xlfn.XLOOKUP(Orders[[#This Row],[ProductID]],Products[ProductID],Products[ProductName])</f>
        <v>Gym Bag</v>
      </c>
      <c r="T490" t="str">
        <f>_xlfn.XLOOKUP(Orders[[#This Row],[ProductID]],Products[ProductID],Products[Category])</f>
        <v>Gym</v>
      </c>
    </row>
    <row r="491" spans="1:20" x14ac:dyDescent="0.25">
      <c r="A491" s="4" t="s">
        <v>677</v>
      </c>
      <c r="B491" s="5">
        <v>46014</v>
      </c>
      <c r="C491" s="15">
        <f>WEEKNUM(Orders[[#This Row],[OrderDate]])</f>
        <v>52</v>
      </c>
      <c r="D491" s="15" t="str">
        <f>TEXT(Orders[[#This Row],[OrderDate]],"mmmm")</f>
        <v>December</v>
      </c>
      <c r="E491" s="4" t="s">
        <v>210</v>
      </c>
      <c r="F491" s="4" t="s">
        <v>66</v>
      </c>
      <c r="G491" s="4">
        <v>9</v>
      </c>
      <c r="H491" s="12">
        <v>11208.900000000001</v>
      </c>
      <c r="I491" s="13">
        <v>9527.5650000000005</v>
      </c>
      <c r="J491" s="13">
        <f>Orders[[#This Row],[Quantity]]*Orders[[#This Row],[Selling Price]]</f>
        <v>100880.1</v>
      </c>
      <c r="K491" s="13">
        <f>Orders[[#This Row],[Quantity]]*Orders[[#This Row],[Cost Price]]</f>
        <v>85748.085000000006</v>
      </c>
      <c r="L491" s="13">
        <f>Orders[[#This Row],[Revenue]]-Orders[[#This Row],[Expenses]]</f>
        <v>15132.014999999999</v>
      </c>
      <c r="M491" t="s">
        <v>2208</v>
      </c>
      <c r="N491" t="str">
        <f>_xlfn.XLOOKUP(Orders[[#This Row],[CustomerID]],Customers[CustomerID],Customers[CustomerName])</f>
        <v>Zainab Bello</v>
      </c>
      <c r="O491" t="str">
        <f>_xlfn.XLOOKUP(Orders[[#This Row],[CustomerID]],Customers[CustomerID],Customers[City])</f>
        <v>Illinois</v>
      </c>
      <c r="P491" t="str">
        <f>_xlfn.XLOOKUP(Orders[[#This Row],[CustomerID]],Customers[CustomerID],Customers[Gender])</f>
        <v>Female</v>
      </c>
      <c r="Q491">
        <f>_xlfn.XLOOKUP(Orders[[#This Row],[CustomerID]],Customers[CustomerID],Customers[CustomerAge])</f>
        <v>27</v>
      </c>
      <c r="R491" t="str">
        <f>IF(Orders[[#This Row],[CustomerAge]]&gt;=35, "Older", "Young")</f>
        <v>Young</v>
      </c>
      <c r="S491" t="str">
        <f>_xlfn.XLOOKUP(Orders[[#This Row],[ProductID]],Products[ProductID],Products[ProductName])</f>
        <v>Microwave</v>
      </c>
      <c r="T491" t="str">
        <f>_xlfn.XLOOKUP(Orders[[#This Row],[ProductID]],Products[ProductID],Products[Category])</f>
        <v>Electronics</v>
      </c>
    </row>
    <row r="492" spans="1:20" x14ac:dyDescent="0.25">
      <c r="A492" s="4" t="s">
        <v>678</v>
      </c>
      <c r="B492" s="5">
        <v>45949</v>
      </c>
      <c r="C492" s="15">
        <f>WEEKNUM(Orders[[#This Row],[OrderDate]])</f>
        <v>43</v>
      </c>
      <c r="D492" s="15" t="str">
        <f>TEXT(Orders[[#This Row],[OrderDate]],"mmmm")</f>
        <v>October</v>
      </c>
      <c r="E492" s="4" t="s">
        <v>327</v>
      </c>
      <c r="F492" s="4" t="s">
        <v>127</v>
      </c>
      <c r="G492" s="4">
        <v>2</v>
      </c>
      <c r="H492" s="12">
        <v>5072.5</v>
      </c>
      <c r="I492" s="13">
        <v>4311.625</v>
      </c>
      <c r="J492" s="13">
        <f>Orders[[#This Row],[Quantity]]*Orders[[#This Row],[Selling Price]]</f>
        <v>10145</v>
      </c>
      <c r="K492" s="13">
        <f>Orders[[#This Row],[Quantity]]*Orders[[#This Row],[Cost Price]]</f>
        <v>8623.25</v>
      </c>
      <c r="L492" s="13">
        <f>Orders[[#This Row],[Revenue]]-Orders[[#This Row],[Expenses]]</f>
        <v>1521.75</v>
      </c>
      <c r="M492" t="s">
        <v>2219</v>
      </c>
      <c r="N492" t="str">
        <f>_xlfn.XLOOKUP(Orders[[#This Row],[CustomerID]],Customers[CustomerID],Customers[CustomerName])</f>
        <v>Folasade Ojo</v>
      </c>
      <c r="O492" t="str">
        <f>_xlfn.XLOOKUP(Orders[[#This Row],[CustomerID]],Customers[CustomerID],Customers[City])</f>
        <v>Washington</v>
      </c>
      <c r="P492" t="str">
        <f>_xlfn.XLOOKUP(Orders[[#This Row],[CustomerID]],Customers[CustomerID],Customers[Gender])</f>
        <v>Female</v>
      </c>
      <c r="Q492">
        <f>_xlfn.XLOOKUP(Orders[[#This Row],[CustomerID]],Customers[CustomerID],Customers[CustomerAge])</f>
        <v>24</v>
      </c>
      <c r="R492" t="str">
        <f>IF(Orders[[#This Row],[CustomerAge]]&gt;=35, "Older", "Young")</f>
        <v>Young</v>
      </c>
      <c r="S492" t="str">
        <f>_xlfn.XLOOKUP(Orders[[#This Row],[ProductID]],Products[ProductID],Products[ProductName])</f>
        <v>Tops</v>
      </c>
      <c r="T492" t="str">
        <f>_xlfn.XLOOKUP(Orders[[#This Row],[ProductID]],Products[ProductID],Products[Category])</f>
        <v>Clothing</v>
      </c>
    </row>
    <row r="493" spans="1:20" x14ac:dyDescent="0.25">
      <c r="A493" s="4" t="s">
        <v>679</v>
      </c>
      <c r="B493" s="5">
        <v>45998</v>
      </c>
      <c r="C493" s="15">
        <f>WEEKNUM(Orders[[#This Row],[OrderDate]])</f>
        <v>50</v>
      </c>
      <c r="D493" s="15" t="str">
        <f>TEXT(Orders[[#This Row],[OrderDate]],"mmmm")</f>
        <v>December</v>
      </c>
      <c r="E493" s="4" t="s">
        <v>272</v>
      </c>
      <c r="F493" s="4" t="s">
        <v>9</v>
      </c>
      <c r="G493" s="4">
        <v>4</v>
      </c>
      <c r="H493" s="12">
        <v>1615.5</v>
      </c>
      <c r="I493" s="13">
        <v>1373.175</v>
      </c>
      <c r="J493" s="13">
        <f>Orders[[#This Row],[Quantity]]*Orders[[#This Row],[Selling Price]]</f>
        <v>6462</v>
      </c>
      <c r="K493" s="13">
        <f>Orders[[#This Row],[Quantity]]*Orders[[#This Row],[Cost Price]]</f>
        <v>5492.7</v>
      </c>
      <c r="L493" s="13">
        <f>Orders[[#This Row],[Revenue]]-Orders[[#This Row],[Expenses]]</f>
        <v>969.30000000000018</v>
      </c>
      <c r="M493" t="s">
        <v>2212</v>
      </c>
      <c r="N493" t="str">
        <f>_xlfn.XLOOKUP(Orders[[#This Row],[CustomerID]],Customers[CustomerID],Customers[CustomerName])</f>
        <v>Blessing Bello</v>
      </c>
      <c r="O493" t="str">
        <f>_xlfn.XLOOKUP(Orders[[#This Row],[CustomerID]],Customers[CustomerID],Customers[City])</f>
        <v>Florida</v>
      </c>
      <c r="P493" t="str">
        <f>_xlfn.XLOOKUP(Orders[[#This Row],[CustomerID]],Customers[CustomerID],Customers[Gender])</f>
        <v>Female</v>
      </c>
      <c r="Q493">
        <f>_xlfn.XLOOKUP(Orders[[#This Row],[CustomerID]],Customers[CustomerID],Customers[CustomerAge])</f>
        <v>38</v>
      </c>
      <c r="R493" t="str">
        <f>IF(Orders[[#This Row],[CustomerAge]]&gt;=35, "Older", "Young")</f>
        <v>Older</v>
      </c>
      <c r="S493" t="str">
        <f>_xlfn.XLOOKUP(Orders[[#This Row],[ProductID]],Products[ProductID],Products[ProductName])</f>
        <v>Beaded Earrings And Necklaces</v>
      </c>
      <c r="T493" t="str">
        <f>_xlfn.XLOOKUP(Orders[[#This Row],[ProductID]],Products[ProductID],Products[Category])</f>
        <v>Accessories</v>
      </c>
    </row>
    <row r="494" spans="1:20" x14ac:dyDescent="0.25">
      <c r="A494" s="4" t="s">
        <v>680</v>
      </c>
      <c r="B494" s="5">
        <v>45965</v>
      </c>
      <c r="C494" s="15">
        <f>WEEKNUM(Orders[[#This Row],[OrderDate]])</f>
        <v>45</v>
      </c>
      <c r="D494" s="15" t="str">
        <f>TEXT(Orders[[#This Row],[OrderDate]],"mmmm")</f>
        <v>November</v>
      </c>
      <c r="E494" s="4" t="s">
        <v>524</v>
      </c>
      <c r="F494" s="4" t="s">
        <v>23</v>
      </c>
      <c r="G494" s="4">
        <v>10</v>
      </c>
      <c r="H494" s="12">
        <v>18928</v>
      </c>
      <c r="I494" s="13">
        <v>16088.8</v>
      </c>
      <c r="J494" s="13">
        <f>Orders[[#This Row],[Quantity]]*Orders[[#This Row],[Selling Price]]</f>
        <v>189280</v>
      </c>
      <c r="K494" s="13">
        <f>Orders[[#This Row],[Quantity]]*Orders[[#This Row],[Cost Price]]</f>
        <v>160888</v>
      </c>
      <c r="L494" s="13">
        <f>Orders[[#This Row],[Revenue]]-Orders[[#This Row],[Expenses]]</f>
        <v>28392</v>
      </c>
      <c r="M494" t="s">
        <v>2214</v>
      </c>
      <c r="N494" t="str">
        <f>_xlfn.XLOOKUP(Orders[[#This Row],[CustomerID]],Customers[CustomerID],Customers[CustomerName])</f>
        <v>Chinedu Igwe</v>
      </c>
      <c r="O494" t="str">
        <f>_xlfn.XLOOKUP(Orders[[#This Row],[CustomerID]],Customers[CustomerID],Customers[City])</f>
        <v>Florida</v>
      </c>
      <c r="P494" t="str">
        <f>_xlfn.XLOOKUP(Orders[[#This Row],[CustomerID]],Customers[CustomerID],Customers[Gender])</f>
        <v>Male</v>
      </c>
      <c r="Q494">
        <f>_xlfn.XLOOKUP(Orders[[#This Row],[CustomerID]],Customers[CustomerID],Customers[CustomerAge])</f>
        <v>21</v>
      </c>
      <c r="R494" t="str">
        <f>IF(Orders[[#This Row],[CustomerAge]]&gt;=35, "Older", "Young")</f>
        <v>Young</v>
      </c>
      <c r="S494" t="str">
        <f>_xlfn.XLOOKUP(Orders[[#This Row],[ProductID]],Products[ProductID],Products[ProductName])</f>
        <v>Gym Gloves</v>
      </c>
      <c r="T494" t="str">
        <f>_xlfn.XLOOKUP(Orders[[#This Row],[ProductID]],Products[ProductID],Products[Category])</f>
        <v>Gym</v>
      </c>
    </row>
    <row r="495" spans="1:20" x14ac:dyDescent="0.25">
      <c r="A495" s="4" t="s">
        <v>681</v>
      </c>
      <c r="B495" s="5">
        <v>45960</v>
      </c>
      <c r="C495" s="15">
        <f>WEEKNUM(Orders[[#This Row],[OrderDate]])</f>
        <v>44</v>
      </c>
      <c r="D495" s="15" t="str">
        <f>TEXT(Orders[[#This Row],[OrderDate]],"mmmm")</f>
        <v>October</v>
      </c>
      <c r="E495" s="4" t="s">
        <v>260</v>
      </c>
      <c r="F495" s="4" t="s">
        <v>151</v>
      </c>
      <c r="G495" s="4">
        <v>5</v>
      </c>
      <c r="H495" s="12">
        <v>7133.0999999999995</v>
      </c>
      <c r="I495" s="13">
        <v>6063.1349999999993</v>
      </c>
      <c r="J495" s="13">
        <f>Orders[[#This Row],[Quantity]]*Orders[[#This Row],[Selling Price]]</f>
        <v>35665.5</v>
      </c>
      <c r="K495" s="13">
        <f>Orders[[#This Row],[Quantity]]*Orders[[#This Row],[Cost Price]]</f>
        <v>30315.674999999996</v>
      </c>
      <c r="L495" s="13">
        <f>Orders[[#This Row],[Revenue]]-Orders[[#This Row],[Expenses]]</f>
        <v>5349.8250000000044</v>
      </c>
      <c r="M495" t="s">
        <v>2207</v>
      </c>
      <c r="N495" t="str">
        <f>_xlfn.XLOOKUP(Orders[[#This Row],[CustomerID]],Customers[CustomerID],Customers[CustomerName])</f>
        <v>Amina Obi</v>
      </c>
      <c r="O495" t="str">
        <f>_xlfn.XLOOKUP(Orders[[#This Row],[CustomerID]],Customers[CustomerID],Customers[City])</f>
        <v>Florida</v>
      </c>
      <c r="P495" t="str">
        <f>_xlfn.XLOOKUP(Orders[[#This Row],[CustomerID]],Customers[CustomerID],Customers[Gender])</f>
        <v>Female</v>
      </c>
      <c r="Q495">
        <f>_xlfn.XLOOKUP(Orders[[#This Row],[CustomerID]],Customers[CustomerID],Customers[CustomerAge])</f>
        <v>29</v>
      </c>
      <c r="R495" t="str">
        <f>IF(Orders[[#This Row],[CustomerAge]]&gt;=35, "Older", "Young")</f>
        <v>Young</v>
      </c>
      <c r="S495" t="str">
        <f>_xlfn.XLOOKUP(Orders[[#This Row],[ProductID]],Products[ProductID],Products[ProductName])</f>
        <v>Checkers</v>
      </c>
      <c r="T495" t="str">
        <f>_xlfn.XLOOKUP(Orders[[#This Row],[ProductID]],Products[ProductID],Products[Category])</f>
        <v>Games</v>
      </c>
    </row>
    <row r="496" spans="1:20" x14ac:dyDescent="0.25">
      <c r="A496" s="4" t="s">
        <v>682</v>
      </c>
      <c r="B496" s="5">
        <v>46005</v>
      </c>
      <c r="C496" s="15">
        <f>WEEKNUM(Orders[[#This Row],[OrderDate]])</f>
        <v>51</v>
      </c>
      <c r="D496" s="15" t="str">
        <f>TEXT(Orders[[#This Row],[OrderDate]],"mmmm")</f>
        <v>December</v>
      </c>
      <c r="E496" s="4" t="s">
        <v>218</v>
      </c>
      <c r="F496" s="4" t="s">
        <v>57</v>
      </c>
      <c r="G496" s="4">
        <v>9</v>
      </c>
      <c r="H496" s="12">
        <v>811.7</v>
      </c>
      <c r="I496" s="13">
        <v>689.94500000000005</v>
      </c>
      <c r="J496" s="13">
        <f>Orders[[#This Row],[Quantity]]*Orders[[#This Row],[Selling Price]]</f>
        <v>7305.3</v>
      </c>
      <c r="K496" s="13">
        <f>Orders[[#This Row],[Quantity]]*Orders[[#This Row],[Cost Price]]</f>
        <v>6209.5050000000001</v>
      </c>
      <c r="L496" s="13">
        <f>Orders[[#This Row],[Revenue]]-Orders[[#This Row],[Expenses]]</f>
        <v>1095.7950000000001</v>
      </c>
      <c r="M496" t="s">
        <v>2208</v>
      </c>
      <c r="N496" t="str">
        <f>_xlfn.XLOOKUP(Orders[[#This Row],[CustomerID]],Customers[CustomerID],Customers[CustomerName])</f>
        <v>Temi Danladi</v>
      </c>
      <c r="O496" t="str">
        <f>_xlfn.XLOOKUP(Orders[[#This Row],[CustomerID]],Customers[CustomerID],Customers[City])</f>
        <v>Florida</v>
      </c>
      <c r="P496" t="str">
        <f>_xlfn.XLOOKUP(Orders[[#This Row],[CustomerID]],Customers[CustomerID],Customers[Gender])</f>
        <v>Female</v>
      </c>
      <c r="Q496">
        <f>_xlfn.XLOOKUP(Orders[[#This Row],[CustomerID]],Customers[CustomerID],Customers[CustomerAge])</f>
        <v>48</v>
      </c>
      <c r="R496" t="str">
        <f>IF(Orders[[#This Row],[CustomerAge]]&gt;=35, "Older", "Young")</f>
        <v>Older</v>
      </c>
      <c r="S496" t="str">
        <f>_xlfn.XLOOKUP(Orders[[#This Row],[ProductID]],Products[ProductID],Products[ProductName])</f>
        <v>Badminton Racket</v>
      </c>
      <c r="T496" t="str">
        <f>_xlfn.XLOOKUP(Orders[[#This Row],[ProductID]],Products[ProductID],Products[Category])</f>
        <v>Sports</v>
      </c>
    </row>
    <row r="497" spans="1:20" x14ac:dyDescent="0.25">
      <c r="A497" s="4" t="s">
        <v>683</v>
      </c>
      <c r="B497" s="5">
        <v>45994</v>
      </c>
      <c r="C497" s="15">
        <f>WEEKNUM(Orders[[#This Row],[OrderDate]])</f>
        <v>49</v>
      </c>
      <c r="D497" s="15" t="str">
        <f>TEXT(Orders[[#This Row],[OrderDate]],"mmmm")</f>
        <v>December</v>
      </c>
      <c r="E497" s="4" t="s">
        <v>252</v>
      </c>
      <c r="F497" s="4" t="s">
        <v>70</v>
      </c>
      <c r="G497" s="4">
        <v>2</v>
      </c>
      <c r="H497" s="12">
        <v>19489.3</v>
      </c>
      <c r="I497" s="13">
        <v>16565.904999999999</v>
      </c>
      <c r="J497" s="13">
        <f>Orders[[#This Row],[Quantity]]*Orders[[#This Row],[Selling Price]]</f>
        <v>38978.6</v>
      </c>
      <c r="K497" s="13">
        <f>Orders[[#This Row],[Quantity]]*Orders[[#This Row],[Cost Price]]</f>
        <v>33131.81</v>
      </c>
      <c r="L497" s="13">
        <f>Orders[[#This Row],[Revenue]]-Orders[[#This Row],[Expenses]]</f>
        <v>5846.7900000000009</v>
      </c>
      <c r="M497" t="s">
        <v>2196</v>
      </c>
      <c r="N497" t="str">
        <f>_xlfn.XLOOKUP(Orders[[#This Row],[CustomerID]],Customers[CustomerID],Customers[CustomerName])</f>
        <v>Chioma Adeyemi</v>
      </c>
      <c r="O497" t="str">
        <f>_xlfn.XLOOKUP(Orders[[#This Row],[CustomerID]],Customers[CustomerID],Customers[City])</f>
        <v>Texas</v>
      </c>
      <c r="P497" t="str">
        <f>_xlfn.XLOOKUP(Orders[[#This Row],[CustomerID]],Customers[CustomerID],Customers[Gender])</f>
        <v>Female</v>
      </c>
      <c r="Q497">
        <f>_xlfn.XLOOKUP(Orders[[#This Row],[CustomerID]],Customers[CustomerID],Customers[CustomerAge])</f>
        <v>20</v>
      </c>
      <c r="R497" t="str">
        <f>IF(Orders[[#This Row],[CustomerAge]]&gt;=35, "Older", "Young")</f>
        <v>Young</v>
      </c>
      <c r="S497" t="str">
        <f>_xlfn.XLOOKUP(Orders[[#This Row],[ProductID]],Products[ProductID],Products[ProductName])</f>
        <v>Yoga Mat</v>
      </c>
      <c r="T497" t="str">
        <f>_xlfn.XLOOKUP(Orders[[#This Row],[ProductID]],Products[ProductID],Products[Category])</f>
        <v>Gym</v>
      </c>
    </row>
    <row r="498" spans="1:20" x14ac:dyDescent="0.25">
      <c r="A498" s="4" t="s">
        <v>684</v>
      </c>
      <c r="B498" s="5">
        <v>45932</v>
      </c>
      <c r="C498" s="15">
        <f>WEEKNUM(Orders[[#This Row],[OrderDate]])</f>
        <v>40</v>
      </c>
      <c r="D498" s="15" t="str">
        <f>TEXT(Orders[[#This Row],[OrderDate]],"mmmm")</f>
        <v>October</v>
      </c>
      <c r="E498" s="4" t="s">
        <v>239</v>
      </c>
      <c r="F498" s="4" t="s">
        <v>46</v>
      </c>
      <c r="G498" s="4">
        <v>6</v>
      </c>
      <c r="H498" s="12">
        <v>7295.4</v>
      </c>
      <c r="I498" s="13">
        <v>6201.09</v>
      </c>
      <c r="J498" s="13">
        <f>Orders[[#This Row],[Quantity]]*Orders[[#This Row],[Selling Price]]</f>
        <v>43772.399999999994</v>
      </c>
      <c r="K498" s="13">
        <f>Orders[[#This Row],[Quantity]]*Orders[[#This Row],[Cost Price]]</f>
        <v>37206.54</v>
      </c>
      <c r="L498" s="13">
        <f>Orders[[#This Row],[Revenue]]-Orders[[#This Row],[Expenses]]</f>
        <v>6565.8599999999933</v>
      </c>
      <c r="M498" t="s">
        <v>2210</v>
      </c>
      <c r="N498" t="str">
        <f>_xlfn.XLOOKUP(Orders[[#This Row],[CustomerID]],Customers[CustomerID],Customers[CustomerName])</f>
        <v>Emeka Danladi</v>
      </c>
      <c r="O498" t="str">
        <f>_xlfn.XLOOKUP(Orders[[#This Row],[CustomerID]],Customers[CustomerID],Customers[City])</f>
        <v>Florida</v>
      </c>
      <c r="P498" t="str">
        <f>_xlfn.XLOOKUP(Orders[[#This Row],[CustomerID]],Customers[CustomerID],Customers[Gender])</f>
        <v>Male</v>
      </c>
      <c r="Q498">
        <f>_xlfn.XLOOKUP(Orders[[#This Row],[CustomerID]],Customers[CustomerID],Customers[CustomerAge])</f>
        <v>23</v>
      </c>
      <c r="R498" t="str">
        <f>IF(Orders[[#This Row],[CustomerAge]]&gt;=35, "Older", "Young")</f>
        <v>Young</v>
      </c>
      <c r="S498" t="str">
        <f>_xlfn.XLOOKUP(Orders[[#This Row],[ProductID]],Products[ProductID],Products[ProductName])</f>
        <v>Turtle Neck</v>
      </c>
      <c r="T498" t="str">
        <f>_xlfn.XLOOKUP(Orders[[#This Row],[ProductID]],Products[ProductID],Products[Category])</f>
        <v>Clothing</v>
      </c>
    </row>
    <row r="499" spans="1:20" x14ac:dyDescent="0.25">
      <c r="A499" s="4" t="s">
        <v>685</v>
      </c>
      <c r="B499" s="5">
        <v>45953</v>
      </c>
      <c r="C499" s="15">
        <f>WEEKNUM(Orders[[#This Row],[OrderDate]])</f>
        <v>43</v>
      </c>
      <c r="D499" s="15" t="str">
        <f>TEXT(Orders[[#This Row],[OrderDate]],"mmmm")</f>
        <v>October</v>
      </c>
      <c r="E499" s="4" t="s">
        <v>207</v>
      </c>
      <c r="F499" s="4" t="s">
        <v>23</v>
      </c>
      <c r="G499" s="4">
        <v>3</v>
      </c>
      <c r="H499" s="12">
        <v>9075.7000000000007</v>
      </c>
      <c r="I499" s="13">
        <v>7714.3450000000012</v>
      </c>
      <c r="J499" s="13">
        <f>Orders[[#This Row],[Quantity]]*Orders[[#This Row],[Selling Price]]</f>
        <v>27227.100000000002</v>
      </c>
      <c r="K499" s="13">
        <f>Orders[[#This Row],[Quantity]]*Orders[[#This Row],[Cost Price]]</f>
        <v>23143.035000000003</v>
      </c>
      <c r="L499" s="13">
        <f>Orders[[#This Row],[Revenue]]-Orders[[#This Row],[Expenses]]</f>
        <v>4084.0649999999987</v>
      </c>
      <c r="M499" t="s">
        <v>2211</v>
      </c>
      <c r="N499" t="str">
        <f>_xlfn.XLOOKUP(Orders[[#This Row],[CustomerID]],Customers[CustomerID],Customers[CustomerName])</f>
        <v>Bisi Eze</v>
      </c>
      <c r="O499" t="str">
        <f>_xlfn.XLOOKUP(Orders[[#This Row],[CustomerID]],Customers[CustomerID],Customers[City])</f>
        <v>Florida</v>
      </c>
      <c r="P499" t="str">
        <f>_xlfn.XLOOKUP(Orders[[#This Row],[CustomerID]],Customers[CustomerID],Customers[Gender])</f>
        <v>Female</v>
      </c>
      <c r="Q499">
        <f>_xlfn.XLOOKUP(Orders[[#This Row],[CustomerID]],Customers[CustomerID],Customers[CustomerAge])</f>
        <v>37</v>
      </c>
      <c r="R499" t="str">
        <f>IF(Orders[[#This Row],[CustomerAge]]&gt;=35, "Older", "Young")</f>
        <v>Older</v>
      </c>
      <c r="S499" t="str">
        <f>_xlfn.XLOOKUP(Orders[[#This Row],[ProductID]],Products[ProductID],Products[ProductName])</f>
        <v>Gym Gloves</v>
      </c>
      <c r="T499" t="str">
        <f>_xlfn.XLOOKUP(Orders[[#This Row],[ProductID]],Products[ProductID],Products[Category])</f>
        <v>Gym</v>
      </c>
    </row>
    <row r="500" spans="1:20" x14ac:dyDescent="0.25">
      <c r="A500" s="4" t="s">
        <v>686</v>
      </c>
      <c r="B500" s="5">
        <v>46015</v>
      </c>
      <c r="C500" s="15">
        <f>WEEKNUM(Orders[[#This Row],[OrderDate]])</f>
        <v>52</v>
      </c>
      <c r="D500" s="15" t="str">
        <f>TEXT(Orders[[#This Row],[OrderDate]],"mmmm")</f>
        <v>December</v>
      </c>
      <c r="E500" s="4" t="s">
        <v>295</v>
      </c>
      <c r="F500" s="4" t="s">
        <v>84</v>
      </c>
      <c r="G500" s="4">
        <v>2</v>
      </c>
      <c r="H500" s="12">
        <v>2298.4</v>
      </c>
      <c r="I500" s="13">
        <v>1953.64</v>
      </c>
      <c r="J500" s="13">
        <f>Orders[[#This Row],[Quantity]]*Orders[[#This Row],[Selling Price]]</f>
        <v>4596.8</v>
      </c>
      <c r="K500" s="13">
        <f>Orders[[#This Row],[Quantity]]*Orders[[#This Row],[Cost Price]]</f>
        <v>3907.28</v>
      </c>
      <c r="L500" s="13">
        <f>Orders[[#This Row],[Revenue]]-Orders[[#This Row],[Expenses]]</f>
        <v>689.52</v>
      </c>
      <c r="M500" t="s">
        <v>2215</v>
      </c>
      <c r="N500" t="str">
        <f>_xlfn.XLOOKUP(Orders[[#This Row],[CustomerID]],Customers[CustomerID],Customers[CustomerName])</f>
        <v>Sani Obi</v>
      </c>
      <c r="O500" t="str">
        <f>_xlfn.XLOOKUP(Orders[[#This Row],[CustomerID]],Customers[CustomerID],Customers[City])</f>
        <v>Texas</v>
      </c>
      <c r="P500" t="str">
        <f>_xlfn.XLOOKUP(Orders[[#This Row],[CustomerID]],Customers[CustomerID],Customers[Gender])</f>
        <v>Male</v>
      </c>
      <c r="Q500">
        <f>_xlfn.XLOOKUP(Orders[[#This Row],[CustomerID]],Customers[CustomerID],Customers[CustomerAge])</f>
        <v>31</v>
      </c>
      <c r="R500" t="str">
        <f>IF(Orders[[#This Row],[CustomerAge]]&gt;=35, "Older", "Young")</f>
        <v>Young</v>
      </c>
      <c r="S500" t="str">
        <f>_xlfn.XLOOKUP(Orders[[#This Row],[ProductID]],Products[ProductID],Products[ProductName])</f>
        <v>Gym Wears</v>
      </c>
      <c r="T500" t="str">
        <f>_xlfn.XLOOKUP(Orders[[#This Row],[ProductID]],Products[ProductID],Products[Category])</f>
        <v>Clothing</v>
      </c>
    </row>
    <row r="501" spans="1:20" x14ac:dyDescent="0.25">
      <c r="A501" s="4" t="s">
        <v>687</v>
      </c>
      <c r="B501" s="5">
        <v>46001</v>
      </c>
      <c r="C501" s="15">
        <f>WEEKNUM(Orders[[#This Row],[OrderDate]])</f>
        <v>50</v>
      </c>
      <c r="D501" s="15" t="str">
        <f>TEXT(Orders[[#This Row],[OrderDate]],"mmmm")</f>
        <v>December</v>
      </c>
      <c r="E501" s="4" t="s">
        <v>457</v>
      </c>
      <c r="F501" s="4" t="s">
        <v>111</v>
      </c>
      <c r="G501" s="4">
        <v>7</v>
      </c>
      <c r="H501" s="12">
        <v>6097.6</v>
      </c>
      <c r="I501" s="13">
        <v>5182.96</v>
      </c>
      <c r="J501" s="13">
        <f>Orders[[#This Row],[Quantity]]*Orders[[#This Row],[Selling Price]]</f>
        <v>42683.200000000004</v>
      </c>
      <c r="K501" s="13">
        <f>Orders[[#This Row],[Quantity]]*Orders[[#This Row],[Cost Price]]</f>
        <v>36280.720000000001</v>
      </c>
      <c r="L501" s="13">
        <f>Orders[[#This Row],[Revenue]]-Orders[[#This Row],[Expenses]]</f>
        <v>6402.4800000000032</v>
      </c>
      <c r="M501" t="s">
        <v>2218</v>
      </c>
      <c r="N501" t="str">
        <f>_xlfn.XLOOKUP(Orders[[#This Row],[CustomerID]],Customers[CustomerID],Customers[CustomerName])</f>
        <v>Tunde Okonkwo</v>
      </c>
      <c r="O501" t="str">
        <f>_xlfn.XLOOKUP(Orders[[#This Row],[CustomerID]],Customers[CustomerID],Customers[City])</f>
        <v>Illinois</v>
      </c>
      <c r="P501" t="str">
        <f>_xlfn.XLOOKUP(Orders[[#This Row],[CustomerID]],Customers[CustomerID],Customers[Gender])</f>
        <v>Male</v>
      </c>
      <c r="Q501">
        <f>_xlfn.XLOOKUP(Orders[[#This Row],[CustomerID]],Customers[CustomerID],Customers[CustomerAge])</f>
        <v>23</v>
      </c>
      <c r="R501" t="str">
        <f>IF(Orders[[#This Row],[CustomerAge]]&gt;=35, "Older", "Young")</f>
        <v>Young</v>
      </c>
      <c r="S501" t="str">
        <f>_xlfn.XLOOKUP(Orders[[#This Row],[ProductID]],Products[ProductID],Products[ProductName])</f>
        <v>Refrigerator</v>
      </c>
      <c r="T501" t="str">
        <f>_xlfn.XLOOKUP(Orders[[#This Row],[ProductID]],Products[ProductID],Products[Category])</f>
        <v>Electronics</v>
      </c>
    </row>
    <row r="502" spans="1:20" x14ac:dyDescent="0.25">
      <c r="A502" s="4" t="s">
        <v>688</v>
      </c>
      <c r="B502" s="5">
        <v>45934</v>
      </c>
      <c r="C502" s="15">
        <f>WEEKNUM(Orders[[#This Row],[OrderDate]])</f>
        <v>40</v>
      </c>
      <c r="D502" s="15" t="str">
        <f>TEXT(Orders[[#This Row],[OrderDate]],"mmmm")</f>
        <v>October</v>
      </c>
      <c r="E502" s="4" t="s">
        <v>36</v>
      </c>
      <c r="F502" s="4" t="s">
        <v>92</v>
      </c>
      <c r="G502" s="4">
        <v>7</v>
      </c>
      <c r="H502" s="12">
        <v>16059.7</v>
      </c>
      <c r="I502" s="13">
        <v>13650.745000000001</v>
      </c>
      <c r="J502" s="13">
        <f>Orders[[#This Row],[Quantity]]*Orders[[#This Row],[Selling Price]]</f>
        <v>112417.90000000001</v>
      </c>
      <c r="K502" s="13">
        <f>Orders[[#This Row],[Quantity]]*Orders[[#This Row],[Cost Price]]</f>
        <v>95555.215000000011</v>
      </c>
      <c r="L502" s="13">
        <f>Orders[[#This Row],[Revenue]]-Orders[[#This Row],[Expenses]]</f>
        <v>16862.684999999998</v>
      </c>
      <c r="M502" t="s">
        <v>2213</v>
      </c>
      <c r="N502" t="str">
        <f>_xlfn.XLOOKUP(Orders[[#This Row],[CustomerID]],Customers[CustomerID],Customers[CustomerName])</f>
        <v>Jide Eze</v>
      </c>
      <c r="O502" t="str">
        <f>_xlfn.XLOOKUP(Orders[[#This Row],[CustomerID]],Customers[CustomerID],Customers[City])</f>
        <v>California</v>
      </c>
      <c r="P502" t="str">
        <f>_xlfn.XLOOKUP(Orders[[#This Row],[CustomerID]],Customers[CustomerID],Customers[Gender])</f>
        <v>Male</v>
      </c>
      <c r="Q502">
        <f>_xlfn.XLOOKUP(Orders[[#This Row],[CustomerID]],Customers[CustomerID],Customers[CustomerAge])</f>
        <v>21</v>
      </c>
      <c r="R502" t="str">
        <f>IF(Orders[[#This Row],[CustomerAge]]&gt;=35, "Older", "Young")</f>
        <v>Young</v>
      </c>
      <c r="S502" t="str">
        <f>_xlfn.XLOOKUP(Orders[[#This Row],[ProductID]],Products[ProductID],Products[ProductName])</f>
        <v>Chest Expander</v>
      </c>
      <c r="T502" t="str">
        <f>_xlfn.XLOOKUP(Orders[[#This Row],[ProductID]],Products[ProductID],Products[Category])</f>
        <v>Gym</v>
      </c>
    </row>
    <row r="503" spans="1:20" x14ac:dyDescent="0.25">
      <c r="A503" s="4" t="s">
        <v>689</v>
      </c>
      <c r="B503" s="5">
        <v>45969</v>
      </c>
      <c r="C503" s="15">
        <f>WEEKNUM(Orders[[#This Row],[OrderDate]])</f>
        <v>45</v>
      </c>
      <c r="D503" s="15" t="str">
        <f>TEXT(Orders[[#This Row],[OrderDate]],"mmmm")</f>
        <v>November</v>
      </c>
      <c r="E503" s="4" t="s">
        <v>285</v>
      </c>
      <c r="F503" s="4" t="s">
        <v>92</v>
      </c>
      <c r="G503" s="4">
        <v>2</v>
      </c>
      <c r="H503" s="12">
        <v>17513</v>
      </c>
      <c r="I503" s="13">
        <v>14886.05</v>
      </c>
      <c r="J503" s="13">
        <f>Orders[[#This Row],[Quantity]]*Orders[[#This Row],[Selling Price]]</f>
        <v>35026</v>
      </c>
      <c r="K503" s="13">
        <f>Orders[[#This Row],[Quantity]]*Orders[[#This Row],[Cost Price]]</f>
        <v>29772.1</v>
      </c>
      <c r="L503" s="13">
        <f>Orders[[#This Row],[Revenue]]-Orders[[#This Row],[Expenses]]</f>
        <v>5253.9000000000015</v>
      </c>
      <c r="M503" t="s">
        <v>2199</v>
      </c>
      <c r="N503" t="str">
        <f>_xlfn.XLOOKUP(Orders[[#This Row],[CustomerID]],Customers[CustomerID],Customers[CustomerName])</f>
        <v>Sani Balogun</v>
      </c>
      <c r="O503" t="str">
        <f>_xlfn.XLOOKUP(Orders[[#This Row],[CustomerID]],Customers[CustomerID],Customers[City])</f>
        <v>California</v>
      </c>
      <c r="P503" t="str">
        <f>_xlfn.XLOOKUP(Orders[[#This Row],[CustomerID]],Customers[CustomerID],Customers[Gender])</f>
        <v>Male</v>
      </c>
      <c r="Q503">
        <f>_xlfn.XLOOKUP(Orders[[#This Row],[CustomerID]],Customers[CustomerID],Customers[CustomerAge])</f>
        <v>27</v>
      </c>
      <c r="R503" t="str">
        <f>IF(Orders[[#This Row],[CustomerAge]]&gt;=35, "Older", "Young")</f>
        <v>Young</v>
      </c>
      <c r="S503" t="str">
        <f>_xlfn.XLOOKUP(Orders[[#This Row],[ProductID]],Products[ProductID],Products[ProductName])</f>
        <v>Chest Expander</v>
      </c>
      <c r="T503" t="str">
        <f>_xlfn.XLOOKUP(Orders[[#This Row],[ProductID]],Products[ProductID],Products[Category])</f>
        <v>Gym</v>
      </c>
    </row>
    <row r="504" spans="1:20" x14ac:dyDescent="0.25">
      <c r="A504" s="4" t="s">
        <v>690</v>
      </c>
      <c r="B504" s="5">
        <v>45939</v>
      </c>
      <c r="C504" s="15">
        <f>WEEKNUM(Orders[[#This Row],[OrderDate]])</f>
        <v>41</v>
      </c>
      <c r="D504" s="15" t="str">
        <f>TEXT(Orders[[#This Row],[OrderDate]],"mmmm")</f>
        <v>October</v>
      </c>
      <c r="E504" s="4" t="s">
        <v>507</v>
      </c>
      <c r="F504" s="4" t="s">
        <v>37</v>
      </c>
      <c r="G504" s="4">
        <v>9</v>
      </c>
      <c r="H504" s="12">
        <v>4580.7</v>
      </c>
      <c r="I504" s="13">
        <v>3893.5949999999998</v>
      </c>
      <c r="J504" s="13">
        <f>Orders[[#This Row],[Quantity]]*Orders[[#This Row],[Selling Price]]</f>
        <v>41226.299999999996</v>
      </c>
      <c r="K504" s="13">
        <f>Orders[[#This Row],[Quantity]]*Orders[[#This Row],[Cost Price]]</f>
        <v>35042.354999999996</v>
      </c>
      <c r="L504" s="13">
        <f>Orders[[#This Row],[Revenue]]-Orders[[#This Row],[Expenses]]</f>
        <v>6183.9449999999997</v>
      </c>
      <c r="M504" t="s">
        <v>2214</v>
      </c>
      <c r="N504" t="str">
        <f>_xlfn.XLOOKUP(Orders[[#This Row],[CustomerID]],Customers[CustomerID],Customers[CustomerName])</f>
        <v>Temi Okonkwo</v>
      </c>
      <c r="O504" t="str">
        <f>_xlfn.XLOOKUP(Orders[[#This Row],[CustomerID]],Customers[CustomerID],Customers[City])</f>
        <v>Washington</v>
      </c>
      <c r="P504" t="str">
        <f>_xlfn.XLOOKUP(Orders[[#This Row],[CustomerID]],Customers[CustomerID],Customers[Gender])</f>
        <v>Female</v>
      </c>
      <c r="Q504">
        <f>_xlfn.XLOOKUP(Orders[[#This Row],[CustomerID]],Customers[CustomerID],Customers[CustomerAge])</f>
        <v>35</v>
      </c>
      <c r="R504" t="str">
        <f>IF(Orders[[#This Row],[CustomerAge]]&gt;=35, "Older", "Young")</f>
        <v>Older</v>
      </c>
      <c r="S504" t="str">
        <f>_xlfn.XLOOKUP(Orders[[#This Row],[ProductID]],Products[ProductID],Products[ProductName])</f>
        <v>Iron</v>
      </c>
      <c r="T504" t="str">
        <f>_xlfn.XLOOKUP(Orders[[#This Row],[ProductID]],Products[ProductID],Products[Category])</f>
        <v>Electronics</v>
      </c>
    </row>
    <row r="505" spans="1:20" x14ac:dyDescent="0.25">
      <c r="A505" s="4" t="s">
        <v>691</v>
      </c>
      <c r="B505" s="5">
        <v>45978</v>
      </c>
      <c r="C505" s="15">
        <f>WEEKNUM(Orders[[#This Row],[OrderDate]])</f>
        <v>47</v>
      </c>
      <c r="D505" s="15" t="str">
        <f>TEXT(Orders[[#This Row],[OrderDate]],"mmmm")</f>
        <v>November</v>
      </c>
      <c r="E505" s="4" t="s">
        <v>174</v>
      </c>
      <c r="F505" s="4" t="s">
        <v>127</v>
      </c>
      <c r="G505" s="4">
        <v>6</v>
      </c>
      <c r="H505" s="12">
        <v>11309.9</v>
      </c>
      <c r="I505" s="13">
        <v>9613.4149999999991</v>
      </c>
      <c r="J505" s="13">
        <f>Orders[[#This Row],[Quantity]]*Orders[[#This Row],[Selling Price]]</f>
        <v>67859.399999999994</v>
      </c>
      <c r="K505" s="13">
        <f>Orders[[#This Row],[Quantity]]*Orders[[#This Row],[Cost Price]]</f>
        <v>57680.489999999991</v>
      </c>
      <c r="L505" s="13">
        <f>Orders[[#This Row],[Revenue]]-Orders[[#This Row],[Expenses]]</f>
        <v>10178.910000000003</v>
      </c>
      <c r="M505" t="s">
        <v>2203</v>
      </c>
      <c r="N505" t="str">
        <f>_xlfn.XLOOKUP(Orders[[#This Row],[CustomerID]],Customers[CustomerID],Customers[CustomerName])</f>
        <v>Zainab Obi</v>
      </c>
      <c r="O505" t="str">
        <f>_xlfn.XLOOKUP(Orders[[#This Row],[CustomerID]],Customers[CustomerID],Customers[City])</f>
        <v>California</v>
      </c>
      <c r="P505" t="str">
        <f>_xlfn.XLOOKUP(Orders[[#This Row],[CustomerID]],Customers[CustomerID],Customers[Gender])</f>
        <v>Female</v>
      </c>
      <c r="Q505">
        <f>_xlfn.XLOOKUP(Orders[[#This Row],[CustomerID]],Customers[CustomerID],Customers[CustomerAge])</f>
        <v>18</v>
      </c>
      <c r="R505" t="str">
        <f>IF(Orders[[#This Row],[CustomerAge]]&gt;=35, "Older", "Young")</f>
        <v>Young</v>
      </c>
      <c r="S505" t="str">
        <f>_xlfn.XLOOKUP(Orders[[#This Row],[ProductID]],Products[ProductID],Products[ProductName])</f>
        <v>Tops</v>
      </c>
      <c r="T505" t="str">
        <f>_xlfn.XLOOKUP(Orders[[#This Row],[ProductID]],Products[ProductID],Products[Category])</f>
        <v>Clothing</v>
      </c>
    </row>
    <row r="506" spans="1:20" x14ac:dyDescent="0.25">
      <c r="A506" s="4" t="s">
        <v>692</v>
      </c>
      <c r="B506" s="5">
        <v>45957</v>
      </c>
      <c r="C506" s="15">
        <f>WEEKNUM(Orders[[#This Row],[OrderDate]])</f>
        <v>44</v>
      </c>
      <c r="D506" s="15" t="str">
        <f>TEXT(Orders[[#This Row],[OrderDate]],"mmmm")</f>
        <v>October</v>
      </c>
      <c r="E506" s="4" t="s">
        <v>89</v>
      </c>
      <c r="F506" s="4" t="s">
        <v>37</v>
      </c>
      <c r="G506" s="4">
        <v>6</v>
      </c>
      <c r="H506" s="12">
        <v>5468.5</v>
      </c>
      <c r="I506" s="13">
        <v>4648.2250000000004</v>
      </c>
      <c r="J506" s="13">
        <f>Orders[[#This Row],[Quantity]]*Orders[[#This Row],[Selling Price]]</f>
        <v>32811</v>
      </c>
      <c r="K506" s="13">
        <f>Orders[[#This Row],[Quantity]]*Orders[[#This Row],[Cost Price]]</f>
        <v>27889.350000000002</v>
      </c>
      <c r="L506" s="13">
        <f>Orders[[#This Row],[Revenue]]-Orders[[#This Row],[Expenses]]</f>
        <v>4921.6499999999978</v>
      </c>
      <c r="M506" t="s">
        <v>2212</v>
      </c>
      <c r="N506" t="str">
        <f>_xlfn.XLOOKUP(Orders[[#This Row],[CustomerID]],Customers[CustomerID],Customers[CustomerName])</f>
        <v>Blessing Balogun</v>
      </c>
      <c r="O506" t="str">
        <f>_xlfn.XLOOKUP(Orders[[#This Row],[CustomerID]],Customers[CustomerID],Customers[City])</f>
        <v>Washington</v>
      </c>
      <c r="P506" t="str">
        <f>_xlfn.XLOOKUP(Orders[[#This Row],[CustomerID]],Customers[CustomerID],Customers[Gender])</f>
        <v>Female</v>
      </c>
      <c r="Q506">
        <f>_xlfn.XLOOKUP(Orders[[#This Row],[CustomerID]],Customers[CustomerID],Customers[CustomerAge])</f>
        <v>19</v>
      </c>
      <c r="R506" t="str">
        <f>IF(Orders[[#This Row],[CustomerAge]]&gt;=35, "Older", "Young")</f>
        <v>Young</v>
      </c>
      <c r="S506" t="str">
        <f>_xlfn.XLOOKUP(Orders[[#This Row],[ProductID]],Products[ProductID],Products[ProductName])</f>
        <v>Iron</v>
      </c>
      <c r="T506" t="str">
        <f>_xlfn.XLOOKUP(Orders[[#This Row],[ProductID]],Products[ProductID],Products[Category])</f>
        <v>Electronics</v>
      </c>
    </row>
    <row r="507" spans="1:20" x14ac:dyDescent="0.25">
      <c r="A507" s="4" t="s">
        <v>693</v>
      </c>
      <c r="B507" s="5">
        <v>45955</v>
      </c>
      <c r="C507" s="15">
        <f>WEEKNUM(Orders[[#This Row],[OrderDate]])</f>
        <v>43</v>
      </c>
      <c r="D507" s="15" t="str">
        <f>TEXT(Orders[[#This Row],[OrderDate]],"mmmm")</f>
        <v>October</v>
      </c>
      <c r="E507" s="4" t="s">
        <v>227</v>
      </c>
      <c r="F507" s="4" t="s">
        <v>66</v>
      </c>
      <c r="G507" s="4">
        <v>6</v>
      </c>
      <c r="H507" s="12">
        <v>16400.7</v>
      </c>
      <c r="I507" s="13">
        <v>13940.595000000001</v>
      </c>
      <c r="J507" s="13">
        <f>Orders[[#This Row],[Quantity]]*Orders[[#This Row],[Selling Price]]</f>
        <v>98404.200000000012</v>
      </c>
      <c r="K507" s="13">
        <f>Orders[[#This Row],[Quantity]]*Orders[[#This Row],[Cost Price]]</f>
        <v>83643.570000000007</v>
      </c>
      <c r="L507" s="13">
        <f>Orders[[#This Row],[Revenue]]-Orders[[#This Row],[Expenses]]</f>
        <v>14760.630000000005</v>
      </c>
      <c r="M507" t="s">
        <v>2199</v>
      </c>
      <c r="N507" t="str">
        <f>_xlfn.XLOOKUP(Orders[[#This Row],[CustomerID]],Customers[CustomerID],Customers[CustomerName])</f>
        <v>Emmanuel Victor</v>
      </c>
      <c r="O507" t="str">
        <f>_xlfn.XLOOKUP(Orders[[#This Row],[CustomerID]],Customers[CustomerID],Customers[City])</f>
        <v>Washington</v>
      </c>
      <c r="P507" t="str">
        <f>_xlfn.XLOOKUP(Orders[[#This Row],[CustomerID]],Customers[CustomerID],Customers[Gender])</f>
        <v>Male</v>
      </c>
      <c r="Q507">
        <f>_xlfn.XLOOKUP(Orders[[#This Row],[CustomerID]],Customers[CustomerID],Customers[CustomerAge])</f>
        <v>35</v>
      </c>
      <c r="R507" t="str">
        <f>IF(Orders[[#This Row],[CustomerAge]]&gt;=35, "Older", "Young")</f>
        <v>Older</v>
      </c>
      <c r="S507" t="str">
        <f>_xlfn.XLOOKUP(Orders[[#This Row],[ProductID]],Products[ProductID],Products[ProductName])</f>
        <v>Microwave</v>
      </c>
      <c r="T507" t="str">
        <f>_xlfn.XLOOKUP(Orders[[#This Row],[ProductID]],Products[ProductID],Products[Category])</f>
        <v>Electronics</v>
      </c>
    </row>
    <row r="508" spans="1:20" x14ac:dyDescent="0.25">
      <c r="A508" s="4" t="s">
        <v>694</v>
      </c>
      <c r="B508" s="5">
        <v>46000</v>
      </c>
      <c r="C508" s="15">
        <f>WEEKNUM(Orders[[#This Row],[OrderDate]])</f>
        <v>50</v>
      </c>
      <c r="D508" s="15" t="str">
        <f>TEXT(Orders[[#This Row],[OrderDate]],"mmmm")</f>
        <v>December</v>
      </c>
      <c r="E508" s="4" t="s">
        <v>134</v>
      </c>
      <c r="F508" s="4" t="s">
        <v>76</v>
      </c>
      <c r="G508" s="4">
        <v>4</v>
      </c>
      <c r="H508" s="12">
        <v>16167.2</v>
      </c>
      <c r="I508" s="13">
        <v>13742.12</v>
      </c>
      <c r="J508" s="13">
        <f>Orders[[#This Row],[Quantity]]*Orders[[#This Row],[Selling Price]]</f>
        <v>64668.800000000003</v>
      </c>
      <c r="K508" s="13">
        <f>Orders[[#This Row],[Quantity]]*Orders[[#This Row],[Cost Price]]</f>
        <v>54968.480000000003</v>
      </c>
      <c r="L508" s="13">
        <f>Orders[[#This Row],[Revenue]]-Orders[[#This Row],[Expenses]]</f>
        <v>9700.32</v>
      </c>
      <c r="M508" t="s">
        <v>2200</v>
      </c>
      <c r="N508" t="str">
        <f>_xlfn.XLOOKUP(Orders[[#This Row],[CustomerID]],Customers[CustomerID],Customers[CustomerName])</f>
        <v>Ngozi Ojo</v>
      </c>
      <c r="O508" t="str">
        <f>_xlfn.XLOOKUP(Orders[[#This Row],[CustomerID]],Customers[CustomerID],Customers[City])</f>
        <v>Florida</v>
      </c>
      <c r="P508" t="str">
        <f>_xlfn.XLOOKUP(Orders[[#This Row],[CustomerID]],Customers[CustomerID],Customers[Gender])</f>
        <v>Female</v>
      </c>
      <c r="Q508">
        <f>_xlfn.XLOOKUP(Orders[[#This Row],[CustomerID]],Customers[CustomerID],Customers[CustomerAge])</f>
        <v>18</v>
      </c>
      <c r="R508" t="str">
        <f>IF(Orders[[#This Row],[CustomerAge]]&gt;=35, "Older", "Young")</f>
        <v>Young</v>
      </c>
      <c r="S508" t="str">
        <f>_xlfn.XLOOKUP(Orders[[#This Row],[ProductID]],Products[ProductID],Products[ProductName])</f>
        <v>Blender</v>
      </c>
      <c r="T508" t="str">
        <f>_xlfn.XLOOKUP(Orders[[#This Row],[ProductID]],Products[ProductID],Products[Category])</f>
        <v>Electronics</v>
      </c>
    </row>
    <row r="509" spans="1:20" x14ac:dyDescent="0.25">
      <c r="A509" s="4" t="s">
        <v>695</v>
      </c>
      <c r="B509" s="5">
        <v>45944</v>
      </c>
      <c r="C509" s="15">
        <f>WEEKNUM(Orders[[#This Row],[OrderDate]])</f>
        <v>42</v>
      </c>
      <c r="D509" s="15" t="str">
        <f>TEXT(Orders[[#This Row],[OrderDate]],"mmmm")</f>
        <v>October</v>
      </c>
      <c r="E509" s="4" t="s">
        <v>180</v>
      </c>
      <c r="F509" s="4" t="s">
        <v>120</v>
      </c>
      <c r="G509" s="4">
        <v>8</v>
      </c>
      <c r="H509" s="12">
        <v>3478.5</v>
      </c>
      <c r="I509" s="13">
        <v>2956.7249999999999</v>
      </c>
      <c r="J509" s="13">
        <f>Orders[[#This Row],[Quantity]]*Orders[[#This Row],[Selling Price]]</f>
        <v>27828</v>
      </c>
      <c r="K509" s="13">
        <f>Orders[[#This Row],[Quantity]]*Orders[[#This Row],[Cost Price]]</f>
        <v>23653.8</v>
      </c>
      <c r="L509" s="13">
        <f>Orders[[#This Row],[Revenue]]-Orders[[#This Row],[Expenses]]</f>
        <v>4174.2000000000007</v>
      </c>
      <c r="M509" t="s">
        <v>2200</v>
      </c>
      <c r="N509" t="str">
        <f>_xlfn.XLOOKUP(Orders[[#This Row],[CustomerID]],Customers[CustomerID],Customers[CustomerName])</f>
        <v>Jide Okonkwo</v>
      </c>
      <c r="O509" t="str">
        <f>_xlfn.XLOOKUP(Orders[[#This Row],[CustomerID]],Customers[CustomerID],Customers[City])</f>
        <v>Texas</v>
      </c>
      <c r="P509" t="str">
        <f>_xlfn.XLOOKUP(Orders[[#This Row],[CustomerID]],Customers[CustomerID],Customers[Gender])</f>
        <v>Male</v>
      </c>
      <c r="Q509">
        <f>_xlfn.XLOOKUP(Orders[[#This Row],[CustomerID]],Customers[CustomerID],Customers[CustomerAge])</f>
        <v>25</v>
      </c>
      <c r="R509" t="str">
        <f>IF(Orders[[#This Row],[CustomerAge]]&gt;=35, "Older", "Young")</f>
        <v>Young</v>
      </c>
      <c r="S509" t="str">
        <f>_xlfn.XLOOKUP(Orders[[#This Row],[ProductID]],Products[ProductID],Products[ProductName])</f>
        <v>Chess</v>
      </c>
      <c r="T509" t="str">
        <f>_xlfn.XLOOKUP(Orders[[#This Row],[ProductID]],Products[ProductID],Products[Category])</f>
        <v>Games</v>
      </c>
    </row>
    <row r="510" spans="1:20" x14ac:dyDescent="0.25">
      <c r="A510" s="4" t="s">
        <v>696</v>
      </c>
      <c r="B510" s="5">
        <v>45934</v>
      </c>
      <c r="C510" s="15">
        <f>WEEKNUM(Orders[[#This Row],[OrderDate]])</f>
        <v>40</v>
      </c>
      <c r="D510" s="15" t="str">
        <f>TEXT(Orders[[#This Row],[OrderDate]],"mmmm")</f>
        <v>October</v>
      </c>
      <c r="E510" s="4" t="s">
        <v>91</v>
      </c>
      <c r="F510" s="4" t="s">
        <v>168</v>
      </c>
      <c r="G510" s="4">
        <v>9</v>
      </c>
      <c r="H510" s="12">
        <v>3367.6</v>
      </c>
      <c r="I510" s="13">
        <v>2862.46</v>
      </c>
      <c r="J510" s="13">
        <f>Orders[[#This Row],[Quantity]]*Orders[[#This Row],[Selling Price]]</f>
        <v>30308.399999999998</v>
      </c>
      <c r="K510" s="13">
        <f>Orders[[#This Row],[Quantity]]*Orders[[#This Row],[Cost Price]]</f>
        <v>25762.14</v>
      </c>
      <c r="L510" s="13">
        <f>Orders[[#This Row],[Revenue]]-Orders[[#This Row],[Expenses]]</f>
        <v>4546.2599999999984</v>
      </c>
      <c r="M510" t="s">
        <v>2201</v>
      </c>
      <c r="N510" t="str">
        <f>_xlfn.XLOOKUP(Orders[[#This Row],[CustomerID]],Customers[CustomerID],Customers[CustomerName])</f>
        <v>Uche Abubakar</v>
      </c>
      <c r="O510" t="str">
        <f>_xlfn.XLOOKUP(Orders[[#This Row],[CustomerID]],Customers[CustomerID],Customers[City])</f>
        <v>Florida</v>
      </c>
      <c r="P510" t="str">
        <f>_xlfn.XLOOKUP(Orders[[#This Row],[CustomerID]],Customers[CustomerID],Customers[Gender])</f>
        <v>Male</v>
      </c>
      <c r="Q510">
        <f>_xlfn.XLOOKUP(Orders[[#This Row],[CustomerID]],Customers[CustomerID],Customers[CustomerAge])</f>
        <v>28</v>
      </c>
      <c r="R510" t="str">
        <f>IF(Orders[[#This Row],[CustomerAge]]&gt;=35, "Older", "Young")</f>
        <v>Young</v>
      </c>
      <c r="S510" t="str">
        <f>_xlfn.XLOOKUP(Orders[[#This Row],[ProductID]],Products[ProductID],Products[ProductName])</f>
        <v>Dumb Bells</v>
      </c>
      <c r="T510" t="str">
        <f>_xlfn.XLOOKUP(Orders[[#This Row],[ProductID]],Products[ProductID],Products[Category])</f>
        <v>Gym</v>
      </c>
    </row>
    <row r="511" spans="1:20" x14ac:dyDescent="0.25">
      <c r="A511" s="4" t="s">
        <v>697</v>
      </c>
      <c r="B511" s="5">
        <v>46015</v>
      </c>
      <c r="C511" s="15">
        <f>WEEKNUM(Orders[[#This Row],[OrderDate]])</f>
        <v>52</v>
      </c>
      <c r="D511" s="15" t="str">
        <f>TEXT(Orders[[#This Row],[OrderDate]],"mmmm")</f>
        <v>December</v>
      </c>
      <c r="E511" s="4" t="s">
        <v>41</v>
      </c>
      <c r="F511" s="4" t="s">
        <v>157</v>
      </c>
      <c r="G511" s="4">
        <v>7</v>
      </c>
      <c r="H511" s="12">
        <v>8022.7999999999993</v>
      </c>
      <c r="I511" s="13">
        <v>6819.3799999999992</v>
      </c>
      <c r="J511" s="13">
        <f>Orders[[#This Row],[Quantity]]*Orders[[#This Row],[Selling Price]]</f>
        <v>56159.599999999991</v>
      </c>
      <c r="K511" s="13">
        <f>Orders[[#This Row],[Quantity]]*Orders[[#This Row],[Cost Price]]</f>
        <v>47735.659999999996</v>
      </c>
      <c r="L511" s="13">
        <f>Orders[[#This Row],[Revenue]]-Orders[[#This Row],[Expenses]]</f>
        <v>8423.9399999999951</v>
      </c>
      <c r="M511" t="s">
        <v>2220</v>
      </c>
      <c r="N511" t="str">
        <f>_xlfn.XLOOKUP(Orders[[#This Row],[CustomerID]],Customers[CustomerID],Customers[CustomerName])</f>
        <v>Mustafa Balogun</v>
      </c>
      <c r="O511" t="str">
        <f>_xlfn.XLOOKUP(Orders[[#This Row],[CustomerID]],Customers[CustomerID],Customers[City])</f>
        <v>Texas</v>
      </c>
      <c r="P511" t="str">
        <f>_xlfn.XLOOKUP(Orders[[#This Row],[CustomerID]],Customers[CustomerID],Customers[Gender])</f>
        <v>Male</v>
      </c>
      <c r="Q511">
        <f>_xlfn.XLOOKUP(Orders[[#This Row],[CustomerID]],Customers[CustomerID],Customers[CustomerAge])</f>
        <v>40</v>
      </c>
      <c r="R511" t="str">
        <f>IF(Orders[[#This Row],[CustomerAge]]&gt;=35, "Older", "Young")</f>
        <v>Older</v>
      </c>
      <c r="S511" t="str">
        <f>_xlfn.XLOOKUP(Orders[[#This Row],[ProductID]],Products[ProductID],Products[ProductName])</f>
        <v>Football</v>
      </c>
      <c r="T511" t="str">
        <f>_xlfn.XLOOKUP(Orders[[#This Row],[ProductID]],Products[ProductID],Products[Category])</f>
        <v>Sports</v>
      </c>
    </row>
    <row r="512" spans="1:20" x14ac:dyDescent="0.25">
      <c r="A512" s="4" t="s">
        <v>698</v>
      </c>
      <c r="B512" s="5">
        <v>45993</v>
      </c>
      <c r="C512" s="15">
        <f>WEEKNUM(Orders[[#This Row],[OrderDate]])</f>
        <v>49</v>
      </c>
      <c r="D512" s="15" t="str">
        <f>TEXT(Orders[[#This Row],[OrderDate]],"mmmm")</f>
        <v>December</v>
      </c>
      <c r="E512" s="4" t="s">
        <v>118</v>
      </c>
      <c r="F512" s="4" t="s">
        <v>81</v>
      </c>
      <c r="G512" s="4">
        <v>2</v>
      </c>
      <c r="H512" s="12">
        <v>7693.5</v>
      </c>
      <c r="I512" s="13">
        <v>6539.4750000000004</v>
      </c>
      <c r="J512" s="13">
        <f>Orders[[#This Row],[Quantity]]*Orders[[#This Row],[Selling Price]]</f>
        <v>15387</v>
      </c>
      <c r="K512" s="13">
        <f>Orders[[#This Row],[Quantity]]*Orders[[#This Row],[Cost Price]]</f>
        <v>13078.95</v>
      </c>
      <c r="L512" s="13">
        <f>Orders[[#This Row],[Revenue]]-Orders[[#This Row],[Expenses]]</f>
        <v>2308.0499999999993</v>
      </c>
      <c r="M512" t="s">
        <v>2211</v>
      </c>
      <c r="N512" t="str">
        <f>_xlfn.XLOOKUP(Orders[[#This Row],[CustomerID]],Customers[CustomerID],Customers[CustomerName])</f>
        <v>Ibrahim Balogun</v>
      </c>
      <c r="O512" t="str">
        <f>_xlfn.XLOOKUP(Orders[[#This Row],[CustomerID]],Customers[CustomerID],Customers[City])</f>
        <v>Georgia</v>
      </c>
      <c r="P512" t="str">
        <f>_xlfn.XLOOKUP(Orders[[#This Row],[CustomerID]],Customers[CustomerID],Customers[Gender])</f>
        <v>Male</v>
      </c>
      <c r="Q512">
        <f>_xlfn.XLOOKUP(Orders[[#This Row],[CustomerID]],Customers[CustomerID],Customers[CustomerAge])</f>
        <v>55</v>
      </c>
      <c r="R512" t="str">
        <f>IF(Orders[[#This Row],[CustomerAge]]&gt;=35, "Older", "Young")</f>
        <v>Older</v>
      </c>
      <c r="S512" t="str">
        <f>_xlfn.XLOOKUP(Orders[[#This Row],[ProductID]],Products[ProductID],Products[ProductName])</f>
        <v>Trousers</v>
      </c>
      <c r="T512" t="str">
        <f>_xlfn.XLOOKUP(Orders[[#This Row],[ProductID]],Products[ProductID],Products[Category])</f>
        <v>Clothing</v>
      </c>
    </row>
    <row r="513" spans="1:20" x14ac:dyDescent="0.25">
      <c r="A513" s="4" t="s">
        <v>699</v>
      </c>
      <c r="B513" s="5">
        <v>46009</v>
      </c>
      <c r="C513" s="15">
        <f>WEEKNUM(Orders[[#This Row],[OrderDate]])</f>
        <v>51</v>
      </c>
      <c r="D513" s="15" t="str">
        <f>TEXT(Orders[[#This Row],[OrderDate]],"mmmm")</f>
        <v>December</v>
      </c>
      <c r="E513" s="4" t="s">
        <v>30</v>
      </c>
      <c r="F513" s="4" t="s">
        <v>76</v>
      </c>
      <c r="G513" s="4">
        <v>6</v>
      </c>
      <c r="H513" s="12">
        <v>2596.7000000000003</v>
      </c>
      <c r="I513" s="13">
        <v>2207.1950000000002</v>
      </c>
      <c r="J513" s="13">
        <f>Orders[[#This Row],[Quantity]]*Orders[[#This Row],[Selling Price]]</f>
        <v>15580.2</v>
      </c>
      <c r="K513" s="13">
        <f>Orders[[#This Row],[Quantity]]*Orders[[#This Row],[Cost Price]]</f>
        <v>13243.170000000002</v>
      </c>
      <c r="L513" s="13">
        <f>Orders[[#This Row],[Revenue]]-Orders[[#This Row],[Expenses]]</f>
        <v>2337.0299999999988</v>
      </c>
      <c r="M513" t="s">
        <v>2210</v>
      </c>
      <c r="N513" t="str">
        <f>_xlfn.XLOOKUP(Orders[[#This Row],[CustomerID]],Customers[CustomerID],Customers[CustomerName])</f>
        <v>Amina Danladi</v>
      </c>
      <c r="O513" t="str">
        <f>_xlfn.XLOOKUP(Orders[[#This Row],[CustomerID]],Customers[CustomerID],Customers[City])</f>
        <v>Florida</v>
      </c>
      <c r="P513" t="str">
        <f>_xlfn.XLOOKUP(Orders[[#This Row],[CustomerID]],Customers[CustomerID],Customers[Gender])</f>
        <v>Female</v>
      </c>
      <c r="Q513">
        <f>_xlfn.XLOOKUP(Orders[[#This Row],[CustomerID]],Customers[CustomerID],Customers[CustomerAge])</f>
        <v>42</v>
      </c>
      <c r="R513" t="str">
        <f>IF(Orders[[#This Row],[CustomerAge]]&gt;=35, "Older", "Young")</f>
        <v>Older</v>
      </c>
      <c r="S513" t="str">
        <f>_xlfn.XLOOKUP(Orders[[#This Row],[ProductID]],Products[ProductID],Products[ProductName])</f>
        <v>Blender</v>
      </c>
      <c r="T513" t="str">
        <f>_xlfn.XLOOKUP(Orders[[#This Row],[ProductID]],Products[ProductID],Products[Category])</f>
        <v>Electronics</v>
      </c>
    </row>
    <row r="514" spans="1:20" x14ac:dyDescent="0.25">
      <c r="A514" s="4" t="s">
        <v>700</v>
      </c>
      <c r="B514" s="5">
        <v>45944</v>
      </c>
      <c r="C514" s="15">
        <f>WEEKNUM(Orders[[#This Row],[OrderDate]])</f>
        <v>42</v>
      </c>
      <c r="D514" s="15" t="str">
        <f>TEXT(Orders[[#This Row],[OrderDate]],"mmmm")</f>
        <v>October</v>
      </c>
      <c r="E514" s="4" t="s">
        <v>435</v>
      </c>
      <c r="F514" s="4" t="s">
        <v>20</v>
      </c>
      <c r="G514" s="4">
        <v>1</v>
      </c>
      <c r="H514" s="12">
        <v>9428</v>
      </c>
      <c r="I514" s="13">
        <v>8013.8</v>
      </c>
      <c r="J514" s="13">
        <f>Orders[[#This Row],[Quantity]]*Orders[[#This Row],[Selling Price]]</f>
        <v>9428</v>
      </c>
      <c r="K514" s="13">
        <f>Orders[[#This Row],[Quantity]]*Orders[[#This Row],[Cost Price]]</f>
        <v>8013.8</v>
      </c>
      <c r="L514" s="13">
        <f>Orders[[#This Row],[Revenue]]-Orders[[#This Row],[Expenses]]</f>
        <v>1414.1999999999998</v>
      </c>
      <c r="M514" t="s">
        <v>2192</v>
      </c>
      <c r="N514" t="str">
        <f>_xlfn.XLOOKUP(Orders[[#This Row],[CustomerID]],Customers[CustomerID],Customers[CustomerName])</f>
        <v>Amina Balogun</v>
      </c>
      <c r="O514" t="str">
        <f>_xlfn.XLOOKUP(Orders[[#This Row],[CustomerID]],Customers[CustomerID],Customers[City])</f>
        <v>Texas</v>
      </c>
      <c r="P514" t="str">
        <f>_xlfn.XLOOKUP(Orders[[#This Row],[CustomerID]],Customers[CustomerID],Customers[Gender])</f>
        <v>Female</v>
      </c>
      <c r="Q514">
        <f>_xlfn.XLOOKUP(Orders[[#This Row],[CustomerID]],Customers[CustomerID],Customers[CustomerAge])</f>
        <v>32</v>
      </c>
      <c r="R514" t="str">
        <f>IF(Orders[[#This Row],[CustomerAge]]&gt;=35, "Older", "Young")</f>
        <v>Young</v>
      </c>
      <c r="S514" t="str">
        <f>_xlfn.XLOOKUP(Orders[[#This Row],[ProductID]],Products[ProductID],Products[ProductName])</f>
        <v>Gym Bag</v>
      </c>
      <c r="T514" t="str">
        <f>_xlfn.XLOOKUP(Orders[[#This Row],[ProductID]],Products[ProductID],Products[Category])</f>
        <v>Gym</v>
      </c>
    </row>
    <row r="515" spans="1:20" x14ac:dyDescent="0.25">
      <c r="A515" s="4" t="s">
        <v>701</v>
      </c>
      <c r="B515" s="5">
        <v>45955</v>
      </c>
      <c r="C515" s="15">
        <f>WEEKNUM(Orders[[#This Row],[OrderDate]])</f>
        <v>43</v>
      </c>
      <c r="D515" s="15" t="str">
        <f>TEXT(Orders[[#This Row],[OrderDate]],"mmmm")</f>
        <v>October</v>
      </c>
      <c r="E515" s="4" t="s">
        <v>45</v>
      </c>
      <c r="F515" s="4" t="s">
        <v>28</v>
      </c>
      <c r="G515" s="4">
        <v>3</v>
      </c>
      <c r="H515" s="12">
        <v>849.80000000000007</v>
      </c>
      <c r="I515" s="13">
        <v>722.33</v>
      </c>
      <c r="J515" s="13">
        <f>Orders[[#This Row],[Quantity]]*Orders[[#This Row],[Selling Price]]</f>
        <v>2549.4</v>
      </c>
      <c r="K515" s="13">
        <f>Orders[[#This Row],[Quantity]]*Orders[[#This Row],[Cost Price]]</f>
        <v>2166.9900000000002</v>
      </c>
      <c r="L515" s="13">
        <f>Orders[[#This Row],[Revenue]]-Orders[[#This Row],[Expenses]]</f>
        <v>382.40999999999985</v>
      </c>
      <c r="M515" t="s">
        <v>2201</v>
      </c>
      <c r="N515" t="str">
        <f>_xlfn.XLOOKUP(Orders[[#This Row],[CustomerID]],Customers[CustomerID],Customers[CustomerName])</f>
        <v>Abiola Abubakar</v>
      </c>
      <c r="O515" t="str">
        <f>_xlfn.XLOOKUP(Orders[[#This Row],[CustomerID]],Customers[CustomerID],Customers[City])</f>
        <v>Florida</v>
      </c>
      <c r="P515" t="str">
        <f>_xlfn.XLOOKUP(Orders[[#This Row],[CustomerID]],Customers[CustomerID],Customers[Gender])</f>
        <v>Male</v>
      </c>
      <c r="Q515">
        <f>_xlfn.XLOOKUP(Orders[[#This Row],[CustomerID]],Customers[CustomerID],Customers[CustomerAge])</f>
        <v>26</v>
      </c>
      <c r="R515" t="str">
        <f>IF(Orders[[#This Row],[CustomerAge]]&gt;=35, "Older", "Young")</f>
        <v>Young</v>
      </c>
      <c r="S515" t="str">
        <f>_xlfn.XLOOKUP(Orders[[#This Row],[ProductID]],Products[ProductID],Products[ProductName])</f>
        <v>Sneakers</v>
      </c>
      <c r="T515" t="str">
        <f>_xlfn.XLOOKUP(Orders[[#This Row],[ProductID]],Products[ProductID],Products[Category])</f>
        <v>Sports</v>
      </c>
    </row>
    <row r="516" spans="1:20" x14ac:dyDescent="0.25">
      <c r="A516" s="4" t="s">
        <v>702</v>
      </c>
      <c r="B516" s="5">
        <v>45955</v>
      </c>
      <c r="C516" s="15">
        <f>WEEKNUM(Orders[[#This Row],[OrderDate]])</f>
        <v>43</v>
      </c>
      <c r="D516" s="15" t="str">
        <f>TEXT(Orders[[#This Row],[OrderDate]],"mmmm")</f>
        <v>October</v>
      </c>
      <c r="E516" s="4" t="s">
        <v>256</v>
      </c>
      <c r="F516" s="4" t="s">
        <v>353</v>
      </c>
      <c r="G516" s="4">
        <v>8</v>
      </c>
      <c r="H516" s="12">
        <v>6910</v>
      </c>
      <c r="I516" s="13">
        <v>5873.5</v>
      </c>
      <c r="J516" s="13">
        <f>Orders[[#This Row],[Quantity]]*Orders[[#This Row],[Selling Price]]</f>
        <v>55280</v>
      </c>
      <c r="K516" s="13">
        <f>Orders[[#This Row],[Quantity]]*Orders[[#This Row],[Cost Price]]</f>
        <v>46988</v>
      </c>
      <c r="L516" s="13">
        <f>Orders[[#This Row],[Revenue]]-Orders[[#This Row],[Expenses]]</f>
        <v>8292</v>
      </c>
      <c r="M516" t="s">
        <v>2203</v>
      </c>
      <c r="N516" t="str">
        <f>_xlfn.XLOOKUP(Orders[[#This Row],[CustomerID]],Customers[CustomerID],Customers[CustomerName])</f>
        <v>Efe Ojo</v>
      </c>
      <c r="O516" t="str">
        <f>_xlfn.XLOOKUP(Orders[[#This Row],[CustomerID]],Customers[CustomerID],Customers[City])</f>
        <v>Georgia</v>
      </c>
      <c r="P516" t="str">
        <f>_xlfn.XLOOKUP(Orders[[#This Row],[CustomerID]],Customers[CustomerID],Customers[Gender])</f>
        <v>Female</v>
      </c>
      <c r="Q516">
        <f>_xlfn.XLOOKUP(Orders[[#This Row],[CustomerID]],Customers[CustomerID],Customers[CustomerAge])</f>
        <v>23</v>
      </c>
      <c r="R516" t="str">
        <f>IF(Orders[[#This Row],[CustomerAge]]&gt;=35, "Older", "Young")</f>
        <v>Young</v>
      </c>
      <c r="S516" t="str">
        <f>_xlfn.XLOOKUP(Orders[[#This Row],[ProductID]],Products[ProductID],Products[ProductName])</f>
        <v>Silver Earrings And Necklaces</v>
      </c>
      <c r="T516" t="str">
        <f>_xlfn.XLOOKUP(Orders[[#This Row],[ProductID]],Products[ProductID],Products[Category])</f>
        <v>Accessories</v>
      </c>
    </row>
    <row r="517" spans="1:20" x14ac:dyDescent="0.25">
      <c r="A517" s="4" t="s">
        <v>703</v>
      </c>
      <c r="B517" s="5">
        <v>45935</v>
      </c>
      <c r="C517" s="15">
        <f>WEEKNUM(Orders[[#This Row],[OrderDate]])</f>
        <v>41</v>
      </c>
      <c r="D517" s="15" t="str">
        <f>TEXT(Orders[[#This Row],[OrderDate]],"mmmm")</f>
        <v>October</v>
      </c>
      <c r="E517" s="4" t="s">
        <v>305</v>
      </c>
      <c r="F517" s="4" t="s">
        <v>46</v>
      </c>
      <c r="G517" s="4">
        <v>6</v>
      </c>
      <c r="H517" s="12">
        <v>1243.0999999999999</v>
      </c>
      <c r="I517" s="13">
        <v>1056.635</v>
      </c>
      <c r="J517" s="13">
        <f>Orders[[#This Row],[Quantity]]*Orders[[#This Row],[Selling Price]]</f>
        <v>7458.5999999999995</v>
      </c>
      <c r="K517" s="13">
        <f>Orders[[#This Row],[Quantity]]*Orders[[#This Row],[Cost Price]]</f>
        <v>6339.8099999999995</v>
      </c>
      <c r="L517" s="13">
        <f>Orders[[#This Row],[Revenue]]-Orders[[#This Row],[Expenses]]</f>
        <v>1118.79</v>
      </c>
      <c r="M517" t="s">
        <v>2210</v>
      </c>
      <c r="N517" t="str">
        <f>_xlfn.XLOOKUP(Orders[[#This Row],[CustomerID]],Customers[CustomerID],Customers[CustomerName])</f>
        <v>Tunde Danladi</v>
      </c>
      <c r="O517" t="str">
        <f>_xlfn.XLOOKUP(Orders[[#This Row],[CustomerID]],Customers[CustomerID],Customers[City])</f>
        <v>California</v>
      </c>
      <c r="P517" t="str">
        <f>_xlfn.XLOOKUP(Orders[[#This Row],[CustomerID]],Customers[CustomerID],Customers[Gender])</f>
        <v>Male</v>
      </c>
      <c r="Q517">
        <f>_xlfn.XLOOKUP(Orders[[#This Row],[CustomerID]],Customers[CustomerID],Customers[CustomerAge])</f>
        <v>40</v>
      </c>
      <c r="R517" t="str">
        <f>IF(Orders[[#This Row],[CustomerAge]]&gt;=35, "Older", "Young")</f>
        <v>Older</v>
      </c>
      <c r="S517" t="str">
        <f>_xlfn.XLOOKUP(Orders[[#This Row],[ProductID]],Products[ProductID],Products[ProductName])</f>
        <v>Turtle Neck</v>
      </c>
      <c r="T517" t="str">
        <f>_xlfn.XLOOKUP(Orders[[#This Row],[ProductID]],Products[ProductID],Products[Category])</f>
        <v>Clothing</v>
      </c>
    </row>
    <row r="518" spans="1:20" x14ac:dyDescent="0.25">
      <c r="A518" s="4" t="s">
        <v>704</v>
      </c>
      <c r="B518" s="5">
        <v>45933</v>
      </c>
      <c r="C518" s="15">
        <f>WEEKNUM(Orders[[#This Row],[OrderDate]])</f>
        <v>40</v>
      </c>
      <c r="D518" s="15" t="str">
        <f>TEXT(Orders[[#This Row],[OrderDate]],"mmmm")</f>
        <v>October</v>
      </c>
      <c r="E518" s="4" t="s">
        <v>36</v>
      </c>
      <c r="F518" s="4" t="s">
        <v>57</v>
      </c>
      <c r="G518" s="4">
        <v>3</v>
      </c>
      <c r="H518" s="12">
        <v>18448.2</v>
      </c>
      <c r="I518" s="13">
        <v>15680.970000000001</v>
      </c>
      <c r="J518" s="13">
        <f>Orders[[#This Row],[Quantity]]*Orders[[#This Row],[Selling Price]]</f>
        <v>55344.600000000006</v>
      </c>
      <c r="K518" s="13">
        <f>Orders[[#This Row],[Quantity]]*Orders[[#This Row],[Cost Price]]</f>
        <v>47042.91</v>
      </c>
      <c r="L518" s="13">
        <f>Orders[[#This Row],[Revenue]]-Orders[[#This Row],[Expenses]]</f>
        <v>8301.6900000000023</v>
      </c>
      <c r="M518" t="s">
        <v>2206</v>
      </c>
      <c r="N518" t="str">
        <f>_xlfn.XLOOKUP(Orders[[#This Row],[CustomerID]],Customers[CustomerID],Customers[CustomerName])</f>
        <v>Jide Eze</v>
      </c>
      <c r="O518" t="str">
        <f>_xlfn.XLOOKUP(Orders[[#This Row],[CustomerID]],Customers[CustomerID],Customers[City])</f>
        <v>California</v>
      </c>
      <c r="P518" t="str">
        <f>_xlfn.XLOOKUP(Orders[[#This Row],[CustomerID]],Customers[CustomerID],Customers[Gender])</f>
        <v>Male</v>
      </c>
      <c r="Q518">
        <f>_xlfn.XLOOKUP(Orders[[#This Row],[CustomerID]],Customers[CustomerID],Customers[CustomerAge])</f>
        <v>21</v>
      </c>
      <c r="R518" t="str">
        <f>IF(Orders[[#This Row],[CustomerAge]]&gt;=35, "Older", "Young")</f>
        <v>Young</v>
      </c>
      <c r="S518" t="str">
        <f>_xlfn.XLOOKUP(Orders[[#This Row],[ProductID]],Products[ProductID],Products[ProductName])</f>
        <v>Badminton Racket</v>
      </c>
      <c r="T518" t="str">
        <f>_xlfn.XLOOKUP(Orders[[#This Row],[ProductID]],Products[ProductID],Products[Category])</f>
        <v>Sports</v>
      </c>
    </row>
    <row r="519" spans="1:20" x14ac:dyDescent="0.25">
      <c r="A519" s="4" t="s">
        <v>705</v>
      </c>
      <c r="B519" s="5">
        <v>46022</v>
      </c>
      <c r="C519" s="15">
        <f>WEEKNUM(Orders[[#This Row],[OrderDate]])</f>
        <v>53</v>
      </c>
      <c r="D519" s="15" t="str">
        <f>TEXT(Orders[[#This Row],[OrderDate]],"mmmm")</f>
        <v>December</v>
      </c>
      <c r="E519" s="4" t="s">
        <v>285</v>
      </c>
      <c r="F519" s="4" t="s">
        <v>111</v>
      </c>
      <c r="G519" s="4">
        <v>10</v>
      </c>
      <c r="H519" s="12">
        <v>5516.2</v>
      </c>
      <c r="I519" s="13">
        <v>4688.7699999999995</v>
      </c>
      <c r="J519" s="13">
        <f>Orders[[#This Row],[Quantity]]*Orders[[#This Row],[Selling Price]]</f>
        <v>55162</v>
      </c>
      <c r="K519" s="13">
        <f>Orders[[#This Row],[Quantity]]*Orders[[#This Row],[Cost Price]]</f>
        <v>46887.7</v>
      </c>
      <c r="L519" s="13">
        <f>Orders[[#This Row],[Revenue]]-Orders[[#This Row],[Expenses]]</f>
        <v>8274.3000000000029</v>
      </c>
      <c r="M519" t="s">
        <v>2209</v>
      </c>
      <c r="N519" t="str">
        <f>_xlfn.XLOOKUP(Orders[[#This Row],[CustomerID]],Customers[CustomerID],Customers[CustomerName])</f>
        <v>Sani Balogun</v>
      </c>
      <c r="O519" t="str">
        <f>_xlfn.XLOOKUP(Orders[[#This Row],[CustomerID]],Customers[CustomerID],Customers[City])</f>
        <v>California</v>
      </c>
      <c r="P519" t="str">
        <f>_xlfn.XLOOKUP(Orders[[#This Row],[CustomerID]],Customers[CustomerID],Customers[Gender])</f>
        <v>Male</v>
      </c>
      <c r="Q519">
        <f>_xlfn.XLOOKUP(Orders[[#This Row],[CustomerID]],Customers[CustomerID],Customers[CustomerAge])</f>
        <v>27</v>
      </c>
      <c r="R519" t="str">
        <f>IF(Orders[[#This Row],[CustomerAge]]&gt;=35, "Older", "Young")</f>
        <v>Young</v>
      </c>
      <c r="S519" t="str">
        <f>_xlfn.XLOOKUP(Orders[[#This Row],[ProductID]],Products[ProductID],Products[ProductName])</f>
        <v>Refrigerator</v>
      </c>
      <c r="T519" t="str">
        <f>_xlfn.XLOOKUP(Orders[[#This Row],[ProductID]],Products[ProductID],Products[Category])</f>
        <v>Electronics</v>
      </c>
    </row>
    <row r="520" spans="1:20" x14ac:dyDescent="0.25">
      <c r="A520" s="4" t="s">
        <v>706</v>
      </c>
      <c r="B520" s="5">
        <v>46007</v>
      </c>
      <c r="C520" s="15">
        <f>WEEKNUM(Orders[[#This Row],[OrderDate]])</f>
        <v>51</v>
      </c>
      <c r="D520" s="15" t="str">
        <f>TEXT(Orders[[#This Row],[OrderDate]],"mmmm")</f>
        <v>December</v>
      </c>
      <c r="E520" s="4" t="s">
        <v>435</v>
      </c>
      <c r="F520" s="4" t="s">
        <v>111</v>
      </c>
      <c r="G520" s="4">
        <v>3</v>
      </c>
      <c r="H520" s="12">
        <v>3574.1000000000004</v>
      </c>
      <c r="I520" s="13">
        <v>3037.9850000000006</v>
      </c>
      <c r="J520" s="13">
        <f>Orders[[#This Row],[Quantity]]*Orders[[#This Row],[Selling Price]]</f>
        <v>10722.300000000001</v>
      </c>
      <c r="K520" s="13">
        <f>Orders[[#This Row],[Quantity]]*Orders[[#This Row],[Cost Price]]</f>
        <v>9113.9550000000017</v>
      </c>
      <c r="L520" s="13">
        <f>Orders[[#This Row],[Revenue]]-Orders[[#This Row],[Expenses]]</f>
        <v>1608.3449999999993</v>
      </c>
      <c r="M520" t="s">
        <v>2218</v>
      </c>
      <c r="N520" t="str">
        <f>_xlfn.XLOOKUP(Orders[[#This Row],[CustomerID]],Customers[CustomerID],Customers[CustomerName])</f>
        <v>Amina Balogun</v>
      </c>
      <c r="O520" t="str">
        <f>_xlfn.XLOOKUP(Orders[[#This Row],[CustomerID]],Customers[CustomerID],Customers[City])</f>
        <v>Texas</v>
      </c>
      <c r="P520" t="str">
        <f>_xlfn.XLOOKUP(Orders[[#This Row],[CustomerID]],Customers[CustomerID],Customers[Gender])</f>
        <v>Female</v>
      </c>
      <c r="Q520">
        <f>_xlfn.XLOOKUP(Orders[[#This Row],[CustomerID]],Customers[CustomerID],Customers[CustomerAge])</f>
        <v>32</v>
      </c>
      <c r="R520" t="str">
        <f>IF(Orders[[#This Row],[CustomerAge]]&gt;=35, "Older", "Young")</f>
        <v>Young</v>
      </c>
      <c r="S520" t="str">
        <f>_xlfn.XLOOKUP(Orders[[#This Row],[ProductID]],Products[ProductID],Products[ProductName])</f>
        <v>Refrigerator</v>
      </c>
      <c r="T520" t="str">
        <f>_xlfn.XLOOKUP(Orders[[#This Row],[ProductID]],Products[ProductID],Products[Category])</f>
        <v>Electronics</v>
      </c>
    </row>
    <row r="521" spans="1:20" x14ac:dyDescent="0.25">
      <c r="A521" s="4" t="s">
        <v>707</v>
      </c>
      <c r="B521" s="5">
        <v>46016</v>
      </c>
      <c r="C521" s="15">
        <f>WEEKNUM(Orders[[#This Row],[OrderDate]])</f>
        <v>52</v>
      </c>
      <c r="D521" s="15" t="str">
        <f>TEXT(Orders[[#This Row],[OrderDate]],"mmmm")</f>
        <v>December</v>
      </c>
      <c r="E521" s="4" t="s">
        <v>129</v>
      </c>
      <c r="F521" s="4" t="s">
        <v>57</v>
      </c>
      <c r="G521" s="4">
        <v>6</v>
      </c>
      <c r="H521" s="12">
        <v>11472.7</v>
      </c>
      <c r="I521" s="13">
        <v>9751.7950000000001</v>
      </c>
      <c r="J521" s="13">
        <f>Orders[[#This Row],[Quantity]]*Orders[[#This Row],[Selling Price]]</f>
        <v>68836.200000000012</v>
      </c>
      <c r="K521" s="13">
        <f>Orders[[#This Row],[Quantity]]*Orders[[#This Row],[Cost Price]]</f>
        <v>58510.770000000004</v>
      </c>
      <c r="L521" s="13">
        <f>Orders[[#This Row],[Revenue]]-Orders[[#This Row],[Expenses]]</f>
        <v>10325.430000000008</v>
      </c>
      <c r="M521" t="s">
        <v>2204</v>
      </c>
      <c r="N521" t="str">
        <f>_xlfn.XLOOKUP(Orders[[#This Row],[CustomerID]],Customers[CustomerID],Customers[CustomerName])</f>
        <v>Chioma Ojo</v>
      </c>
      <c r="O521" t="str">
        <f>_xlfn.XLOOKUP(Orders[[#This Row],[CustomerID]],Customers[CustomerID],Customers[City])</f>
        <v>Washington</v>
      </c>
      <c r="P521" t="str">
        <f>_xlfn.XLOOKUP(Orders[[#This Row],[CustomerID]],Customers[CustomerID],Customers[Gender])</f>
        <v>Female</v>
      </c>
      <c r="Q521">
        <f>_xlfn.XLOOKUP(Orders[[#This Row],[CustomerID]],Customers[CustomerID],Customers[CustomerAge])</f>
        <v>46</v>
      </c>
      <c r="R521" t="str">
        <f>IF(Orders[[#This Row],[CustomerAge]]&gt;=35, "Older", "Young")</f>
        <v>Older</v>
      </c>
      <c r="S521" t="str">
        <f>_xlfn.XLOOKUP(Orders[[#This Row],[ProductID]],Products[ProductID],Products[ProductName])</f>
        <v>Badminton Racket</v>
      </c>
      <c r="T521" t="str">
        <f>_xlfn.XLOOKUP(Orders[[#This Row],[ProductID]],Products[ProductID],Products[Category])</f>
        <v>Sports</v>
      </c>
    </row>
    <row r="522" spans="1:20" x14ac:dyDescent="0.25">
      <c r="A522" s="4" t="s">
        <v>708</v>
      </c>
      <c r="B522" s="5">
        <v>45988</v>
      </c>
      <c r="C522" s="15">
        <f>WEEKNUM(Orders[[#This Row],[OrderDate]])</f>
        <v>48</v>
      </c>
      <c r="D522" s="15" t="str">
        <f>TEXT(Orders[[#This Row],[OrderDate]],"mmmm")</f>
        <v>November</v>
      </c>
      <c r="E522" s="4" t="s">
        <v>73</v>
      </c>
      <c r="F522" s="4" t="s">
        <v>57</v>
      </c>
      <c r="G522" s="4">
        <v>5</v>
      </c>
      <c r="H522" s="12">
        <v>17506.300000000003</v>
      </c>
      <c r="I522" s="13">
        <v>14880.355000000003</v>
      </c>
      <c r="J522" s="13">
        <f>Orders[[#This Row],[Quantity]]*Orders[[#This Row],[Selling Price]]</f>
        <v>87531.500000000015</v>
      </c>
      <c r="K522" s="13">
        <f>Orders[[#This Row],[Quantity]]*Orders[[#This Row],[Cost Price]]</f>
        <v>74401.775000000023</v>
      </c>
      <c r="L522" s="13">
        <f>Orders[[#This Row],[Revenue]]-Orders[[#This Row],[Expenses]]</f>
        <v>13129.724999999991</v>
      </c>
      <c r="M522" t="s">
        <v>2202</v>
      </c>
      <c r="N522" t="str">
        <f>_xlfn.XLOOKUP(Orders[[#This Row],[CustomerID]],Customers[CustomerID],Customers[CustomerName])</f>
        <v>Ronke Okonkwo</v>
      </c>
      <c r="O522" t="str">
        <f>_xlfn.XLOOKUP(Orders[[#This Row],[CustomerID]],Customers[CustomerID],Customers[City])</f>
        <v>California</v>
      </c>
      <c r="P522" t="str">
        <f>_xlfn.XLOOKUP(Orders[[#This Row],[CustomerID]],Customers[CustomerID],Customers[Gender])</f>
        <v>Female</v>
      </c>
      <c r="Q522">
        <f>_xlfn.XLOOKUP(Orders[[#This Row],[CustomerID]],Customers[CustomerID],Customers[CustomerAge])</f>
        <v>20</v>
      </c>
      <c r="R522" t="str">
        <f>IF(Orders[[#This Row],[CustomerAge]]&gt;=35, "Older", "Young")</f>
        <v>Young</v>
      </c>
      <c r="S522" t="str">
        <f>_xlfn.XLOOKUP(Orders[[#This Row],[ProductID]],Products[ProductID],Products[ProductName])</f>
        <v>Badminton Racket</v>
      </c>
      <c r="T522" t="str">
        <f>_xlfn.XLOOKUP(Orders[[#This Row],[ProductID]],Products[ProductID],Products[Category])</f>
        <v>Sports</v>
      </c>
    </row>
    <row r="523" spans="1:20" x14ac:dyDescent="0.25">
      <c r="A523" s="4" t="s">
        <v>709</v>
      </c>
      <c r="B523" s="5">
        <v>45999</v>
      </c>
      <c r="C523" s="15">
        <f>WEEKNUM(Orders[[#This Row],[OrderDate]])</f>
        <v>50</v>
      </c>
      <c r="D523" s="15" t="str">
        <f>TEXT(Orders[[#This Row],[OrderDate]],"mmmm")</f>
        <v>December</v>
      </c>
      <c r="E523" s="4" t="s">
        <v>14</v>
      </c>
      <c r="F523" s="4" t="s">
        <v>81</v>
      </c>
      <c r="G523" s="4">
        <v>8</v>
      </c>
      <c r="H523" s="12">
        <v>13688.099999999999</v>
      </c>
      <c r="I523" s="13">
        <v>11634.884999999998</v>
      </c>
      <c r="J523" s="13">
        <f>Orders[[#This Row],[Quantity]]*Orders[[#This Row],[Selling Price]]</f>
        <v>109504.79999999999</v>
      </c>
      <c r="K523" s="13">
        <f>Orders[[#This Row],[Quantity]]*Orders[[#This Row],[Cost Price]]</f>
        <v>93079.079999999987</v>
      </c>
      <c r="L523" s="13">
        <f>Orders[[#This Row],[Revenue]]-Orders[[#This Row],[Expenses]]</f>
        <v>16425.72</v>
      </c>
      <c r="M523" t="s">
        <v>2212</v>
      </c>
      <c r="N523" t="str">
        <f>_xlfn.XLOOKUP(Orders[[#This Row],[CustomerID]],Customers[CustomerID],Customers[CustomerName])</f>
        <v>Abiola Igwe</v>
      </c>
      <c r="O523" t="str">
        <f>_xlfn.XLOOKUP(Orders[[#This Row],[CustomerID]],Customers[CustomerID],Customers[City])</f>
        <v>Texas</v>
      </c>
      <c r="P523" t="str">
        <f>_xlfn.XLOOKUP(Orders[[#This Row],[CustomerID]],Customers[CustomerID],Customers[Gender])</f>
        <v>Male</v>
      </c>
      <c r="Q523">
        <f>_xlfn.XLOOKUP(Orders[[#This Row],[CustomerID]],Customers[CustomerID],Customers[CustomerAge])</f>
        <v>39</v>
      </c>
      <c r="R523" t="str">
        <f>IF(Orders[[#This Row],[CustomerAge]]&gt;=35, "Older", "Young")</f>
        <v>Older</v>
      </c>
      <c r="S523" t="str">
        <f>_xlfn.XLOOKUP(Orders[[#This Row],[ProductID]],Products[ProductID],Products[ProductName])</f>
        <v>Trousers</v>
      </c>
      <c r="T523" t="str">
        <f>_xlfn.XLOOKUP(Orders[[#This Row],[ProductID]],Products[ProductID],Products[Category])</f>
        <v>Clothing</v>
      </c>
    </row>
    <row r="524" spans="1:20" x14ac:dyDescent="0.25">
      <c r="A524" s="4" t="s">
        <v>710</v>
      </c>
      <c r="B524" s="5">
        <v>46010</v>
      </c>
      <c r="C524" s="15">
        <f>WEEKNUM(Orders[[#This Row],[OrderDate]])</f>
        <v>51</v>
      </c>
      <c r="D524" s="15" t="str">
        <f>TEXT(Orders[[#This Row],[OrderDate]],"mmmm")</f>
        <v>December</v>
      </c>
      <c r="E524" s="4" t="s">
        <v>96</v>
      </c>
      <c r="F524" s="4" t="s">
        <v>63</v>
      </c>
      <c r="G524" s="4">
        <v>8</v>
      </c>
      <c r="H524" s="12">
        <v>15270.3</v>
      </c>
      <c r="I524" s="13">
        <v>12979.754999999999</v>
      </c>
      <c r="J524" s="13">
        <f>Orders[[#This Row],[Quantity]]*Orders[[#This Row],[Selling Price]]</f>
        <v>122162.4</v>
      </c>
      <c r="K524" s="13">
        <f>Orders[[#This Row],[Quantity]]*Orders[[#This Row],[Cost Price]]</f>
        <v>103838.04</v>
      </c>
      <c r="L524" s="13">
        <f>Orders[[#This Row],[Revenue]]-Orders[[#This Row],[Expenses]]</f>
        <v>18324.36</v>
      </c>
      <c r="M524" t="s">
        <v>2199</v>
      </c>
      <c r="N524" t="str">
        <f>_xlfn.XLOOKUP(Orders[[#This Row],[CustomerID]],Customers[CustomerID],Customers[CustomerName])</f>
        <v>Amina Abubakar</v>
      </c>
      <c r="O524" t="str">
        <f>_xlfn.XLOOKUP(Orders[[#This Row],[CustomerID]],Customers[CustomerID],Customers[City])</f>
        <v>Texas</v>
      </c>
      <c r="P524" t="str">
        <f>_xlfn.XLOOKUP(Orders[[#This Row],[CustomerID]],Customers[CustomerID],Customers[Gender])</f>
        <v>Female</v>
      </c>
      <c r="Q524">
        <f>_xlfn.XLOOKUP(Orders[[#This Row],[CustomerID]],Customers[CustomerID],Customers[CustomerAge])</f>
        <v>35</v>
      </c>
      <c r="R524" t="str">
        <f>IF(Orders[[#This Row],[CustomerAge]]&gt;=35, "Older", "Young")</f>
        <v>Older</v>
      </c>
      <c r="S524" t="str">
        <f>_xlfn.XLOOKUP(Orders[[#This Row],[ProductID]],Products[ProductID],Products[ProductName])</f>
        <v>Tennis Bat</v>
      </c>
      <c r="T524" t="str">
        <f>_xlfn.XLOOKUP(Orders[[#This Row],[ProductID]],Products[ProductID],Products[Category])</f>
        <v>Sports</v>
      </c>
    </row>
    <row r="525" spans="1:20" x14ac:dyDescent="0.25">
      <c r="A525" s="4" t="s">
        <v>711</v>
      </c>
      <c r="B525" s="5">
        <v>45950</v>
      </c>
      <c r="C525" s="15">
        <f>WEEKNUM(Orders[[#This Row],[OrderDate]])</f>
        <v>43</v>
      </c>
      <c r="D525" s="15" t="str">
        <f>TEXT(Orders[[#This Row],[OrderDate]],"mmmm")</f>
        <v>October</v>
      </c>
      <c r="E525" s="4" t="s">
        <v>210</v>
      </c>
      <c r="F525" s="4" t="s">
        <v>189</v>
      </c>
      <c r="G525" s="4">
        <v>2</v>
      </c>
      <c r="H525" s="12">
        <v>8930.2000000000007</v>
      </c>
      <c r="I525" s="13">
        <v>7590.670000000001</v>
      </c>
      <c r="J525" s="13">
        <f>Orders[[#This Row],[Quantity]]*Orders[[#This Row],[Selling Price]]</f>
        <v>17860.400000000001</v>
      </c>
      <c r="K525" s="13">
        <f>Orders[[#This Row],[Quantity]]*Orders[[#This Row],[Cost Price]]</f>
        <v>15181.340000000002</v>
      </c>
      <c r="L525" s="13">
        <f>Orders[[#This Row],[Revenue]]-Orders[[#This Row],[Expenses]]</f>
        <v>2679.0599999999995</v>
      </c>
      <c r="M525" t="s">
        <v>2205</v>
      </c>
      <c r="N525" t="str">
        <f>_xlfn.XLOOKUP(Orders[[#This Row],[CustomerID]],Customers[CustomerID],Customers[CustomerName])</f>
        <v>Zainab Bello</v>
      </c>
      <c r="O525" t="str">
        <f>_xlfn.XLOOKUP(Orders[[#This Row],[CustomerID]],Customers[CustomerID],Customers[City])</f>
        <v>Illinois</v>
      </c>
      <c r="P525" t="str">
        <f>_xlfn.XLOOKUP(Orders[[#This Row],[CustomerID]],Customers[CustomerID],Customers[Gender])</f>
        <v>Female</v>
      </c>
      <c r="Q525">
        <f>_xlfn.XLOOKUP(Orders[[#This Row],[CustomerID]],Customers[CustomerID],Customers[CustomerAge])</f>
        <v>27</v>
      </c>
      <c r="R525" t="str">
        <f>IF(Orders[[#This Row],[CustomerAge]]&gt;=35, "Older", "Young")</f>
        <v>Young</v>
      </c>
      <c r="S525" t="str">
        <f>_xlfn.XLOOKUP(Orders[[#This Row],[ProductID]],Products[ProductID],Products[ProductName])</f>
        <v>Scrabble</v>
      </c>
      <c r="T525" t="str">
        <f>_xlfn.XLOOKUP(Orders[[#This Row],[ProductID]],Products[ProductID],Products[Category])</f>
        <v>Games</v>
      </c>
    </row>
    <row r="526" spans="1:20" x14ac:dyDescent="0.25">
      <c r="A526" s="4" t="s">
        <v>712</v>
      </c>
      <c r="B526" s="5">
        <v>46019</v>
      </c>
      <c r="C526" s="15">
        <f>WEEKNUM(Orders[[#This Row],[OrderDate]])</f>
        <v>53</v>
      </c>
      <c r="D526" s="15" t="str">
        <f>TEXT(Orders[[#This Row],[OrderDate]],"mmmm")</f>
        <v>December</v>
      </c>
      <c r="E526" s="4" t="s">
        <v>552</v>
      </c>
      <c r="F526" s="4" t="s">
        <v>60</v>
      </c>
      <c r="G526" s="4">
        <v>9</v>
      </c>
      <c r="H526" s="12">
        <v>14968.5</v>
      </c>
      <c r="I526" s="13">
        <v>12723.225</v>
      </c>
      <c r="J526" s="13">
        <f>Orders[[#This Row],[Quantity]]*Orders[[#This Row],[Selling Price]]</f>
        <v>134716.5</v>
      </c>
      <c r="K526" s="13">
        <f>Orders[[#This Row],[Quantity]]*Orders[[#This Row],[Cost Price]]</f>
        <v>114509.02500000001</v>
      </c>
      <c r="L526" s="13">
        <f>Orders[[#This Row],[Revenue]]-Orders[[#This Row],[Expenses]]</f>
        <v>20207.474999999991</v>
      </c>
      <c r="M526" t="s">
        <v>2204</v>
      </c>
      <c r="N526" t="str">
        <f>_xlfn.XLOOKUP(Orders[[#This Row],[CustomerID]],Customers[CustomerID],Customers[CustomerName])</f>
        <v>Chioma Eze</v>
      </c>
      <c r="O526" t="str">
        <f>_xlfn.XLOOKUP(Orders[[#This Row],[CustomerID]],Customers[CustomerID],Customers[City])</f>
        <v>Georgia</v>
      </c>
      <c r="P526" t="str">
        <f>_xlfn.XLOOKUP(Orders[[#This Row],[CustomerID]],Customers[CustomerID],Customers[Gender])</f>
        <v>Female</v>
      </c>
      <c r="Q526">
        <f>_xlfn.XLOOKUP(Orders[[#This Row],[CustomerID]],Customers[CustomerID],Customers[CustomerAge])</f>
        <v>40</v>
      </c>
      <c r="R526" t="str">
        <f>IF(Orders[[#This Row],[CustomerAge]]&gt;=35, "Older", "Young")</f>
        <v>Older</v>
      </c>
      <c r="S526" t="str">
        <f>_xlfn.XLOOKUP(Orders[[#This Row],[ProductID]],Products[ProductID],Products[ProductName])</f>
        <v>Silver Rings</v>
      </c>
      <c r="T526" t="str">
        <f>_xlfn.XLOOKUP(Orders[[#This Row],[ProductID]],Products[ProductID],Products[Category])</f>
        <v>Accessories</v>
      </c>
    </row>
    <row r="527" spans="1:20" x14ac:dyDescent="0.25">
      <c r="A527" s="4" t="s">
        <v>713</v>
      </c>
      <c r="B527" s="5">
        <v>45958</v>
      </c>
      <c r="C527" s="15">
        <f>WEEKNUM(Orders[[#This Row],[OrderDate]])</f>
        <v>44</v>
      </c>
      <c r="D527" s="15" t="str">
        <f>TEXT(Orders[[#This Row],[OrderDate]],"mmmm")</f>
        <v>October</v>
      </c>
      <c r="E527" s="4" t="s">
        <v>140</v>
      </c>
      <c r="F527" s="4" t="s">
        <v>81</v>
      </c>
      <c r="G527" s="4">
        <v>5</v>
      </c>
      <c r="H527" s="12">
        <v>3043</v>
      </c>
      <c r="I527" s="13">
        <v>2586.5500000000002</v>
      </c>
      <c r="J527" s="13">
        <f>Orders[[#This Row],[Quantity]]*Orders[[#This Row],[Selling Price]]</f>
        <v>15215</v>
      </c>
      <c r="K527" s="13">
        <f>Orders[[#This Row],[Quantity]]*Orders[[#This Row],[Cost Price]]</f>
        <v>12932.75</v>
      </c>
      <c r="L527" s="13">
        <f>Orders[[#This Row],[Revenue]]-Orders[[#This Row],[Expenses]]</f>
        <v>2282.25</v>
      </c>
      <c r="M527" t="s">
        <v>2206</v>
      </c>
      <c r="N527" t="str">
        <f>_xlfn.XLOOKUP(Orders[[#This Row],[CustomerID]],Customers[CustomerID],Customers[CustomerName])</f>
        <v>Tunde Igwe</v>
      </c>
      <c r="O527" t="str">
        <f>_xlfn.XLOOKUP(Orders[[#This Row],[CustomerID]],Customers[CustomerID],Customers[City])</f>
        <v>Washington</v>
      </c>
      <c r="P527" t="str">
        <f>_xlfn.XLOOKUP(Orders[[#This Row],[CustomerID]],Customers[CustomerID],Customers[Gender])</f>
        <v>Male</v>
      </c>
      <c r="Q527">
        <f>_xlfn.XLOOKUP(Orders[[#This Row],[CustomerID]],Customers[CustomerID],Customers[CustomerAge])</f>
        <v>20</v>
      </c>
      <c r="R527" t="str">
        <f>IF(Orders[[#This Row],[CustomerAge]]&gt;=35, "Older", "Young")</f>
        <v>Young</v>
      </c>
      <c r="S527" t="str">
        <f>_xlfn.XLOOKUP(Orders[[#This Row],[ProductID]],Products[ProductID],Products[ProductName])</f>
        <v>Trousers</v>
      </c>
      <c r="T527" t="str">
        <f>_xlfn.XLOOKUP(Orders[[#This Row],[ProductID]],Products[ProductID],Products[Category])</f>
        <v>Clothing</v>
      </c>
    </row>
    <row r="528" spans="1:20" x14ac:dyDescent="0.25">
      <c r="A528" s="4" t="s">
        <v>714</v>
      </c>
      <c r="B528" s="5">
        <v>45989</v>
      </c>
      <c r="C528" s="15">
        <f>WEEKNUM(Orders[[#This Row],[OrderDate]])</f>
        <v>48</v>
      </c>
      <c r="D528" s="15" t="str">
        <f>TEXT(Orders[[#This Row],[OrderDate]],"mmmm")</f>
        <v>November</v>
      </c>
      <c r="E528" s="4" t="s">
        <v>43</v>
      </c>
      <c r="F528" s="4" t="s">
        <v>76</v>
      </c>
      <c r="G528" s="4">
        <v>2</v>
      </c>
      <c r="H528" s="12">
        <v>16924.100000000002</v>
      </c>
      <c r="I528" s="13">
        <v>14385.485000000002</v>
      </c>
      <c r="J528" s="13">
        <f>Orders[[#This Row],[Quantity]]*Orders[[#This Row],[Selling Price]]</f>
        <v>33848.200000000004</v>
      </c>
      <c r="K528" s="13">
        <f>Orders[[#This Row],[Quantity]]*Orders[[#This Row],[Cost Price]]</f>
        <v>28770.970000000005</v>
      </c>
      <c r="L528" s="13">
        <f>Orders[[#This Row],[Revenue]]-Orders[[#This Row],[Expenses]]</f>
        <v>5077.2299999999996</v>
      </c>
      <c r="M528" t="s">
        <v>2192</v>
      </c>
      <c r="N528" t="str">
        <f>_xlfn.XLOOKUP(Orders[[#This Row],[CustomerID]],Customers[CustomerID],Customers[CustomerName])</f>
        <v>Mustafa Danladi</v>
      </c>
      <c r="O528" t="str">
        <f>_xlfn.XLOOKUP(Orders[[#This Row],[CustomerID]],Customers[CustomerID],Customers[City])</f>
        <v>Georgia</v>
      </c>
      <c r="P528" t="str">
        <f>_xlfn.XLOOKUP(Orders[[#This Row],[CustomerID]],Customers[CustomerID],Customers[Gender])</f>
        <v>Male</v>
      </c>
      <c r="Q528">
        <f>_xlfn.XLOOKUP(Orders[[#This Row],[CustomerID]],Customers[CustomerID],Customers[CustomerAge])</f>
        <v>49</v>
      </c>
      <c r="R528" t="str">
        <f>IF(Orders[[#This Row],[CustomerAge]]&gt;=35, "Older", "Young")</f>
        <v>Older</v>
      </c>
      <c r="S528" t="str">
        <f>_xlfn.XLOOKUP(Orders[[#This Row],[ProductID]],Products[ProductID],Products[ProductName])</f>
        <v>Blender</v>
      </c>
      <c r="T528" t="str">
        <f>_xlfn.XLOOKUP(Orders[[#This Row],[ProductID]],Products[ProductID],Products[Category])</f>
        <v>Electronics</v>
      </c>
    </row>
    <row r="529" spans="1:20" x14ac:dyDescent="0.25">
      <c r="A529" s="4" t="s">
        <v>715</v>
      </c>
      <c r="B529" s="5">
        <v>45987</v>
      </c>
      <c r="C529" s="15">
        <f>WEEKNUM(Orders[[#This Row],[OrderDate]])</f>
        <v>48</v>
      </c>
      <c r="D529" s="15" t="str">
        <f>TEXT(Orders[[#This Row],[OrderDate]],"mmmm")</f>
        <v>November</v>
      </c>
      <c r="E529" s="4" t="s">
        <v>41</v>
      </c>
      <c r="F529" s="4" t="s">
        <v>15</v>
      </c>
      <c r="G529" s="4">
        <v>9</v>
      </c>
      <c r="H529" s="12">
        <v>13159.2</v>
      </c>
      <c r="I529" s="13">
        <v>11185.32</v>
      </c>
      <c r="J529" s="13">
        <f>Orders[[#This Row],[Quantity]]*Orders[[#This Row],[Selling Price]]</f>
        <v>118432.8</v>
      </c>
      <c r="K529" s="13">
        <f>Orders[[#This Row],[Quantity]]*Orders[[#This Row],[Cost Price]]</f>
        <v>100667.88</v>
      </c>
      <c r="L529" s="13">
        <f>Orders[[#This Row],[Revenue]]-Orders[[#This Row],[Expenses]]</f>
        <v>17764.919999999998</v>
      </c>
      <c r="M529" t="s">
        <v>2212</v>
      </c>
      <c r="N529" t="str">
        <f>_xlfn.XLOOKUP(Orders[[#This Row],[CustomerID]],Customers[CustomerID],Customers[CustomerName])</f>
        <v>Mustafa Balogun</v>
      </c>
      <c r="O529" t="str">
        <f>_xlfn.XLOOKUP(Orders[[#This Row],[CustomerID]],Customers[CustomerID],Customers[City])</f>
        <v>Texas</v>
      </c>
      <c r="P529" t="str">
        <f>_xlfn.XLOOKUP(Orders[[#This Row],[CustomerID]],Customers[CustomerID],Customers[Gender])</f>
        <v>Male</v>
      </c>
      <c r="Q529">
        <f>_xlfn.XLOOKUP(Orders[[#This Row],[CustomerID]],Customers[CustomerID],Customers[CustomerAge])</f>
        <v>40</v>
      </c>
      <c r="R529" t="str">
        <f>IF(Orders[[#This Row],[CustomerAge]]&gt;=35, "Older", "Young")</f>
        <v>Older</v>
      </c>
      <c r="S529" t="str">
        <f>_xlfn.XLOOKUP(Orders[[#This Row],[ProductID]],Products[ProductID],Products[ProductName])</f>
        <v>Monopoly</v>
      </c>
      <c r="T529" t="str">
        <f>_xlfn.XLOOKUP(Orders[[#This Row],[ProductID]],Products[ProductID],Products[Category])</f>
        <v>Games</v>
      </c>
    </row>
    <row r="530" spans="1:20" x14ac:dyDescent="0.25">
      <c r="A530" s="4" t="s">
        <v>716</v>
      </c>
      <c r="B530" s="5">
        <v>46014</v>
      </c>
      <c r="C530" s="15">
        <f>WEEKNUM(Orders[[#This Row],[OrderDate]])</f>
        <v>52</v>
      </c>
      <c r="D530" s="15" t="str">
        <f>TEXT(Orders[[#This Row],[OrderDate]],"mmmm")</f>
        <v>December</v>
      </c>
      <c r="E530" s="4" t="s">
        <v>75</v>
      </c>
      <c r="F530" s="4" t="s">
        <v>92</v>
      </c>
      <c r="G530" s="4">
        <v>10</v>
      </c>
      <c r="H530" s="12">
        <v>15050.599999999999</v>
      </c>
      <c r="I530" s="13">
        <v>12793.009999999998</v>
      </c>
      <c r="J530" s="13">
        <f>Orders[[#This Row],[Quantity]]*Orders[[#This Row],[Selling Price]]</f>
        <v>150506</v>
      </c>
      <c r="K530" s="13">
        <f>Orders[[#This Row],[Quantity]]*Orders[[#This Row],[Cost Price]]</f>
        <v>127930.09999999998</v>
      </c>
      <c r="L530" s="13">
        <f>Orders[[#This Row],[Revenue]]-Orders[[#This Row],[Expenses]]</f>
        <v>22575.900000000023</v>
      </c>
      <c r="M530" t="s">
        <v>2209</v>
      </c>
      <c r="N530" t="str">
        <f>_xlfn.XLOOKUP(Orders[[#This Row],[CustomerID]],Customers[CustomerID],Customers[CustomerName])</f>
        <v>Tunde Danladi</v>
      </c>
      <c r="O530" t="str">
        <f>_xlfn.XLOOKUP(Orders[[#This Row],[CustomerID]],Customers[CustomerID],Customers[City])</f>
        <v>Texas</v>
      </c>
      <c r="P530" t="str">
        <f>_xlfn.XLOOKUP(Orders[[#This Row],[CustomerID]],Customers[CustomerID],Customers[Gender])</f>
        <v>Male</v>
      </c>
      <c r="Q530">
        <f>_xlfn.XLOOKUP(Orders[[#This Row],[CustomerID]],Customers[CustomerID],Customers[CustomerAge])</f>
        <v>47</v>
      </c>
      <c r="R530" t="str">
        <f>IF(Orders[[#This Row],[CustomerAge]]&gt;=35, "Older", "Young")</f>
        <v>Older</v>
      </c>
      <c r="S530" t="str">
        <f>_xlfn.XLOOKUP(Orders[[#This Row],[ProductID]],Products[ProductID],Products[ProductName])</f>
        <v>Chest Expander</v>
      </c>
      <c r="T530" t="str">
        <f>_xlfn.XLOOKUP(Orders[[#This Row],[ProductID]],Products[ProductID],Products[Category])</f>
        <v>Gym</v>
      </c>
    </row>
    <row r="531" spans="1:20" x14ac:dyDescent="0.25">
      <c r="A531" s="4" t="s">
        <v>717</v>
      </c>
      <c r="B531" s="5">
        <v>45949</v>
      </c>
      <c r="C531" s="15">
        <f>WEEKNUM(Orders[[#This Row],[OrderDate]])</f>
        <v>43</v>
      </c>
      <c r="D531" s="15" t="str">
        <f>TEXT(Orders[[#This Row],[OrderDate]],"mmmm")</f>
        <v>October</v>
      </c>
      <c r="E531" s="4" t="s">
        <v>302</v>
      </c>
      <c r="F531" s="4" t="s">
        <v>34</v>
      </c>
      <c r="G531" s="4">
        <v>3</v>
      </c>
      <c r="H531" s="12">
        <v>16137</v>
      </c>
      <c r="I531" s="13">
        <v>13716.45</v>
      </c>
      <c r="J531" s="13">
        <f>Orders[[#This Row],[Quantity]]*Orders[[#This Row],[Selling Price]]</f>
        <v>48411</v>
      </c>
      <c r="K531" s="13">
        <f>Orders[[#This Row],[Quantity]]*Orders[[#This Row],[Cost Price]]</f>
        <v>41149.350000000006</v>
      </c>
      <c r="L531" s="13">
        <f>Orders[[#This Row],[Revenue]]-Orders[[#This Row],[Expenses]]</f>
        <v>7261.6499999999942</v>
      </c>
      <c r="M531" t="s">
        <v>2217</v>
      </c>
      <c r="N531" t="str">
        <f>_xlfn.XLOOKUP(Orders[[#This Row],[CustomerID]],Customers[CustomerID],Customers[CustomerName])</f>
        <v>Sani Bello</v>
      </c>
      <c r="O531" t="str">
        <f>_xlfn.XLOOKUP(Orders[[#This Row],[CustomerID]],Customers[CustomerID],Customers[City])</f>
        <v>Washington</v>
      </c>
      <c r="P531" t="str">
        <f>_xlfn.XLOOKUP(Orders[[#This Row],[CustomerID]],Customers[CustomerID],Customers[Gender])</f>
        <v>Male</v>
      </c>
      <c r="Q531">
        <f>_xlfn.XLOOKUP(Orders[[#This Row],[CustomerID]],Customers[CustomerID],Customers[CustomerAge])</f>
        <v>23</v>
      </c>
      <c r="R531" t="str">
        <f>IF(Orders[[#This Row],[CustomerAge]]&gt;=35, "Older", "Young")</f>
        <v>Young</v>
      </c>
      <c r="S531" t="str">
        <f>_xlfn.XLOOKUP(Orders[[#This Row],[ProductID]],Products[ProductID],Products[ProductName])</f>
        <v>Gold Bracelets</v>
      </c>
      <c r="T531" t="str">
        <f>_xlfn.XLOOKUP(Orders[[#This Row],[ProductID]],Products[ProductID],Products[Category])</f>
        <v>Accessories</v>
      </c>
    </row>
    <row r="532" spans="1:20" x14ac:dyDescent="0.25">
      <c r="A532" s="4" t="s">
        <v>718</v>
      </c>
      <c r="B532" s="5">
        <v>45976</v>
      </c>
      <c r="C532" s="15">
        <f>WEEKNUM(Orders[[#This Row],[OrderDate]])</f>
        <v>46</v>
      </c>
      <c r="D532" s="15" t="str">
        <f>TEXT(Orders[[#This Row],[OrderDate]],"mmmm")</f>
        <v>November</v>
      </c>
      <c r="E532" s="4" t="s">
        <v>258</v>
      </c>
      <c r="F532" s="4" t="s">
        <v>63</v>
      </c>
      <c r="G532" s="4">
        <v>9</v>
      </c>
      <c r="H532" s="12">
        <v>19794.900000000001</v>
      </c>
      <c r="I532" s="13">
        <v>16825.665000000001</v>
      </c>
      <c r="J532" s="13">
        <f>Orders[[#This Row],[Quantity]]*Orders[[#This Row],[Selling Price]]</f>
        <v>178154.1</v>
      </c>
      <c r="K532" s="13">
        <f>Orders[[#This Row],[Quantity]]*Orders[[#This Row],[Cost Price]]</f>
        <v>151430.98500000002</v>
      </c>
      <c r="L532" s="13">
        <f>Orders[[#This Row],[Revenue]]-Orders[[#This Row],[Expenses]]</f>
        <v>26723.114999999991</v>
      </c>
      <c r="M532" t="s">
        <v>2204</v>
      </c>
      <c r="N532" t="str">
        <f>_xlfn.XLOOKUP(Orders[[#This Row],[CustomerID]],Customers[CustomerID],Customers[CustomerName])</f>
        <v>Sani Abubakar</v>
      </c>
      <c r="O532" t="str">
        <f>_xlfn.XLOOKUP(Orders[[#This Row],[CustomerID]],Customers[CustomerID],Customers[City])</f>
        <v>Washington</v>
      </c>
      <c r="P532" t="str">
        <f>_xlfn.XLOOKUP(Orders[[#This Row],[CustomerID]],Customers[CustomerID],Customers[Gender])</f>
        <v>Male</v>
      </c>
      <c r="Q532">
        <f>_xlfn.XLOOKUP(Orders[[#This Row],[CustomerID]],Customers[CustomerID],Customers[CustomerAge])</f>
        <v>37</v>
      </c>
      <c r="R532" t="str">
        <f>IF(Orders[[#This Row],[CustomerAge]]&gt;=35, "Older", "Young")</f>
        <v>Older</v>
      </c>
      <c r="S532" t="str">
        <f>_xlfn.XLOOKUP(Orders[[#This Row],[ProductID]],Products[ProductID],Products[ProductName])</f>
        <v>Tennis Bat</v>
      </c>
      <c r="T532" t="str">
        <f>_xlfn.XLOOKUP(Orders[[#This Row],[ProductID]],Products[ProductID],Products[Category])</f>
        <v>Sports</v>
      </c>
    </row>
    <row r="533" spans="1:20" x14ac:dyDescent="0.25">
      <c r="A533" s="4" t="s">
        <v>719</v>
      </c>
      <c r="B533" s="5">
        <v>45980</v>
      </c>
      <c r="C533" s="15">
        <f>WEEKNUM(Orders[[#This Row],[OrderDate]])</f>
        <v>47</v>
      </c>
      <c r="D533" s="15" t="str">
        <f>TEXT(Orders[[#This Row],[OrderDate]],"mmmm")</f>
        <v>November</v>
      </c>
      <c r="E533" s="4" t="s">
        <v>343</v>
      </c>
      <c r="F533" s="4" t="s">
        <v>31</v>
      </c>
      <c r="G533" s="4">
        <v>1</v>
      </c>
      <c r="H533" s="12">
        <v>9986.6</v>
      </c>
      <c r="I533" s="13">
        <v>8488.61</v>
      </c>
      <c r="J533" s="13">
        <f>Orders[[#This Row],[Quantity]]*Orders[[#This Row],[Selling Price]]</f>
        <v>9986.6</v>
      </c>
      <c r="K533" s="13">
        <f>Orders[[#This Row],[Quantity]]*Orders[[#This Row],[Cost Price]]</f>
        <v>8488.61</v>
      </c>
      <c r="L533" s="13">
        <f>Orders[[#This Row],[Revenue]]-Orders[[#This Row],[Expenses]]</f>
        <v>1497.9899999999998</v>
      </c>
      <c r="M533" t="s">
        <v>2213</v>
      </c>
      <c r="N533" t="str">
        <f>_xlfn.XLOOKUP(Orders[[#This Row],[CustomerID]],Customers[CustomerID],Customers[CustomerName])</f>
        <v>Ronke Obi</v>
      </c>
      <c r="O533" t="str">
        <f>_xlfn.XLOOKUP(Orders[[#This Row],[CustomerID]],Customers[CustomerID],Customers[City])</f>
        <v>Washington</v>
      </c>
      <c r="P533" t="str">
        <f>_xlfn.XLOOKUP(Orders[[#This Row],[CustomerID]],Customers[CustomerID],Customers[Gender])</f>
        <v>Female</v>
      </c>
      <c r="Q533">
        <f>_xlfn.XLOOKUP(Orders[[#This Row],[CustomerID]],Customers[CustomerID],Customers[CustomerAge])</f>
        <v>31</v>
      </c>
      <c r="R533" t="str">
        <f>IF(Orders[[#This Row],[CustomerAge]]&gt;=35, "Older", "Young")</f>
        <v>Young</v>
      </c>
      <c r="S533" t="str">
        <f>_xlfn.XLOOKUP(Orders[[#This Row],[ProductID]],Products[ProductID],Products[ProductName])</f>
        <v>Kids Games</v>
      </c>
      <c r="T533" t="str">
        <f>_xlfn.XLOOKUP(Orders[[#This Row],[ProductID]],Products[ProductID],Products[Category])</f>
        <v>Games</v>
      </c>
    </row>
    <row r="534" spans="1:20" x14ac:dyDescent="0.25">
      <c r="A534" s="4" t="s">
        <v>720</v>
      </c>
      <c r="B534" s="5">
        <v>45994</v>
      </c>
      <c r="C534" s="15">
        <f>WEEKNUM(Orders[[#This Row],[OrderDate]])</f>
        <v>49</v>
      </c>
      <c r="D534" s="15" t="str">
        <f>TEXT(Orders[[#This Row],[OrderDate]],"mmmm")</f>
        <v>December</v>
      </c>
      <c r="E534" s="4" t="s">
        <v>252</v>
      </c>
      <c r="F534" s="4" t="s">
        <v>111</v>
      </c>
      <c r="G534" s="4">
        <v>5</v>
      </c>
      <c r="H534" s="12">
        <v>19649.5</v>
      </c>
      <c r="I534" s="13">
        <v>16702.075000000001</v>
      </c>
      <c r="J534" s="13">
        <f>Orders[[#This Row],[Quantity]]*Orders[[#This Row],[Selling Price]]</f>
        <v>98247.5</v>
      </c>
      <c r="K534" s="13">
        <f>Orders[[#This Row],[Quantity]]*Orders[[#This Row],[Cost Price]]</f>
        <v>83510.375</v>
      </c>
      <c r="L534" s="13">
        <f>Orders[[#This Row],[Revenue]]-Orders[[#This Row],[Expenses]]</f>
        <v>14737.125</v>
      </c>
      <c r="M534" t="s">
        <v>2199</v>
      </c>
      <c r="N534" t="str">
        <f>_xlfn.XLOOKUP(Orders[[#This Row],[CustomerID]],Customers[CustomerID],Customers[CustomerName])</f>
        <v>Chioma Adeyemi</v>
      </c>
      <c r="O534" t="str">
        <f>_xlfn.XLOOKUP(Orders[[#This Row],[CustomerID]],Customers[CustomerID],Customers[City])</f>
        <v>Texas</v>
      </c>
      <c r="P534" t="str">
        <f>_xlfn.XLOOKUP(Orders[[#This Row],[CustomerID]],Customers[CustomerID],Customers[Gender])</f>
        <v>Female</v>
      </c>
      <c r="Q534">
        <f>_xlfn.XLOOKUP(Orders[[#This Row],[CustomerID]],Customers[CustomerID],Customers[CustomerAge])</f>
        <v>20</v>
      </c>
      <c r="R534" t="str">
        <f>IF(Orders[[#This Row],[CustomerAge]]&gt;=35, "Older", "Young")</f>
        <v>Young</v>
      </c>
      <c r="S534" t="str">
        <f>_xlfn.XLOOKUP(Orders[[#This Row],[ProductID]],Products[ProductID],Products[ProductName])</f>
        <v>Refrigerator</v>
      </c>
      <c r="T534" t="str">
        <f>_xlfn.XLOOKUP(Orders[[#This Row],[ProductID]],Products[ProductID],Products[Category])</f>
        <v>Electronics</v>
      </c>
    </row>
    <row r="535" spans="1:20" x14ac:dyDescent="0.25">
      <c r="A535" s="4" t="s">
        <v>721</v>
      </c>
      <c r="B535" s="5">
        <v>45980</v>
      </c>
      <c r="C535" s="15">
        <f>WEEKNUM(Orders[[#This Row],[OrderDate]])</f>
        <v>47</v>
      </c>
      <c r="D535" s="15" t="str">
        <f>TEXT(Orders[[#This Row],[OrderDate]],"mmmm")</f>
        <v>November</v>
      </c>
      <c r="E535" s="4" t="s">
        <v>140</v>
      </c>
      <c r="F535" s="4" t="s">
        <v>15</v>
      </c>
      <c r="G535" s="4">
        <v>7</v>
      </c>
      <c r="H535" s="12">
        <v>1621.1000000000001</v>
      </c>
      <c r="I535" s="13">
        <v>1377.9350000000002</v>
      </c>
      <c r="J535" s="13">
        <f>Orders[[#This Row],[Quantity]]*Orders[[#This Row],[Selling Price]]</f>
        <v>11347.7</v>
      </c>
      <c r="K535" s="13">
        <f>Orders[[#This Row],[Quantity]]*Orders[[#This Row],[Cost Price]]</f>
        <v>9645.5450000000019</v>
      </c>
      <c r="L535" s="13">
        <f>Orders[[#This Row],[Revenue]]-Orders[[#This Row],[Expenses]]</f>
        <v>1702.1549999999988</v>
      </c>
      <c r="M535" t="s">
        <v>2198</v>
      </c>
      <c r="N535" t="str">
        <f>_xlfn.XLOOKUP(Orders[[#This Row],[CustomerID]],Customers[CustomerID],Customers[CustomerName])</f>
        <v>Tunde Igwe</v>
      </c>
      <c r="O535" t="str">
        <f>_xlfn.XLOOKUP(Orders[[#This Row],[CustomerID]],Customers[CustomerID],Customers[City])</f>
        <v>Washington</v>
      </c>
      <c r="P535" t="str">
        <f>_xlfn.XLOOKUP(Orders[[#This Row],[CustomerID]],Customers[CustomerID],Customers[Gender])</f>
        <v>Male</v>
      </c>
      <c r="Q535">
        <f>_xlfn.XLOOKUP(Orders[[#This Row],[CustomerID]],Customers[CustomerID],Customers[CustomerAge])</f>
        <v>20</v>
      </c>
      <c r="R535" t="str">
        <f>IF(Orders[[#This Row],[CustomerAge]]&gt;=35, "Older", "Young")</f>
        <v>Young</v>
      </c>
      <c r="S535" t="str">
        <f>_xlfn.XLOOKUP(Orders[[#This Row],[ProductID]],Products[ProductID],Products[ProductName])</f>
        <v>Monopoly</v>
      </c>
      <c r="T535" t="str">
        <f>_xlfn.XLOOKUP(Orders[[#This Row],[ProductID]],Products[ProductID],Products[Category])</f>
        <v>Games</v>
      </c>
    </row>
    <row r="536" spans="1:20" x14ac:dyDescent="0.25">
      <c r="A536" s="4" t="s">
        <v>722</v>
      </c>
      <c r="B536" s="5">
        <v>45974</v>
      </c>
      <c r="C536" s="15">
        <f>WEEKNUM(Orders[[#This Row],[OrderDate]])</f>
        <v>46</v>
      </c>
      <c r="D536" s="15" t="str">
        <f>TEXT(Orders[[#This Row],[OrderDate]],"mmmm")</f>
        <v>November</v>
      </c>
      <c r="E536" s="4" t="s">
        <v>207</v>
      </c>
      <c r="F536" s="4" t="s">
        <v>111</v>
      </c>
      <c r="G536" s="4">
        <v>10</v>
      </c>
      <c r="H536" s="12">
        <v>590.29999999999995</v>
      </c>
      <c r="I536" s="13">
        <v>501.755</v>
      </c>
      <c r="J536" s="13">
        <f>Orders[[#This Row],[Quantity]]*Orders[[#This Row],[Selling Price]]</f>
        <v>5903</v>
      </c>
      <c r="K536" s="13">
        <f>Orders[[#This Row],[Quantity]]*Orders[[#This Row],[Cost Price]]</f>
        <v>5017.55</v>
      </c>
      <c r="L536" s="13">
        <f>Orders[[#This Row],[Revenue]]-Orders[[#This Row],[Expenses]]</f>
        <v>885.44999999999982</v>
      </c>
      <c r="M536" t="s">
        <v>2220</v>
      </c>
      <c r="N536" t="str">
        <f>_xlfn.XLOOKUP(Orders[[#This Row],[CustomerID]],Customers[CustomerID],Customers[CustomerName])</f>
        <v>Bisi Eze</v>
      </c>
      <c r="O536" t="str">
        <f>_xlfn.XLOOKUP(Orders[[#This Row],[CustomerID]],Customers[CustomerID],Customers[City])</f>
        <v>Florida</v>
      </c>
      <c r="P536" t="str">
        <f>_xlfn.XLOOKUP(Orders[[#This Row],[CustomerID]],Customers[CustomerID],Customers[Gender])</f>
        <v>Female</v>
      </c>
      <c r="Q536">
        <f>_xlfn.XLOOKUP(Orders[[#This Row],[CustomerID]],Customers[CustomerID],Customers[CustomerAge])</f>
        <v>37</v>
      </c>
      <c r="R536" t="str">
        <f>IF(Orders[[#This Row],[CustomerAge]]&gt;=35, "Older", "Young")</f>
        <v>Older</v>
      </c>
      <c r="S536" t="str">
        <f>_xlfn.XLOOKUP(Orders[[#This Row],[ProductID]],Products[ProductID],Products[ProductName])</f>
        <v>Refrigerator</v>
      </c>
      <c r="T536" t="str">
        <f>_xlfn.XLOOKUP(Orders[[#This Row],[ProductID]],Products[ProductID],Products[Category])</f>
        <v>Electronics</v>
      </c>
    </row>
    <row r="537" spans="1:20" x14ac:dyDescent="0.25">
      <c r="A537" s="4" t="s">
        <v>723</v>
      </c>
      <c r="B537" s="5">
        <v>45952</v>
      </c>
      <c r="C537" s="15">
        <f>WEEKNUM(Orders[[#This Row],[OrderDate]])</f>
        <v>43</v>
      </c>
      <c r="D537" s="15" t="str">
        <f>TEXT(Orders[[#This Row],[OrderDate]],"mmmm")</f>
        <v>October</v>
      </c>
      <c r="E537" s="4" t="s">
        <v>124</v>
      </c>
      <c r="F537" s="4" t="s">
        <v>20</v>
      </c>
      <c r="G537" s="4">
        <v>4</v>
      </c>
      <c r="H537" s="12">
        <v>12479.6</v>
      </c>
      <c r="I537" s="13">
        <v>10607.66</v>
      </c>
      <c r="J537" s="13">
        <f>Orders[[#This Row],[Quantity]]*Orders[[#This Row],[Selling Price]]</f>
        <v>49918.400000000001</v>
      </c>
      <c r="K537" s="13">
        <f>Orders[[#This Row],[Quantity]]*Orders[[#This Row],[Cost Price]]</f>
        <v>42430.64</v>
      </c>
      <c r="L537" s="13">
        <f>Orders[[#This Row],[Revenue]]-Orders[[#This Row],[Expenses]]</f>
        <v>7487.760000000002</v>
      </c>
      <c r="M537" t="s">
        <v>2210</v>
      </c>
      <c r="N537" t="str">
        <f>_xlfn.XLOOKUP(Orders[[#This Row],[CustomerID]],Customers[CustomerID],Customers[CustomerName])</f>
        <v>Ngozi Ojo</v>
      </c>
      <c r="O537" t="str">
        <f>_xlfn.XLOOKUP(Orders[[#This Row],[CustomerID]],Customers[CustomerID],Customers[City])</f>
        <v>Texas</v>
      </c>
      <c r="P537" t="str">
        <f>_xlfn.XLOOKUP(Orders[[#This Row],[CustomerID]],Customers[CustomerID],Customers[Gender])</f>
        <v>Female</v>
      </c>
      <c r="Q537">
        <f>_xlfn.XLOOKUP(Orders[[#This Row],[CustomerID]],Customers[CustomerID],Customers[CustomerAge])</f>
        <v>22</v>
      </c>
      <c r="R537" t="str">
        <f>IF(Orders[[#This Row],[CustomerAge]]&gt;=35, "Older", "Young")</f>
        <v>Young</v>
      </c>
      <c r="S537" t="str">
        <f>_xlfn.XLOOKUP(Orders[[#This Row],[ProductID]],Products[ProductID],Products[ProductName])</f>
        <v>Gym Bag</v>
      </c>
      <c r="T537" t="str">
        <f>_xlfn.XLOOKUP(Orders[[#This Row],[ProductID]],Products[ProductID],Products[Category])</f>
        <v>Gym</v>
      </c>
    </row>
    <row r="538" spans="1:20" x14ac:dyDescent="0.25">
      <c r="A538" s="4" t="s">
        <v>724</v>
      </c>
      <c r="B538" s="5">
        <v>45963</v>
      </c>
      <c r="C538" s="15">
        <f>WEEKNUM(Orders[[#This Row],[OrderDate]])</f>
        <v>45</v>
      </c>
      <c r="D538" s="15" t="str">
        <f>TEXT(Orders[[#This Row],[OrderDate]],"mmmm")</f>
        <v>November</v>
      </c>
      <c r="E538" s="4" t="s">
        <v>148</v>
      </c>
      <c r="F538" s="4" t="s">
        <v>76</v>
      </c>
      <c r="G538" s="4">
        <v>6</v>
      </c>
      <c r="H538" s="12">
        <v>2837.3</v>
      </c>
      <c r="I538" s="13">
        <v>2411.7049999999999</v>
      </c>
      <c r="J538" s="13">
        <f>Orders[[#This Row],[Quantity]]*Orders[[#This Row],[Selling Price]]</f>
        <v>17023.800000000003</v>
      </c>
      <c r="K538" s="13">
        <f>Orders[[#This Row],[Quantity]]*Orders[[#This Row],[Cost Price]]</f>
        <v>14470.23</v>
      </c>
      <c r="L538" s="13">
        <f>Orders[[#This Row],[Revenue]]-Orders[[#This Row],[Expenses]]</f>
        <v>2553.5700000000033</v>
      </c>
      <c r="M538" t="s">
        <v>2213</v>
      </c>
      <c r="N538" t="str">
        <f>_xlfn.XLOOKUP(Orders[[#This Row],[CustomerID]],Customers[CustomerID],Customers[CustomerName])</f>
        <v>Zainab Abubakar</v>
      </c>
      <c r="O538" t="str">
        <f>_xlfn.XLOOKUP(Orders[[#This Row],[CustomerID]],Customers[CustomerID],Customers[City])</f>
        <v>Florida</v>
      </c>
      <c r="P538" t="str">
        <f>_xlfn.XLOOKUP(Orders[[#This Row],[CustomerID]],Customers[CustomerID],Customers[Gender])</f>
        <v>Female</v>
      </c>
      <c r="Q538">
        <f>_xlfn.XLOOKUP(Orders[[#This Row],[CustomerID]],Customers[CustomerID],Customers[CustomerAge])</f>
        <v>29</v>
      </c>
      <c r="R538" t="str">
        <f>IF(Orders[[#This Row],[CustomerAge]]&gt;=35, "Older", "Young")</f>
        <v>Young</v>
      </c>
      <c r="S538" t="str">
        <f>_xlfn.XLOOKUP(Orders[[#This Row],[ProductID]],Products[ProductID],Products[ProductName])</f>
        <v>Blender</v>
      </c>
      <c r="T538" t="str">
        <f>_xlfn.XLOOKUP(Orders[[#This Row],[ProductID]],Products[ProductID],Products[Category])</f>
        <v>Electronics</v>
      </c>
    </row>
    <row r="539" spans="1:20" x14ac:dyDescent="0.25">
      <c r="A539" s="4" t="s">
        <v>725</v>
      </c>
      <c r="B539" s="5">
        <v>45934</v>
      </c>
      <c r="C539" s="15">
        <f>WEEKNUM(Orders[[#This Row],[OrderDate]])</f>
        <v>40</v>
      </c>
      <c r="D539" s="15" t="str">
        <f>TEXT(Orders[[#This Row],[OrderDate]],"mmmm")</f>
        <v>October</v>
      </c>
      <c r="E539" s="4" t="s">
        <v>94</v>
      </c>
      <c r="F539" s="4" t="s">
        <v>31</v>
      </c>
      <c r="G539" s="4">
        <v>10</v>
      </c>
      <c r="H539" s="12">
        <v>10203.4</v>
      </c>
      <c r="I539" s="13">
        <v>8672.89</v>
      </c>
      <c r="J539" s="13">
        <f>Orders[[#This Row],[Quantity]]*Orders[[#This Row],[Selling Price]]</f>
        <v>102034</v>
      </c>
      <c r="K539" s="13">
        <f>Orders[[#This Row],[Quantity]]*Orders[[#This Row],[Cost Price]]</f>
        <v>86728.9</v>
      </c>
      <c r="L539" s="13">
        <f>Orders[[#This Row],[Revenue]]-Orders[[#This Row],[Expenses]]</f>
        <v>15305.100000000006</v>
      </c>
      <c r="M539" t="s">
        <v>2209</v>
      </c>
      <c r="N539" t="str">
        <f>_xlfn.XLOOKUP(Orders[[#This Row],[CustomerID]],Customers[CustomerID],Customers[CustomerName])</f>
        <v>Uche Abubakar</v>
      </c>
      <c r="O539" t="str">
        <f>_xlfn.XLOOKUP(Orders[[#This Row],[CustomerID]],Customers[CustomerID],Customers[City])</f>
        <v>Texas</v>
      </c>
      <c r="P539" t="str">
        <f>_xlfn.XLOOKUP(Orders[[#This Row],[CustomerID]],Customers[CustomerID],Customers[Gender])</f>
        <v>Male</v>
      </c>
      <c r="Q539">
        <f>_xlfn.XLOOKUP(Orders[[#This Row],[CustomerID]],Customers[CustomerID],Customers[CustomerAge])</f>
        <v>26</v>
      </c>
      <c r="R539" t="str">
        <f>IF(Orders[[#This Row],[CustomerAge]]&gt;=35, "Older", "Young")</f>
        <v>Young</v>
      </c>
      <c r="S539" t="str">
        <f>_xlfn.XLOOKUP(Orders[[#This Row],[ProductID]],Products[ProductID],Products[ProductName])</f>
        <v>Kids Games</v>
      </c>
      <c r="T539" t="str">
        <f>_xlfn.XLOOKUP(Orders[[#This Row],[ProductID]],Products[ProductID],Products[Category])</f>
        <v>Games</v>
      </c>
    </row>
    <row r="540" spans="1:20" x14ac:dyDescent="0.25">
      <c r="A540" s="4" t="s">
        <v>726</v>
      </c>
      <c r="B540" s="5">
        <v>46001</v>
      </c>
      <c r="C540" s="15">
        <f>WEEKNUM(Orders[[#This Row],[OrderDate]])</f>
        <v>50</v>
      </c>
      <c r="D540" s="15" t="str">
        <f>TEXT(Orders[[#This Row],[OrderDate]],"mmmm")</f>
        <v>December</v>
      </c>
      <c r="E540" s="4" t="s">
        <v>227</v>
      </c>
      <c r="F540" s="4" t="s">
        <v>157</v>
      </c>
      <c r="G540" s="4">
        <v>9</v>
      </c>
      <c r="H540" s="12">
        <v>8851.5</v>
      </c>
      <c r="I540" s="13">
        <v>7523.7749999999996</v>
      </c>
      <c r="J540" s="13">
        <f>Orders[[#This Row],[Quantity]]*Orders[[#This Row],[Selling Price]]</f>
        <v>79663.5</v>
      </c>
      <c r="K540" s="13">
        <f>Orders[[#This Row],[Quantity]]*Orders[[#This Row],[Cost Price]]</f>
        <v>67713.974999999991</v>
      </c>
      <c r="L540" s="13">
        <f>Orders[[#This Row],[Revenue]]-Orders[[#This Row],[Expenses]]</f>
        <v>11949.525000000009</v>
      </c>
      <c r="M540" t="s">
        <v>2199</v>
      </c>
      <c r="N540" t="str">
        <f>_xlfn.XLOOKUP(Orders[[#This Row],[CustomerID]],Customers[CustomerID],Customers[CustomerName])</f>
        <v>Emmanuel Victor</v>
      </c>
      <c r="O540" t="str">
        <f>_xlfn.XLOOKUP(Orders[[#This Row],[CustomerID]],Customers[CustomerID],Customers[City])</f>
        <v>Washington</v>
      </c>
      <c r="P540" t="str">
        <f>_xlfn.XLOOKUP(Orders[[#This Row],[CustomerID]],Customers[CustomerID],Customers[Gender])</f>
        <v>Male</v>
      </c>
      <c r="Q540">
        <f>_xlfn.XLOOKUP(Orders[[#This Row],[CustomerID]],Customers[CustomerID],Customers[CustomerAge])</f>
        <v>35</v>
      </c>
      <c r="R540" t="str">
        <f>IF(Orders[[#This Row],[CustomerAge]]&gt;=35, "Older", "Young")</f>
        <v>Older</v>
      </c>
      <c r="S540" t="str">
        <f>_xlfn.XLOOKUP(Orders[[#This Row],[ProductID]],Products[ProductID],Products[ProductName])</f>
        <v>Football</v>
      </c>
      <c r="T540" t="str">
        <f>_xlfn.XLOOKUP(Orders[[#This Row],[ProductID]],Products[ProductID],Products[Category])</f>
        <v>Sports</v>
      </c>
    </row>
    <row r="541" spans="1:20" x14ac:dyDescent="0.25">
      <c r="A541" s="4" t="s">
        <v>727</v>
      </c>
      <c r="B541" s="5">
        <v>45954</v>
      </c>
      <c r="C541" s="15">
        <f>WEEKNUM(Orders[[#This Row],[OrderDate]])</f>
        <v>43</v>
      </c>
      <c r="D541" s="15" t="str">
        <f>TEXT(Orders[[#This Row],[OrderDate]],"mmmm")</f>
        <v>October</v>
      </c>
      <c r="E541" s="4" t="s">
        <v>298</v>
      </c>
      <c r="F541" s="4" t="s">
        <v>12</v>
      </c>
      <c r="G541" s="4">
        <v>9</v>
      </c>
      <c r="H541" s="12">
        <v>7183.8</v>
      </c>
      <c r="I541" s="13">
        <v>6106.2300000000005</v>
      </c>
      <c r="J541" s="13">
        <f>Orders[[#This Row],[Quantity]]*Orders[[#This Row],[Selling Price]]</f>
        <v>64654.200000000004</v>
      </c>
      <c r="K541" s="13">
        <f>Orders[[#This Row],[Quantity]]*Orders[[#This Row],[Cost Price]]</f>
        <v>54956.070000000007</v>
      </c>
      <c r="L541" s="13">
        <f>Orders[[#This Row],[Revenue]]-Orders[[#This Row],[Expenses]]</f>
        <v>9698.1299999999974</v>
      </c>
      <c r="M541" t="s">
        <v>2216</v>
      </c>
      <c r="N541" t="str">
        <f>_xlfn.XLOOKUP(Orders[[#This Row],[CustomerID]],Customers[CustomerID],Customers[CustomerName])</f>
        <v>Amina Obi</v>
      </c>
      <c r="O541" t="str">
        <f>_xlfn.XLOOKUP(Orders[[#This Row],[CustomerID]],Customers[CustomerID],Customers[City])</f>
        <v>Florida</v>
      </c>
      <c r="P541" t="str">
        <f>_xlfn.XLOOKUP(Orders[[#This Row],[CustomerID]],Customers[CustomerID],Customers[Gender])</f>
        <v>Female</v>
      </c>
      <c r="Q541">
        <f>_xlfn.XLOOKUP(Orders[[#This Row],[CustomerID]],Customers[CustomerID],Customers[CustomerAge])</f>
        <v>19</v>
      </c>
      <c r="R541" t="str">
        <f>IF(Orders[[#This Row],[CustomerAge]]&gt;=35, "Older", "Young")</f>
        <v>Young</v>
      </c>
      <c r="S541" t="str">
        <f>_xlfn.XLOOKUP(Orders[[#This Row],[ProductID]],Products[ProductID],Products[ProductName])</f>
        <v>Boubou</v>
      </c>
      <c r="T541" t="str">
        <f>_xlfn.XLOOKUP(Orders[[#This Row],[ProductID]],Products[ProductID],Products[Category])</f>
        <v>Clothing</v>
      </c>
    </row>
    <row r="542" spans="1:20" x14ac:dyDescent="0.25">
      <c r="A542" s="4" t="s">
        <v>728</v>
      </c>
      <c r="B542" s="5">
        <v>45995</v>
      </c>
      <c r="C542" s="15">
        <f>WEEKNUM(Orders[[#This Row],[OrderDate]])</f>
        <v>49</v>
      </c>
      <c r="D542" s="15" t="str">
        <f>TEXT(Orders[[#This Row],[OrderDate]],"mmmm")</f>
        <v>December</v>
      </c>
      <c r="E542" s="4" t="s">
        <v>374</v>
      </c>
      <c r="F542" s="4" t="s">
        <v>151</v>
      </c>
      <c r="G542" s="4">
        <v>7</v>
      </c>
      <c r="H542" s="12">
        <v>1240.4000000000001</v>
      </c>
      <c r="I542" s="13">
        <v>1054.3400000000001</v>
      </c>
      <c r="J542" s="13">
        <f>Orders[[#This Row],[Quantity]]*Orders[[#This Row],[Selling Price]]</f>
        <v>8682.8000000000011</v>
      </c>
      <c r="K542" s="13">
        <f>Orders[[#This Row],[Quantity]]*Orders[[#This Row],[Cost Price]]</f>
        <v>7380.380000000001</v>
      </c>
      <c r="L542" s="13">
        <f>Orders[[#This Row],[Revenue]]-Orders[[#This Row],[Expenses]]</f>
        <v>1302.42</v>
      </c>
      <c r="M542" t="s">
        <v>2193</v>
      </c>
      <c r="N542" t="str">
        <f>_xlfn.XLOOKUP(Orders[[#This Row],[CustomerID]],Customers[CustomerID],Customers[CustomerName])</f>
        <v>Uche Okonkwo</v>
      </c>
      <c r="O542" t="str">
        <f>_xlfn.XLOOKUP(Orders[[#This Row],[CustomerID]],Customers[CustomerID],Customers[City])</f>
        <v>Texas</v>
      </c>
      <c r="P542" t="str">
        <f>_xlfn.XLOOKUP(Orders[[#This Row],[CustomerID]],Customers[CustomerID],Customers[Gender])</f>
        <v>Male</v>
      </c>
      <c r="Q542">
        <f>_xlfn.XLOOKUP(Orders[[#This Row],[CustomerID]],Customers[CustomerID],Customers[CustomerAge])</f>
        <v>27</v>
      </c>
      <c r="R542" t="str">
        <f>IF(Orders[[#This Row],[CustomerAge]]&gt;=35, "Older", "Young")</f>
        <v>Young</v>
      </c>
      <c r="S542" t="str">
        <f>_xlfn.XLOOKUP(Orders[[#This Row],[ProductID]],Products[ProductID],Products[ProductName])</f>
        <v>Checkers</v>
      </c>
      <c r="T542" t="str">
        <f>_xlfn.XLOOKUP(Orders[[#This Row],[ProductID]],Products[ProductID],Products[Category])</f>
        <v>Games</v>
      </c>
    </row>
    <row r="543" spans="1:20" x14ac:dyDescent="0.25">
      <c r="A543" s="4" t="s">
        <v>729</v>
      </c>
      <c r="B543" s="5">
        <v>46010</v>
      </c>
      <c r="C543" s="15">
        <f>WEEKNUM(Orders[[#This Row],[OrderDate]])</f>
        <v>51</v>
      </c>
      <c r="D543" s="15" t="str">
        <f>TEXT(Orders[[#This Row],[OrderDate]],"mmmm")</f>
        <v>December</v>
      </c>
      <c r="E543" s="4" t="s">
        <v>671</v>
      </c>
      <c r="F543" s="4" t="s">
        <v>70</v>
      </c>
      <c r="G543" s="4">
        <v>2</v>
      </c>
      <c r="H543" s="12">
        <v>13330.599999999999</v>
      </c>
      <c r="I543" s="13">
        <v>11331.009999999998</v>
      </c>
      <c r="J543" s="13">
        <f>Orders[[#This Row],[Quantity]]*Orders[[#This Row],[Selling Price]]</f>
        <v>26661.199999999997</v>
      </c>
      <c r="K543" s="13">
        <f>Orders[[#This Row],[Quantity]]*Orders[[#This Row],[Cost Price]]</f>
        <v>22662.019999999997</v>
      </c>
      <c r="L543" s="13">
        <f>Orders[[#This Row],[Revenue]]-Orders[[#This Row],[Expenses]]</f>
        <v>3999.1800000000003</v>
      </c>
      <c r="M543" t="s">
        <v>2198</v>
      </c>
      <c r="N543" t="str">
        <f>_xlfn.XLOOKUP(Orders[[#This Row],[CustomerID]],Customers[CustomerID],Customers[CustomerName])</f>
        <v>Tunde Abubakar</v>
      </c>
      <c r="O543" t="str">
        <f>_xlfn.XLOOKUP(Orders[[#This Row],[CustomerID]],Customers[CustomerID],Customers[City])</f>
        <v>Texas</v>
      </c>
      <c r="P543" t="str">
        <f>_xlfn.XLOOKUP(Orders[[#This Row],[CustomerID]],Customers[CustomerID],Customers[Gender])</f>
        <v>Male</v>
      </c>
      <c r="Q543">
        <f>_xlfn.XLOOKUP(Orders[[#This Row],[CustomerID]],Customers[CustomerID],Customers[CustomerAge])</f>
        <v>26</v>
      </c>
      <c r="R543" t="str">
        <f>IF(Orders[[#This Row],[CustomerAge]]&gt;=35, "Older", "Young")</f>
        <v>Young</v>
      </c>
      <c r="S543" t="str">
        <f>_xlfn.XLOOKUP(Orders[[#This Row],[ProductID]],Products[ProductID],Products[ProductName])</f>
        <v>Yoga Mat</v>
      </c>
      <c r="T543" t="str">
        <f>_xlfn.XLOOKUP(Orders[[#This Row],[ProductID]],Products[ProductID],Products[Category])</f>
        <v>Gym</v>
      </c>
    </row>
    <row r="544" spans="1:20" x14ac:dyDescent="0.25">
      <c r="A544" s="4" t="s">
        <v>730</v>
      </c>
      <c r="B544" s="5">
        <v>46013</v>
      </c>
      <c r="C544" s="15">
        <f>WEEKNUM(Orders[[#This Row],[OrderDate]])</f>
        <v>52</v>
      </c>
      <c r="D544" s="15" t="str">
        <f>TEXT(Orders[[#This Row],[OrderDate]],"mmmm")</f>
        <v>December</v>
      </c>
      <c r="E544" s="4" t="s">
        <v>435</v>
      </c>
      <c r="F544" s="4" t="s">
        <v>70</v>
      </c>
      <c r="G544" s="4">
        <v>10</v>
      </c>
      <c r="H544" s="12">
        <v>9566.2999999999993</v>
      </c>
      <c r="I544" s="13">
        <v>8131.3549999999996</v>
      </c>
      <c r="J544" s="13">
        <f>Orders[[#This Row],[Quantity]]*Orders[[#This Row],[Selling Price]]</f>
        <v>95663</v>
      </c>
      <c r="K544" s="13">
        <f>Orders[[#This Row],[Quantity]]*Orders[[#This Row],[Cost Price]]</f>
        <v>81313.549999999988</v>
      </c>
      <c r="L544" s="13">
        <f>Orders[[#This Row],[Revenue]]-Orders[[#This Row],[Expenses]]</f>
        <v>14349.450000000012</v>
      </c>
      <c r="M544" t="s">
        <v>2206</v>
      </c>
      <c r="N544" t="str">
        <f>_xlfn.XLOOKUP(Orders[[#This Row],[CustomerID]],Customers[CustomerID],Customers[CustomerName])</f>
        <v>Amina Balogun</v>
      </c>
      <c r="O544" t="str">
        <f>_xlfn.XLOOKUP(Orders[[#This Row],[CustomerID]],Customers[CustomerID],Customers[City])</f>
        <v>Texas</v>
      </c>
      <c r="P544" t="str">
        <f>_xlfn.XLOOKUP(Orders[[#This Row],[CustomerID]],Customers[CustomerID],Customers[Gender])</f>
        <v>Female</v>
      </c>
      <c r="Q544">
        <f>_xlfn.XLOOKUP(Orders[[#This Row],[CustomerID]],Customers[CustomerID],Customers[CustomerAge])</f>
        <v>32</v>
      </c>
      <c r="R544" t="str">
        <f>IF(Orders[[#This Row],[CustomerAge]]&gt;=35, "Older", "Young")</f>
        <v>Young</v>
      </c>
      <c r="S544" t="str">
        <f>_xlfn.XLOOKUP(Orders[[#This Row],[ProductID]],Products[ProductID],Products[ProductName])</f>
        <v>Yoga Mat</v>
      </c>
      <c r="T544" t="str">
        <f>_xlfn.XLOOKUP(Orders[[#This Row],[ProductID]],Products[ProductID],Products[Category])</f>
        <v>Gym</v>
      </c>
    </row>
    <row r="545" spans="1:20" x14ac:dyDescent="0.25">
      <c r="A545" s="4" t="s">
        <v>731</v>
      </c>
      <c r="B545" s="5">
        <v>45981</v>
      </c>
      <c r="C545" s="15">
        <f>WEEKNUM(Orders[[#This Row],[OrderDate]])</f>
        <v>47</v>
      </c>
      <c r="D545" s="15" t="str">
        <f>TEXT(Orders[[#This Row],[OrderDate]],"mmmm")</f>
        <v>November</v>
      </c>
      <c r="E545" s="4" t="s">
        <v>48</v>
      </c>
      <c r="F545" s="4" t="s">
        <v>28</v>
      </c>
      <c r="G545" s="4">
        <v>6</v>
      </c>
      <c r="H545" s="12">
        <v>11084.2</v>
      </c>
      <c r="I545" s="13">
        <v>9421.57</v>
      </c>
      <c r="J545" s="13">
        <f>Orders[[#This Row],[Quantity]]*Orders[[#This Row],[Selling Price]]</f>
        <v>66505.200000000012</v>
      </c>
      <c r="K545" s="13">
        <f>Orders[[#This Row],[Quantity]]*Orders[[#This Row],[Cost Price]]</f>
        <v>56529.42</v>
      </c>
      <c r="L545" s="13">
        <f>Orders[[#This Row],[Revenue]]-Orders[[#This Row],[Expenses]]</f>
        <v>9975.7800000000134</v>
      </c>
      <c r="M545" t="s">
        <v>2194</v>
      </c>
      <c r="N545" t="str">
        <f>_xlfn.XLOOKUP(Orders[[#This Row],[CustomerID]],Customers[CustomerID],Customers[CustomerName])</f>
        <v>Mustafa Obi</v>
      </c>
      <c r="O545" t="str">
        <f>_xlfn.XLOOKUP(Orders[[#This Row],[CustomerID]],Customers[CustomerID],Customers[City])</f>
        <v>California</v>
      </c>
      <c r="P545" t="str">
        <f>_xlfn.XLOOKUP(Orders[[#This Row],[CustomerID]],Customers[CustomerID],Customers[Gender])</f>
        <v>Male</v>
      </c>
      <c r="Q545">
        <f>_xlfn.XLOOKUP(Orders[[#This Row],[CustomerID]],Customers[CustomerID],Customers[CustomerAge])</f>
        <v>23</v>
      </c>
      <c r="R545" t="str">
        <f>IF(Orders[[#This Row],[CustomerAge]]&gt;=35, "Older", "Young")</f>
        <v>Young</v>
      </c>
      <c r="S545" t="str">
        <f>_xlfn.XLOOKUP(Orders[[#This Row],[ProductID]],Products[ProductID],Products[ProductName])</f>
        <v>Sneakers</v>
      </c>
      <c r="T545" t="str">
        <f>_xlfn.XLOOKUP(Orders[[#This Row],[ProductID]],Products[ProductID],Products[Category])</f>
        <v>Sports</v>
      </c>
    </row>
    <row r="546" spans="1:20" x14ac:dyDescent="0.25">
      <c r="A546" s="4" t="s">
        <v>732</v>
      </c>
      <c r="B546" s="5">
        <v>45958</v>
      </c>
      <c r="C546" s="15">
        <f>WEEKNUM(Orders[[#This Row],[OrderDate]])</f>
        <v>44</v>
      </c>
      <c r="D546" s="15" t="str">
        <f>TEXT(Orders[[#This Row],[OrderDate]],"mmmm")</f>
        <v>October</v>
      </c>
      <c r="E546" s="4" t="s">
        <v>502</v>
      </c>
      <c r="F546" s="4" t="s">
        <v>60</v>
      </c>
      <c r="G546" s="4">
        <v>8</v>
      </c>
      <c r="H546" s="12">
        <v>14128.599999999999</v>
      </c>
      <c r="I546" s="13">
        <v>12009.31</v>
      </c>
      <c r="J546" s="13">
        <f>Orders[[#This Row],[Quantity]]*Orders[[#This Row],[Selling Price]]</f>
        <v>113028.79999999999</v>
      </c>
      <c r="K546" s="13">
        <f>Orders[[#This Row],[Quantity]]*Orders[[#This Row],[Cost Price]]</f>
        <v>96074.48</v>
      </c>
      <c r="L546" s="13">
        <f>Orders[[#This Row],[Revenue]]-Orders[[#This Row],[Expenses]]</f>
        <v>16954.319999999992</v>
      </c>
      <c r="M546" t="s">
        <v>2201</v>
      </c>
      <c r="N546" t="str">
        <f>_xlfn.XLOOKUP(Orders[[#This Row],[CustomerID]],Customers[CustomerID],Customers[CustomerName])</f>
        <v>Obi Eze</v>
      </c>
      <c r="O546" t="str">
        <f>_xlfn.XLOOKUP(Orders[[#This Row],[CustomerID]],Customers[CustomerID],Customers[City])</f>
        <v>Texas</v>
      </c>
      <c r="P546" t="str">
        <f>_xlfn.XLOOKUP(Orders[[#This Row],[CustomerID]],Customers[CustomerID],Customers[Gender])</f>
        <v>Male</v>
      </c>
      <c r="Q546">
        <f>_xlfn.XLOOKUP(Orders[[#This Row],[CustomerID]],Customers[CustomerID],Customers[CustomerAge])</f>
        <v>24</v>
      </c>
      <c r="R546" t="str">
        <f>IF(Orders[[#This Row],[CustomerAge]]&gt;=35, "Older", "Young")</f>
        <v>Young</v>
      </c>
      <c r="S546" t="str">
        <f>_xlfn.XLOOKUP(Orders[[#This Row],[ProductID]],Products[ProductID],Products[ProductName])</f>
        <v>Silver Rings</v>
      </c>
      <c r="T546" t="str">
        <f>_xlfn.XLOOKUP(Orders[[#This Row],[ProductID]],Products[ProductID],Products[Category])</f>
        <v>Accessories</v>
      </c>
    </row>
    <row r="547" spans="1:20" x14ac:dyDescent="0.25">
      <c r="A547" s="4" t="s">
        <v>733</v>
      </c>
      <c r="B547" s="5">
        <v>45989</v>
      </c>
      <c r="C547" s="15">
        <f>WEEKNUM(Orders[[#This Row],[OrderDate]])</f>
        <v>48</v>
      </c>
      <c r="D547" s="15" t="str">
        <f>TEXT(Orders[[#This Row],[OrderDate]],"mmmm")</f>
        <v>November</v>
      </c>
      <c r="E547" s="4" t="s">
        <v>293</v>
      </c>
      <c r="F547" s="4" t="s">
        <v>57</v>
      </c>
      <c r="G547" s="4">
        <v>5</v>
      </c>
      <c r="H547" s="12">
        <v>2571.1999999999998</v>
      </c>
      <c r="I547" s="13">
        <v>2185.52</v>
      </c>
      <c r="J547" s="13">
        <f>Orders[[#This Row],[Quantity]]*Orders[[#This Row],[Selling Price]]</f>
        <v>12856</v>
      </c>
      <c r="K547" s="13">
        <f>Orders[[#This Row],[Quantity]]*Orders[[#This Row],[Cost Price]]</f>
        <v>10927.6</v>
      </c>
      <c r="L547" s="13">
        <f>Orders[[#This Row],[Revenue]]-Orders[[#This Row],[Expenses]]</f>
        <v>1928.3999999999996</v>
      </c>
      <c r="M547" t="s">
        <v>2195</v>
      </c>
      <c r="N547" t="str">
        <f>_xlfn.XLOOKUP(Orders[[#This Row],[CustomerID]],Customers[CustomerID],Customers[CustomerName])</f>
        <v>Tunde Eze</v>
      </c>
      <c r="O547" t="str">
        <f>_xlfn.XLOOKUP(Orders[[#This Row],[CustomerID]],Customers[CustomerID],Customers[City])</f>
        <v>Florida</v>
      </c>
      <c r="P547" t="str">
        <f>_xlfn.XLOOKUP(Orders[[#This Row],[CustomerID]],Customers[CustomerID],Customers[Gender])</f>
        <v>Male</v>
      </c>
      <c r="Q547">
        <f>_xlfn.XLOOKUP(Orders[[#This Row],[CustomerID]],Customers[CustomerID],Customers[CustomerAge])</f>
        <v>46</v>
      </c>
      <c r="R547" t="str">
        <f>IF(Orders[[#This Row],[CustomerAge]]&gt;=35, "Older", "Young")</f>
        <v>Older</v>
      </c>
      <c r="S547" t="str">
        <f>_xlfn.XLOOKUP(Orders[[#This Row],[ProductID]],Products[ProductID],Products[ProductName])</f>
        <v>Badminton Racket</v>
      </c>
      <c r="T547" t="str">
        <f>_xlfn.XLOOKUP(Orders[[#This Row],[ProductID]],Products[ProductID],Products[Category])</f>
        <v>Sports</v>
      </c>
    </row>
    <row r="548" spans="1:20" x14ac:dyDescent="0.25">
      <c r="A548" s="4" t="s">
        <v>734</v>
      </c>
      <c r="B548" s="5">
        <v>45937</v>
      </c>
      <c r="C548" s="15">
        <f>WEEKNUM(Orders[[#This Row],[OrderDate]])</f>
        <v>41</v>
      </c>
      <c r="D548" s="15" t="str">
        <f>TEXT(Orders[[#This Row],[OrderDate]],"mmmm")</f>
        <v>October</v>
      </c>
      <c r="E548" s="4" t="s">
        <v>457</v>
      </c>
      <c r="F548" s="4" t="s">
        <v>157</v>
      </c>
      <c r="G548" s="4">
        <v>9</v>
      </c>
      <c r="H548" s="12">
        <v>16363.900000000001</v>
      </c>
      <c r="I548" s="13">
        <v>13909.315000000002</v>
      </c>
      <c r="J548" s="13">
        <f>Orders[[#This Row],[Quantity]]*Orders[[#This Row],[Selling Price]]</f>
        <v>147275.1</v>
      </c>
      <c r="K548" s="13">
        <f>Orders[[#This Row],[Quantity]]*Orders[[#This Row],[Cost Price]]</f>
        <v>125183.83500000002</v>
      </c>
      <c r="L548" s="13">
        <f>Orders[[#This Row],[Revenue]]-Orders[[#This Row],[Expenses]]</f>
        <v>22091.264999999985</v>
      </c>
      <c r="M548" t="s">
        <v>2210</v>
      </c>
      <c r="N548" t="str">
        <f>_xlfn.XLOOKUP(Orders[[#This Row],[CustomerID]],Customers[CustomerID],Customers[CustomerName])</f>
        <v>Tunde Okonkwo</v>
      </c>
      <c r="O548" t="str">
        <f>_xlfn.XLOOKUP(Orders[[#This Row],[CustomerID]],Customers[CustomerID],Customers[City])</f>
        <v>Illinois</v>
      </c>
      <c r="P548" t="str">
        <f>_xlfn.XLOOKUP(Orders[[#This Row],[CustomerID]],Customers[CustomerID],Customers[Gender])</f>
        <v>Male</v>
      </c>
      <c r="Q548">
        <f>_xlfn.XLOOKUP(Orders[[#This Row],[CustomerID]],Customers[CustomerID],Customers[CustomerAge])</f>
        <v>23</v>
      </c>
      <c r="R548" t="str">
        <f>IF(Orders[[#This Row],[CustomerAge]]&gt;=35, "Older", "Young")</f>
        <v>Young</v>
      </c>
      <c r="S548" t="str">
        <f>_xlfn.XLOOKUP(Orders[[#This Row],[ProductID]],Products[ProductID],Products[ProductName])</f>
        <v>Football</v>
      </c>
      <c r="T548" t="str">
        <f>_xlfn.XLOOKUP(Orders[[#This Row],[ProductID]],Products[ProductID],Products[Category])</f>
        <v>Sports</v>
      </c>
    </row>
    <row r="549" spans="1:20" x14ac:dyDescent="0.25">
      <c r="A549" s="4" t="s">
        <v>735</v>
      </c>
      <c r="B549" s="5">
        <v>46019</v>
      </c>
      <c r="C549" s="15">
        <f>WEEKNUM(Orders[[#This Row],[OrderDate]])</f>
        <v>53</v>
      </c>
      <c r="D549" s="15" t="str">
        <f>TEXT(Orders[[#This Row],[OrderDate]],"mmmm")</f>
        <v>December</v>
      </c>
      <c r="E549" s="4" t="s">
        <v>305</v>
      </c>
      <c r="F549" s="4" t="s">
        <v>66</v>
      </c>
      <c r="G549" s="4">
        <v>9</v>
      </c>
      <c r="H549" s="12">
        <v>19359.5</v>
      </c>
      <c r="I549" s="13">
        <v>16455.575000000001</v>
      </c>
      <c r="J549" s="13">
        <f>Orders[[#This Row],[Quantity]]*Orders[[#This Row],[Selling Price]]</f>
        <v>174235.5</v>
      </c>
      <c r="K549" s="13">
        <f>Orders[[#This Row],[Quantity]]*Orders[[#This Row],[Cost Price]]</f>
        <v>148100.17500000002</v>
      </c>
      <c r="L549" s="13">
        <f>Orders[[#This Row],[Revenue]]-Orders[[#This Row],[Expenses]]</f>
        <v>26135.324999999983</v>
      </c>
      <c r="M549" t="s">
        <v>2210</v>
      </c>
      <c r="N549" t="str">
        <f>_xlfn.XLOOKUP(Orders[[#This Row],[CustomerID]],Customers[CustomerID],Customers[CustomerName])</f>
        <v>Tunde Danladi</v>
      </c>
      <c r="O549" t="str">
        <f>_xlfn.XLOOKUP(Orders[[#This Row],[CustomerID]],Customers[CustomerID],Customers[City])</f>
        <v>California</v>
      </c>
      <c r="P549" t="str">
        <f>_xlfn.XLOOKUP(Orders[[#This Row],[CustomerID]],Customers[CustomerID],Customers[Gender])</f>
        <v>Male</v>
      </c>
      <c r="Q549">
        <f>_xlfn.XLOOKUP(Orders[[#This Row],[CustomerID]],Customers[CustomerID],Customers[CustomerAge])</f>
        <v>40</v>
      </c>
      <c r="R549" t="str">
        <f>IF(Orders[[#This Row],[CustomerAge]]&gt;=35, "Older", "Young")</f>
        <v>Older</v>
      </c>
      <c r="S549" t="str">
        <f>_xlfn.XLOOKUP(Orders[[#This Row],[ProductID]],Products[ProductID],Products[ProductName])</f>
        <v>Microwave</v>
      </c>
      <c r="T549" t="str">
        <f>_xlfn.XLOOKUP(Orders[[#This Row],[ProductID]],Products[ProductID],Products[Category])</f>
        <v>Electronics</v>
      </c>
    </row>
    <row r="550" spans="1:20" x14ac:dyDescent="0.25">
      <c r="A550" s="4" t="s">
        <v>736</v>
      </c>
      <c r="B550" s="5">
        <v>45947</v>
      </c>
      <c r="C550" s="15">
        <f>WEEKNUM(Orders[[#This Row],[OrderDate]])</f>
        <v>42</v>
      </c>
      <c r="D550" s="15" t="str">
        <f>TEXT(Orders[[#This Row],[OrderDate]],"mmmm")</f>
        <v>October</v>
      </c>
      <c r="E550" s="4" t="s">
        <v>110</v>
      </c>
      <c r="F550" s="4" t="s">
        <v>208</v>
      </c>
      <c r="G550" s="4">
        <v>10</v>
      </c>
      <c r="H550" s="12">
        <v>3644.9</v>
      </c>
      <c r="I550" s="13">
        <v>3098.165</v>
      </c>
      <c r="J550" s="13">
        <f>Orders[[#This Row],[Quantity]]*Orders[[#This Row],[Selling Price]]</f>
        <v>36449</v>
      </c>
      <c r="K550" s="13">
        <f>Orders[[#This Row],[Quantity]]*Orders[[#This Row],[Cost Price]]</f>
        <v>30981.65</v>
      </c>
      <c r="L550" s="13">
        <f>Orders[[#This Row],[Revenue]]-Orders[[#This Row],[Expenses]]</f>
        <v>5467.3499999999985</v>
      </c>
      <c r="M550" t="s">
        <v>2197</v>
      </c>
      <c r="N550" t="str">
        <f>_xlfn.XLOOKUP(Orders[[#This Row],[CustomerID]],Customers[CustomerID],Customers[CustomerName])</f>
        <v>Ngozi Danladi</v>
      </c>
      <c r="O550" t="str">
        <f>_xlfn.XLOOKUP(Orders[[#This Row],[CustomerID]],Customers[CustomerID],Customers[City])</f>
        <v>Washington</v>
      </c>
      <c r="P550" t="str">
        <f>_xlfn.XLOOKUP(Orders[[#This Row],[CustomerID]],Customers[CustomerID],Customers[Gender])</f>
        <v>Female</v>
      </c>
      <c r="Q550">
        <f>_xlfn.XLOOKUP(Orders[[#This Row],[CustomerID]],Customers[CustomerID],Customers[CustomerAge])</f>
        <v>28</v>
      </c>
      <c r="R550" t="str">
        <f>IF(Orders[[#This Row],[CustomerAge]]&gt;=35, "Older", "Young")</f>
        <v>Young</v>
      </c>
      <c r="S550" t="str">
        <f>_xlfn.XLOOKUP(Orders[[#This Row],[ProductID]],Products[ProductID],Products[ProductName])</f>
        <v>Skipping Rope</v>
      </c>
      <c r="T550" t="str">
        <f>_xlfn.XLOOKUP(Orders[[#This Row],[ProductID]],Products[ProductID],Products[Category])</f>
        <v>Sports</v>
      </c>
    </row>
    <row r="551" spans="1:20" x14ac:dyDescent="0.25">
      <c r="A551" s="4" t="s">
        <v>737</v>
      </c>
      <c r="B551" s="5">
        <v>45974</v>
      </c>
      <c r="C551" s="15">
        <f>WEEKNUM(Orders[[#This Row],[OrderDate]])</f>
        <v>46</v>
      </c>
      <c r="D551" s="15" t="str">
        <f>TEXT(Orders[[#This Row],[OrderDate]],"mmmm")</f>
        <v>November</v>
      </c>
      <c r="E551" s="4" t="s">
        <v>244</v>
      </c>
      <c r="F551" s="4" t="s">
        <v>120</v>
      </c>
      <c r="G551" s="4">
        <v>5</v>
      </c>
      <c r="H551" s="12">
        <v>15784</v>
      </c>
      <c r="I551" s="13">
        <v>13416.4</v>
      </c>
      <c r="J551" s="13">
        <f>Orders[[#This Row],[Quantity]]*Orders[[#This Row],[Selling Price]]</f>
        <v>78920</v>
      </c>
      <c r="K551" s="13">
        <f>Orders[[#This Row],[Quantity]]*Orders[[#This Row],[Cost Price]]</f>
        <v>67082</v>
      </c>
      <c r="L551" s="13">
        <f>Orders[[#This Row],[Revenue]]-Orders[[#This Row],[Expenses]]</f>
        <v>11838</v>
      </c>
      <c r="M551" t="s">
        <v>2211</v>
      </c>
      <c r="N551" t="str">
        <f>_xlfn.XLOOKUP(Orders[[#This Row],[CustomerID]],Customers[CustomerID],Customers[CustomerName])</f>
        <v>Zainab Abubakar</v>
      </c>
      <c r="O551" t="str">
        <f>_xlfn.XLOOKUP(Orders[[#This Row],[CustomerID]],Customers[CustomerID],Customers[City])</f>
        <v>Texas</v>
      </c>
      <c r="P551" t="str">
        <f>_xlfn.XLOOKUP(Orders[[#This Row],[CustomerID]],Customers[CustomerID],Customers[Gender])</f>
        <v>Female</v>
      </c>
      <c r="Q551">
        <f>_xlfn.XLOOKUP(Orders[[#This Row],[CustomerID]],Customers[CustomerID],Customers[CustomerAge])</f>
        <v>33</v>
      </c>
      <c r="R551" t="str">
        <f>IF(Orders[[#This Row],[CustomerAge]]&gt;=35, "Older", "Young")</f>
        <v>Young</v>
      </c>
      <c r="S551" t="str">
        <f>_xlfn.XLOOKUP(Orders[[#This Row],[ProductID]],Products[ProductID],Products[ProductName])</f>
        <v>Chess</v>
      </c>
      <c r="T551" t="str">
        <f>_xlfn.XLOOKUP(Orders[[#This Row],[ProductID]],Products[ProductID],Products[Category])</f>
        <v>Games</v>
      </c>
    </row>
    <row r="552" spans="1:20" x14ac:dyDescent="0.25">
      <c r="A552" s="4" t="s">
        <v>738</v>
      </c>
      <c r="B552" s="5">
        <v>45939</v>
      </c>
      <c r="C552" s="15">
        <f>WEEKNUM(Orders[[#This Row],[OrderDate]])</f>
        <v>41</v>
      </c>
      <c r="D552" s="15" t="str">
        <f>TEXT(Orders[[#This Row],[OrderDate]],"mmmm")</f>
        <v>October</v>
      </c>
      <c r="E552" s="4" t="s">
        <v>19</v>
      </c>
      <c r="F552" s="4" t="s">
        <v>151</v>
      </c>
      <c r="G552" s="4">
        <v>7</v>
      </c>
      <c r="H552" s="12">
        <v>18399.3</v>
      </c>
      <c r="I552" s="13">
        <v>15639.404999999999</v>
      </c>
      <c r="J552" s="13">
        <f>Orders[[#This Row],[Quantity]]*Orders[[#This Row],[Selling Price]]</f>
        <v>128795.09999999999</v>
      </c>
      <c r="K552" s="13">
        <f>Orders[[#This Row],[Quantity]]*Orders[[#This Row],[Cost Price]]</f>
        <v>109475.83499999999</v>
      </c>
      <c r="L552" s="13">
        <f>Orders[[#This Row],[Revenue]]-Orders[[#This Row],[Expenses]]</f>
        <v>19319.264999999999</v>
      </c>
      <c r="M552" t="s">
        <v>2209</v>
      </c>
      <c r="N552" t="str">
        <f>_xlfn.XLOOKUP(Orders[[#This Row],[CustomerID]],Customers[CustomerID],Customers[CustomerName])</f>
        <v>Obi Adeyemi</v>
      </c>
      <c r="O552" t="str">
        <f>_xlfn.XLOOKUP(Orders[[#This Row],[CustomerID]],Customers[CustomerID],Customers[City])</f>
        <v>California</v>
      </c>
      <c r="P552" t="str">
        <f>_xlfn.XLOOKUP(Orders[[#This Row],[CustomerID]],Customers[CustomerID],Customers[Gender])</f>
        <v>Male</v>
      </c>
      <c r="Q552">
        <f>_xlfn.XLOOKUP(Orders[[#This Row],[CustomerID]],Customers[CustomerID],Customers[CustomerAge])</f>
        <v>24</v>
      </c>
      <c r="R552" t="str">
        <f>IF(Orders[[#This Row],[CustomerAge]]&gt;=35, "Older", "Young")</f>
        <v>Young</v>
      </c>
      <c r="S552" t="str">
        <f>_xlfn.XLOOKUP(Orders[[#This Row],[ProductID]],Products[ProductID],Products[ProductName])</f>
        <v>Checkers</v>
      </c>
      <c r="T552" t="str">
        <f>_xlfn.XLOOKUP(Orders[[#This Row],[ProductID]],Products[ProductID],Products[Category])</f>
        <v>Games</v>
      </c>
    </row>
    <row r="553" spans="1:20" x14ac:dyDescent="0.25">
      <c r="A553" s="4" t="s">
        <v>739</v>
      </c>
      <c r="B553" s="5">
        <v>45979</v>
      </c>
      <c r="C553" s="15">
        <f>WEEKNUM(Orders[[#This Row],[OrderDate]])</f>
        <v>47</v>
      </c>
      <c r="D553" s="15" t="str">
        <f>TEXT(Orders[[#This Row],[OrderDate]],"mmmm")</f>
        <v>November</v>
      </c>
      <c r="E553" s="4" t="s">
        <v>311</v>
      </c>
      <c r="F553" s="4" t="s">
        <v>25</v>
      </c>
      <c r="G553" s="4">
        <v>6</v>
      </c>
      <c r="H553" s="12">
        <v>16332.3</v>
      </c>
      <c r="I553" s="13">
        <v>13882.455</v>
      </c>
      <c r="J553" s="13">
        <f>Orders[[#This Row],[Quantity]]*Orders[[#This Row],[Selling Price]]</f>
        <v>97993.799999999988</v>
      </c>
      <c r="K553" s="13">
        <f>Orders[[#This Row],[Quantity]]*Orders[[#This Row],[Cost Price]]</f>
        <v>83294.73</v>
      </c>
      <c r="L553" s="13">
        <f>Orders[[#This Row],[Revenue]]-Orders[[#This Row],[Expenses]]</f>
        <v>14699.069999999992</v>
      </c>
      <c r="M553" t="s">
        <v>2214</v>
      </c>
      <c r="N553" t="str">
        <f>_xlfn.XLOOKUP(Orders[[#This Row],[CustomerID]],Customers[CustomerID],Customers[CustomerName])</f>
        <v>Bisi Bello</v>
      </c>
      <c r="O553" t="str">
        <f>_xlfn.XLOOKUP(Orders[[#This Row],[CustomerID]],Customers[CustomerID],Customers[City])</f>
        <v>Georgia</v>
      </c>
      <c r="P553" t="str">
        <f>_xlfn.XLOOKUP(Orders[[#This Row],[CustomerID]],Customers[CustomerID],Customers[Gender])</f>
        <v>Female</v>
      </c>
      <c r="Q553">
        <f>_xlfn.XLOOKUP(Orders[[#This Row],[CustomerID]],Customers[CustomerID],Customers[CustomerAge])</f>
        <v>31</v>
      </c>
      <c r="R553" t="str">
        <f>IF(Orders[[#This Row],[CustomerAge]]&gt;=35, "Older", "Young")</f>
        <v>Young</v>
      </c>
      <c r="S553" t="str">
        <f>_xlfn.XLOOKUP(Orders[[#This Row],[ProductID]],Products[ProductID],Products[ProductName])</f>
        <v>Gold Rings</v>
      </c>
      <c r="T553" t="str">
        <f>_xlfn.XLOOKUP(Orders[[#This Row],[ProductID]],Products[ProductID],Products[Category])</f>
        <v>Accessories</v>
      </c>
    </row>
    <row r="554" spans="1:20" x14ac:dyDescent="0.25">
      <c r="A554" s="4" t="s">
        <v>740</v>
      </c>
      <c r="B554" s="5">
        <v>46011</v>
      </c>
      <c r="C554" s="15">
        <f>WEEKNUM(Orders[[#This Row],[OrderDate]])</f>
        <v>51</v>
      </c>
      <c r="D554" s="15" t="str">
        <f>TEXT(Orders[[#This Row],[OrderDate]],"mmmm")</f>
        <v>December</v>
      </c>
      <c r="E554" s="4" t="s">
        <v>180</v>
      </c>
      <c r="F554" s="4" t="s">
        <v>151</v>
      </c>
      <c r="G554" s="4">
        <v>6</v>
      </c>
      <c r="H554" s="12">
        <v>17278.399999999998</v>
      </c>
      <c r="I554" s="13">
        <v>14686.639999999998</v>
      </c>
      <c r="J554" s="13">
        <f>Orders[[#This Row],[Quantity]]*Orders[[#This Row],[Selling Price]]</f>
        <v>103670.39999999999</v>
      </c>
      <c r="K554" s="13">
        <f>Orders[[#This Row],[Quantity]]*Orders[[#This Row],[Cost Price]]</f>
        <v>88119.839999999982</v>
      </c>
      <c r="L554" s="13">
        <f>Orders[[#This Row],[Revenue]]-Orders[[#This Row],[Expenses]]</f>
        <v>15550.560000000012</v>
      </c>
      <c r="M554" t="s">
        <v>2202</v>
      </c>
      <c r="N554" t="str">
        <f>_xlfn.XLOOKUP(Orders[[#This Row],[CustomerID]],Customers[CustomerID],Customers[CustomerName])</f>
        <v>Jide Okonkwo</v>
      </c>
      <c r="O554" t="str">
        <f>_xlfn.XLOOKUP(Orders[[#This Row],[CustomerID]],Customers[CustomerID],Customers[City])</f>
        <v>Texas</v>
      </c>
      <c r="P554" t="str">
        <f>_xlfn.XLOOKUP(Orders[[#This Row],[CustomerID]],Customers[CustomerID],Customers[Gender])</f>
        <v>Male</v>
      </c>
      <c r="Q554">
        <f>_xlfn.XLOOKUP(Orders[[#This Row],[CustomerID]],Customers[CustomerID],Customers[CustomerAge])</f>
        <v>25</v>
      </c>
      <c r="R554" t="str">
        <f>IF(Orders[[#This Row],[CustomerAge]]&gt;=35, "Older", "Young")</f>
        <v>Young</v>
      </c>
      <c r="S554" t="str">
        <f>_xlfn.XLOOKUP(Orders[[#This Row],[ProductID]],Products[ProductID],Products[ProductName])</f>
        <v>Checkers</v>
      </c>
      <c r="T554" t="str">
        <f>_xlfn.XLOOKUP(Orders[[#This Row],[ProductID]],Products[ProductID],Products[Category])</f>
        <v>Games</v>
      </c>
    </row>
    <row r="555" spans="1:20" x14ac:dyDescent="0.25">
      <c r="A555" s="4" t="s">
        <v>741</v>
      </c>
      <c r="B555" s="5">
        <v>45935</v>
      </c>
      <c r="C555" s="15">
        <f>WEEKNUM(Orders[[#This Row],[OrderDate]])</f>
        <v>41</v>
      </c>
      <c r="D555" s="15" t="str">
        <f>TEXT(Orders[[#This Row],[OrderDate]],"mmmm")</f>
        <v>October</v>
      </c>
      <c r="E555" s="4" t="s">
        <v>94</v>
      </c>
      <c r="F555" s="4" t="s">
        <v>60</v>
      </c>
      <c r="G555" s="4">
        <v>4</v>
      </c>
      <c r="H555" s="12">
        <v>19196.199999999997</v>
      </c>
      <c r="I555" s="13">
        <v>16316.769999999997</v>
      </c>
      <c r="J555" s="13">
        <f>Orders[[#This Row],[Quantity]]*Orders[[#This Row],[Selling Price]]</f>
        <v>76784.799999999988</v>
      </c>
      <c r="K555" s="13">
        <f>Orders[[#This Row],[Quantity]]*Orders[[#This Row],[Cost Price]]</f>
        <v>65267.079999999987</v>
      </c>
      <c r="L555" s="13">
        <f>Orders[[#This Row],[Revenue]]-Orders[[#This Row],[Expenses]]</f>
        <v>11517.720000000001</v>
      </c>
      <c r="M555" t="s">
        <v>2214</v>
      </c>
      <c r="N555" t="str">
        <f>_xlfn.XLOOKUP(Orders[[#This Row],[CustomerID]],Customers[CustomerID],Customers[CustomerName])</f>
        <v>Uche Abubakar</v>
      </c>
      <c r="O555" t="str">
        <f>_xlfn.XLOOKUP(Orders[[#This Row],[CustomerID]],Customers[CustomerID],Customers[City])</f>
        <v>Texas</v>
      </c>
      <c r="P555" t="str">
        <f>_xlfn.XLOOKUP(Orders[[#This Row],[CustomerID]],Customers[CustomerID],Customers[Gender])</f>
        <v>Male</v>
      </c>
      <c r="Q555">
        <f>_xlfn.XLOOKUP(Orders[[#This Row],[CustomerID]],Customers[CustomerID],Customers[CustomerAge])</f>
        <v>26</v>
      </c>
      <c r="R555" t="str">
        <f>IF(Orders[[#This Row],[CustomerAge]]&gt;=35, "Older", "Young")</f>
        <v>Young</v>
      </c>
      <c r="S555" t="str">
        <f>_xlfn.XLOOKUP(Orders[[#This Row],[ProductID]],Products[ProductID],Products[ProductName])</f>
        <v>Silver Rings</v>
      </c>
      <c r="T555" t="str">
        <f>_xlfn.XLOOKUP(Orders[[#This Row],[ProductID]],Products[ProductID],Products[Category])</f>
        <v>Accessories</v>
      </c>
    </row>
    <row r="556" spans="1:20" x14ac:dyDescent="0.25">
      <c r="A556" s="4" t="s">
        <v>742</v>
      </c>
      <c r="B556" s="5">
        <v>45989</v>
      </c>
      <c r="C556" s="15">
        <f>WEEKNUM(Orders[[#This Row],[OrderDate]])</f>
        <v>48</v>
      </c>
      <c r="D556" s="15" t="str">
        <f>TEXT(Orders[[#This Row],[OrderDate]],"mmmm")</f>
        <v>November</v>
      </c>
      <c r="E556" s="4" t="s">
        <v>502</v>
      </c>
      <c r="F556" s="4" t="s">
        <v>28</v>
      </c>
      <c r="G556" s="4">
        <v>1</v>
      </c>
      <c r="H556" s="12">
        <v>15156.199999999999</v>
      </c>
      <c r="I556" s="13">
        <v>12882.769999999999</v>
      </c>
      <c r="J556" s="13">
        <f>Orders[[#This Row],[Quantity]]*Orders[[#This Row],[Selling Price]]</f>
        <v>15156.199999999999</v>
      </c>
      <c r="K556" s="13">
        <f>Orders[[#This Row],[Quantity]]*Orders[[#This Row],[Cost Price]]</f>
        <v>12882.769999999999</v>
      </c>
      <c r="L556" s="13">
        <f>Orders[[#This Row],[Revenue]]-Orders[[#This Row],[Expenses]]</f>
        <v>2273.4300000000003</v>
      </c>
      <c r="M556" t="s">
        <v>2198</v>
      </c>
      <c r="N556" t="str">
        <f>_xlfn.XLOOKUP(Orders[[#This Row],[CustomerID]],Customers[CustomerID],Customers[CustomerName])</f>
        <v>Obi Eze</v>
      </c>
      <c r="O556" t="str">
        <f>_xlfn.XLOOKUP(Orders[[#This Row],[CustomerID]],Customers[CustomerID],Customers[City])</f>
        <v>Texas</v>
      </c>
      <c r="P556" t="str">
        <f>_xlfn.XLOOKUP(Orders[[#This Row],[CustomerID]],Customers[CustomerID],Customers[Gender])</f>
        <v>Male</v>
      </c>
      <c r="Q556">
        <f>_xlfn.XLOOKUP(Orders[[#This Row],[CustomerID]],Customers[CustomerID],Customers[CustomerAge])</f>
        <v>24</v>
      </c>
      <c r="R556" t="str">
        <f>IF(Orders[[#This Row],[CustomerAge]]&gt;=35, "Older", "Young")</f>
        <v>Young</v>
      </c>
      <c r="S556" t="str">
        <f>_xlfn.XLOOKUP(Orders[[#This Row],[ProductID]],Products[ProductID],Products[ProductName])</f>
        <v>Sneakers</v>
      </c>
      <c r="T556" t="str">
        <f>_xlfn.XLOOKUP(Orders[[#This Row],[ProductID]],Products[ProductID],Products[Category])</f>
        <v>Sports</v>
      </c>
    </row>
    <row r="557" spans="1:20" x14ac:dyDescent="0.25">
      <c r="A557" s="4" t="s">
        <v>743</v>
      </c>
      <c r="B557" s="5">
        <v>45949</v>
      </c>
      <c r="C557" s="15">
        <f>WEEKNUM(Orders[[#This Row],[OrderDate]])</f>
        <v>43</v>
      </c>
      <c r="D557" s="15" t="str">
        <f>TEXT(Orders[[#This Row],[OrderDate]],"mmmm")</f>
        <v>October</v>
      </c>
      <c r="E557" s="4" t="s">
        <v>142</v>
      </c>
      <c r="F557" s="4" t="s">
        <v>111</v>
      </c>
      <c r="G557" s="4">
        <v>6</v>
      </c>
      <c r="H557" s="12">
        <v>11232.4</v>
      </c>
      <c r="I557" s="13">
        <v>9547.5399999999991</v>
      </c>
      <c r="J557" s="13">
        <f>Orders[[#This Row],[Quantity]]*Orders[[#This Row],[Selling Price]]</f>
        <v>67394.399999999994</v>
      </c>
      <c r="K557" s="13">
        <f>Orders[[#This Row],[Quantity]]*Orders[[#This Row],[Cost Price]]</f>
        <v>57285.239999999991</v>
      </c>
      <c r="L557" s="13">
        <f>Orders[[#This Row],[Revenue]]-Orders[[#This Row],[Expenses]]</f>
        <v>10109.160000000003</v>
      </c>
      <c r="M557" t="s">
        <v>2210</v>
      </c>
      <c r="N557" t="str">
        <f>_xlfn.XLOOKUP(Orders[[#This Row],[CustomerID]],Customers[CustomerID],Customers[CustomerName])</f>
        <v>Obi Adeyemi</v>
      </c>
      <c r="O557" t="str">
        <f>_xlfn.XLOOKUP(Orders[[#This Row],[CustomerID]],Customers[CustomerID],Customers[City])</f>
        <v>Florida</v>
      </c>
      <c r="P557" t="str">
        <f>_xlfn.XLOOKUP(Orders[[#This Row],[CustomerID]],Customers[CustomerID],Customers[Gender])</f>
        <v>Male</v>
      </c>
      <c r="Q557">
        <f>_xlfn.XLOOKUP(Orders[[#This Row],[CustomerID]],Customers[CustomerID],Customers[CustomerAge])</f>
        <v>31</v>
      </c>
      <c r="R557" t="str">
        <f>IF(Orders[[#This Row],[CustomerAge]]&gt;=35, "Older", "Young")</f>
        <v>Young</v>
      </c>
      <c r="S557" t="str">
        <f>_xlfn.XLOOKUP(Orders[[#This Row],[ProductID]],Products[ProductID],Products[ProductName])</f>
        <v>Refrigerator</v>
      </c>
      <c r="T557" t="str">
        <f>_xlfn.XLOOKUP(Orders[[#This Row],[ProductID]],Products[ProductID],Products[Category])</f>
        <v>Electronics</v>
      </c>
    </row>
    <row r="558" spans="1:20" x14ac:dyDescent="0.25">
      <c r="A558" s="4" t="s">
        <v>744</v>
      </c>
      <c r="B558" s="5">
        <v>45997</v>
      </c>
      <c r="C558" s="15">
        <f>WEEKNUM(Orders[[#This Row],[OrderDate]])</f>
        <v>49</v>
      </c>
      <c r="D558" s="15" t="str">
        <f>TEXT(Orders[[#This Row],[OrderDate]],"mmmm")</f>
        <v>December</v>
      </c>
      <c r="E558" s="4" t="s">
        <v>333</v>
      </c>
      <c r="F558" s="4" t="s">
        <v>63</v>
      </c>
      <c r="G558" s="4">
        <v>2</v>
      </c>
      <c r="H558" s="12">
        <v>3267.5</v>
      </c>
      <c r="I558" s="13">
        <v>2777.375</v>
      </c>
      <c r="J558" s="13">
        <f>Orders[[#This Row],[Quantity]]*Orders[[#This Row],[Selling Price]]</f>
        <v>6535</v>
      </c>
      <c r="K558" s="13">
        <f>Orders[[#This Row],[Quantity]]*Orders[[#This Row],[Cost Price]]</f>
        <v>5554.75</v>
      </c>
      <c r="L558" s="13">
        <f>Orders[[#This Row],[Revenue]]-Orders[[#This Row],[Expenses]]</f>
        <v>980.25</v>
      </c>
      <c r="M558" t="s">
        <v>2202</v>
      </c>
      <c r="N558" t="str">
        <f>_xlfn.XLOOKUP(Orders[[#This Row],[CustomerID]],Customers[CustomerID],Customers[CustomerName])</f>
        <v>Emeka Obi</v>
      </c>
      <c r="O558" t="str">
        <f>_xlfn.XLOOKUP(Orders[[#This Row],[CustomerID]],Customers[CustomerID],Customers[City])</f>
        <v>Washington</v>
      </c>
      <c r="P558" t="str">
        <f>_xlfn.XLOOKUP(Orders[[#This Row],[CustomerID]],Customers[CustomerID],Customers[Gender])</f>
        <v>Male</v>
      </c>
      <c r="Q558">
        <f>_xlfn.XLOOKUP(Orders[[#This Row],[CustomerID]],Customers[CustomerID],Customers[CustomerAge])</f>
        <v>44</v>
      </c>
      <c r="R558" t="str">
        <f>IF(Orders[[#This Row],[CustomerAge]]&gt;=35, "Older", "Young")</f>
        <v>Older</v>
      </c>
      <c r="S558" t="str">
        <f>_xlfn.XLOOKUP(Orders[[#This Row],[ProductID]],Products[ProductID],Products[ProductName])</f>
        <v>Tennis Bat</v>
      </c>
      <c r="T558" t="str">
        <f>_xlfn.XLOOKUP(Orders[[#This Row],[ProductID]],Products[ProductID],Products[Category])</f>
        <v>Sports</v>
      </c>
    </row>
    <row r="559" spans="1:20" x14ac:dyDescent="0.25">
      <c r="A559" s="4" t="s">
        <v>745</v>
      </c>
      <c r="B559" s="5">
        <v>46008</v>
      </c>
      <c r="C559" s="15">
        <f>WEEKNUM(Orders[[#This Row],[OrderDate]])</f>
        <v>51</v>
      </c>
      <c r="D559" s="15" t="str">
        <f>TEXT(Orders[[#This Row],[OrderDate]],"mmmm")</f>
        <v>December</v>
      </c>
      <c r="E559" s="4" t="s">
        <v>244</v>
      </c>
      <c r="F559" s="4" t="s">
        <v>37</v>
      </c>
      <c r="G559" s="4">
        <v>9</v>
      </c>
      <c r="H559" s="12">
        <v>704.7</v>
      </c>
      <c r="I559" s="13">
        <v>598.995</v>
      </c>
      <c r="J559" s="13">
        <f>Orders[[#This Row],[Quantity]]*Orders[[#This Row],[Selling Price]]</f>
        <v>6342.3</v>
      </c>
      <c r="K559" s="13">
        <f>Orders[[#This Row],[Quantity]]*Orders[[#This Row],[Cost Price]]</f>
        <v>5390.9549999999999</v>
      </c>
      <c r="L559" s="13">
        <f>Orders[[#This Row],[Revenue]]-Orders[[#This Row],[Expenses]]</f>
        <v>951.34500000000025</v>
      </c>
      <c r="M559" t="s">
        <v>2213</v>
      </c>
      <c r="N559" t="str">
        <f>_xlfn.XLOOKUP(Orders[[#This Row],[CustomerID]],Customers[CustomerID],Customers[CustomerName])</f>
        <v>Zainab Abubakar</v>
      </c>
      <c r="O559" t="str">
        <f>_xlfn.XLOOKUP(Orders[[#This Row],[CustomerID]],Customers[CustomerID],Customers[City])</f>
        <v>Texas</v>
      </c>
      <c r="P559" t="str">
        <f>_xlfn.XLOOKUP(Orders[[#This Row],[CustomerID]],Customers[CustomerID],Customers[Gender])</f>
        <v>Female</v>
      </c>
      <c r="Q559">
        <f>_xlfn.XLOOKUP(Orders[[#This Row],[CustomerID]],Customers[CustomerID],Customers[CustomerAge])</f>
        <v>33</v>
      </c>
      <c r="R559" t="str">
        <f>IF(Orders[[#This Row],[CustomerAge]]&gt;=35, "Older", "Young")</f>
        <v>Young</v>
      </c>
      <c r="S559" t="str">
        <f>_xlfn.XLOOKUP(Orders[[#This Row],[ProductID]],Products[ProductID],Products[ProductName])</f>
        <v>Iron</v>
      </c>
      <c r="T559" t="str">
        <f>_xlfn.XLOOKUP(Orders[[#This Row],[ProductID]],Products[ProductID],Products[Category])</f>
        <v>Electronics</v>
      </c>
    </row>
    <row r="560" spans="1:20" x14ac:dyDescent="0.25">
      <c r="A560" s="4" t="s">
        <v>746</v>
      </c>
      <c r="B560" s="5">
        <v>46009</v>
      </c>
      <c r="C560" s="15">
        <f>WEEKNUM(Orders[[#This Row],[OrderDate]])</f>
        <v>51</v>
      </c>
      <c r="D560" s="15" t="str">
        <f>TEXT(Orders[[#This Row],[OrderDate]],"mmmm")</f>
        <v>December</v>
      </c>
      <c r="E560" s="4" t="s">
        <v>439</v>
      </c>
      <c r="F560" s="4" t="s">
        <v>232</v>
      </c>
      <c r="G560" s="4">
        <v>3</v>
      </c>
      <c r="H560" s="12">
        <v>9155.2999999999993</v>
      </c>
      <c r="I560" s="13">
        <v>7782.0049999999992</v>
      </c>
      <c r="J560" s="13">
        <f>Orders[[#This Row],[Quantity]]*Orders[[#This Row],[Selling Price]]</f>
        <v>27465.899999999998</v>
      </c>
      <c r="K560" s="13">
        <f>Orders[[#This Row],[Quantity]]*Orders[[#This Row],[Cost Price]]</f>
        <v>23346.014999999999</v>
      </c>
      <c r="L560" s="13">
        <f>Orders[[#This Row],[Revenue]]-Orders[[#This Row],[Expenses]]</f>
        <v>4119.8849999999984</v>
      </c>
      <c r="M560" t="s">
        <v>2214</v>
      </c>
      <c r="N560" t="str">
        <f>_xlfn.XLOOKUP(Orders[[#This Row],[CustomerID]],Customers[CustomerID],Customers[CustomerName])</f>
        <v>Efe Abubakar</v>
      </c>
      <c r="O560" t="str">
        <f>_xlfn.XLOOKUP(Orders[[#This Row],[CustomerID]],Customers[CustomerID],Customers[City])</f>
        <v>Texas</v>
      </c>
      <c r="P560" t="str">
        <f>_xlfn.XLOOKUP(Orders[[#This Row],[CustomerID]],Customers[CustomerID],Customers[Gender])</f>
        <v>Female</v>
      </c>
      <c r="Q560">
        <f>_xlfn.XLOOKUP(Orders[[#This Row],[CustomerID]],Customers[CustomerID],Customers[CustomerAge])</f>
        <v>50</v>
      </c>
      <c r="R560" t="str">
        <f>IF(Orders[[#This Row],[CustomerAge]]&gt;=35, "Older", "Young")</f>
        <v>Older</v>
      </c>
      <c r="S560" t="str">
        <f>_xlfn.XLOOKUP(Orders[[#This Row],[ProductID]],Products[ProductID],Products[ProductName])</f>
        <v>Ankara</v>
      </c>
      <c r="T560" t="str">
        <f>_xlfn.XLOOKUP(Orders[[#This Row],[ProductID]],Products[ProductID],Products[Category])</f>
        <v>Clothing</v>
      </c>
    </row>
    <row r="561" spans="1:20" x14ac:dyDescent="0.25">
      <c r="A561" s="4" t="s">
        <v>747</v>
      </c>
      <c r="B561" s="5">
        <v>45984</v>
      </c>
      <c r="C561" s="15">
        <f>WEEKNUM(Orders[[#This Row],[OrderDate]])</f>
        <v>48</v>
      </c>
      <c r="D561" s="15" t="str">
        <f>TEXT(Orders[[#This Row],[OrderDate]],"mmmm")</f>
        <v>November</v>
      </c>
      <c r="E561" s="4" t="s">
        <v>194</v>
      </c>
      <c r="F561" s="4" t="s">
        <v>189</v>
      </c>
      <c r="G561" s="4">
        <v>4</v>
      </c>
      <c r="H561" s="12">
        <v>4458</v>
      </c>
      <c r="I561" s="13">
        <v>3789.3</v>
      </c>
      <c r="J561" s="13">
        <f>Orders[[#This Row],[Quantity]]*Orders[[#This Row],[Selling Price]]</f>
        <v>17832</v>
      </c>
      <c r="K561" s="13">
        <f>Orders[[#This Row],[Quantity]]*Orders[[#This Row],[Cost Price]]</f>
        <v>15157.2</v>
      </c>
      <c r="L561" s="13">
        <f>Orders[[#This Row],[Revenue]]-Orders[[#This Row],[Expenses]]</f>
        <v>2674.7999999999993</v>
      </c>
      <c r="M561" t="s">
        <v>2196</v>
      </c>
      <c r="N561" t="str">
        <f>_xlfn.XLOOKUP(Orders[[#This Row],[CustomerID]],Customers[CustomerID],Customers[CustomerName])</f>
        <v>Adanma Adeyemi</v>
      </c>
      <c r="O561" t="str">
        <f>_xlfn.XLOOKUP(Orders[[#This Row],[CustomerID]],Customers[CustomerID],Customers[City])</f>
        <v>Washington</v>
      </c>
      <c r="P561" t="str">
        <f>_xlfn.XLOOKUP(Orders[[#This Row],[CustomerID]],Customers[CustomerID],Customers[Gender])</f>
        <v>Female</v>
      </c>
      <c r="Q561">
        <f>_xlfn.XLOOKUP(Orders[[#This Row],[CustomerID]],Customers[CustomerID],Customers[CustomerAge])</f>
        <v>45</v>
      </c>
      <c r="R561" t="str">
        <f>IF(Orders[[#This Row],[CustomerAge]]&gt;=35, "Older", "Young")</f>
        <v>Older</v>
      </c>
      <c r="S561" t="str">
        <f>_xlfn.XLOOKUP(Orders[[#This Row],[ProductID]],Products[ProductID],Products[ProductName])</f>
        <v>Scrabble</v>
      </c>
      <c r="T561" t="str">
        <f>_xlfn.XLOOKUP(Orders[[#This Row],[ProductID]],Products[ProductID],Products[Category])</f>
        <v>Games</v>
      </c>
    </row>
    <row r="562" spans="1:20" x14ac:dyDescent="0.25">
      <c r="A562" s="4" t="s">
        <v>748</v>
      </c>
      <c r="B562" s="5">
        <v>45937</v>
      </c>
      <c r="C562" s="15">
        <f>WEEKNUM(Orders[[#This Row],[OrderDate]])</f>
        <v>41</v>
      </c>
      <c r="D562" s="15" t="str">
        <f>TEXT(Orders[[#This Row],[OrderDate]],"mmmm")</f>
        <v>October</v>
      </c>
      <c r="E562" s="4" t="s">
        <v>33</v>
      </c>
      <c r="F562" s="4" t="s">
        <v>60</v>
      </c>
      <c r="G562" s="4">
        <v>9</v>
      </c>
      <c r="H562" s="12">
        <v>10029.6</v>
      </c>
      <c r="I562" s="13">
        <v>8525.16</v>
      </c>
      <c r="J562" s="13">
        <f>Orders[[#This Row],[Quantity]]*Orders[[#This Row],[Selling Price]]</f>
        <v>90266.400000000009</v>
      </c>
      <c r="K562" s="13">
        <f>Orders[[#This Row],[Quantity]]*Orders[[#This Row],[Cost Price]]</f>
        <v>76726.44</v>
      </c>
      <c r="L562" s="13">
        <f>Orders[[#This Row],[Revenue]]-Orders[[#This Row],[Expenses]]</f>
        <v>13539.960000000006</v>
      </c>
      <c r="M562" t="s">
        <v>2218</v>
      </c>
      <c r="N562" t="str">
        <f>_xlfn.XLOOKUP(Orders[[#This Row],[CustomerID]],Customers[CustomerID],Customers[CustomerName])</f>
        <v>Okon Balogun</v>
      </c>
      <c r="O562" t="str">
        <f>_xlfn.XLOOKUP(Orders[[#This Row],[CustomerID]],Customers[CustomerID],Customers[City])</f>
        <v>Texas</v>
      </c>
      <c r="P562" t="str">
        <f>_xlfn.XLOOKUP(Orders[[#This Row],[CustomerID]],Customers[CustomerID],Customers[Gender])</f>
        <v>Male</v>
      </c>
      <c r="Q562">
        <f>_xlfn.XLOOKUP(Orders[[#This Row],[CustomerID]],Customers[CustomerID],Customers[CustomerAge])</f>
        <v>28</v>
      </c>
      <c r="R562" t="str">
        <f>IF(Orders[[#This Row],[CustomerAge]]&gt;=35, "Older", "Young")</f>
        <v>Young</v>
      </c>
      <c r="S562" t="str">
        <f>_xlfn.XLOOKUP(Orders[[#This Row],[ProductID]],Products[ProductID],Products[ProductName])</f>
        <v>Silver Rings</v>
      </c>
      <c r="T562" t="str">
        <f>_xlfn.XLOOKUP(Orders[[#This Row],[ProductID]],Products[ProductID],Products[Category])</f>
        <v>Accessories</v>
      </c>
    </row>
    <row r="563" spans="1:20" x14ac:dyDescent="0.25">
      <c r="A563" s="4" t="s">
        <v>749</v>
      </c>
      <c r="B563" s="5">
        <v>45998</v>
      </c>
      <c r="C563" s="15">
        <f>WEEKNUM(Orders[[#This Row],[OrderDate]])</f>
        <v>50</v>
      </c>
      <c r="D563" s="15" t="str">
        <f>TEXT(Orders[[#This Row],[OrderDate]],"mmmm")</f>
        <v>December</v>
      </c>
      <c r="E563" s="4" t="s">
        <v>314</v>
      </c>
      <c r="F563" s="4" t="s">
        <v>57</v>
      </c>
      <c r="G563" s="4">
        <v>7</v>
      </c>
      <c r="H563" s="12">
        <v>5517.7999999999993</v>
      </c>
      <c r="I563" s="13">
        <v>4690.1299999999992</v>
      </c>
      <c r="J563" s="13">
        <f>Orders[[#This Row],[Quantity]]*Orders[[#This Row],[Selling Price]]</f>
        <v>38624.599999999991</v>
      </c>
      <c r="K563" s="13">
        <f>Orders[[#This Row],[Quantity]]*Orders[[#This Row],[Cost Price]]</f>
        <v>32830.909999999996</v>
      </c>
      <c r="L563" s="13">
        <f>Orders[[#This Row],[Revenue]]-Orders[[#This Row],[Expenses]]</f>
        <v>5793.6899999999951</v>
      </c>
      <c r="M563" t="s">
        <v>2214</v>
      </c>
      <c r="N563" t="str">
        <f>_xlfn.XLOOKUP(Orders[[#This Row],[CustomerID]],Customers[CustomerID],Customers[CustomerName])</f>
        <v>Bisi Ojo</v>
      </c>
      <c r="O563" t="str">
        <f>_xlfn.XLOOKUP(Orders[[#This Row],[CustomerID]],Customers[CustomerID],Customers[City])</f>
        <v>Washington</v>
      </c>
      <c r="P563" t="str">
        <f>_xlfn.XLOOKUP(Orders[[#This Row],[CustomerID]],Customers[CustomerID],Customers[Gender])</f>
        <v>Female</v>
      </c>
      <c r="Q563">
        <f>_xlfn.XLOOKUP(Orders[[#This Row],[CustomerID]],Customers[CustomerID],Customers[CustomerAge])</f>
        <v>18</v>
      </c>
      <c r="R563" t="str">
        <f>IF(Orders[[#This Row],[CustomerAge]]&gt;=35, "Older", "Young")</f>
        <v>Young</v>
      </c>
      <c r="S563" t="str">
        <f>_xlfn.XLOOKUP(Orders[[#This Row],[ProductID]],Products[ProductID],Products[ProductName])</f>
        <v>Badminton Racket</v>
      </c>
      <c r="T563" t="str">
        <f>_xlfn.XLOOKUP(Orders[[#This Row],[ProductID]],Products[ProductID],Products[Category])</f>
        <v>Sports</v>
      </c>
    </row>
    <row r="564" spans="1:20" x14ac:dyDescent="0.25">
      <c r="A564" s="4" t="s">
        <v>750</v>
      </c>
      <c r="B564" s="5">
        <v>45945</v>
      </c>
      <c r="C564" s="15">
        <f>WEEKNUM(Orders[[#This Row],[OrderDate]])</f>
        <v>42</v>
      </c>
      <c r="D564" s="15" t="str">
        <f>TEXT(Orders[[#This Row],[OrderDate]],"mmmm")</f>
        <v>October</v>
      </c>
      <c r="E564" s="4" t="s">
        <v>39</v>
      </c>
      <c r="F564" s="4" t="s">
        <v>60</v>
      </c>
      <c r="G564" s="4">
        <v>9</v>
      </c>
      <c r="H564" s="12">
        <v>16934.7</v>
      </c>
      <c r="I564" s="13">
        <v>14394.495000000001</v>
      </c>
      <c r="J564" s="13">
        <f>Orders[[#This Row],[Quantity]]*Orders[[#This Row],[Selling Price]]</f>
        <v>152412.30000000002</v>
      </c>
      <c r="K564" s="13">
        <f>Orders[[#This Row],[Quantity]]*Orders[[#This Row],[Cost Price]]</f>
        <v>129550.455</v>
      </c>
      <c r="L564" s="13">
        <f>Orders[[#This Row],[Revenue]]-Orders[[#This Row],[Expenses]]</f>
        <v>22861.845000000016</v>
      </c>
      <c r="M564" t="s">
        <v>2218</v>
      </c>
      <c r="N564" t="str">
        <f>_xlfn.XLOOKUP(Orders[[#This Row],[CustomerID]],Customers[CustomerID],Customers[CustomerName])</f>
        <v>Efe Adeyemi</v>
      </c>
      <c r="O564" t="str">
        <f>_xlfn.XLOOKUP(Orders[[#This Row],[CustomerID]],Customers[CustomerID],Customers[City])</f>
        <v>Florida</v>
      </c>
      <c r="P564" t="str">
        <f>_xlfn.XLOOKUP(Orders[[#This Row],[CustomerID]],Customers[CustomerID],Customers[Gender])</f>
        <v>Female</v>
      </c>
      <c r="Q564">
        <f>_xlfn.XLOOKUP(Orders[[#This Row],[CustomerID]],Customers[CustomerID],Customers[CustomerAge])</f>
        <v>20</v>
      </c>
      <c r="R564" t="str">
        <f>IF(Orders[[#This Row],[CustomerAge]]&gt;=35, "Older", "Young")</f>
        <v>Young</v>
      </c>
      <c r="S564" t="str">
        <f>_xlfn.XLOOKUP(Orders[[#This Row],[ProductID]],Products[ProductID],Products[ProductName])</f>
        <v>Silver Rings</v>
      </c>
      <c r="T564" t="str">
        <f>_xlfn.XLOOKUP(Orders[[#This Row],[ProductID]],Products[ProductID],Products[Category])</f>
        <v>Accessories</v>
      </c>
    </row>
    <row r="565" spans="1:20" x14ac:dyDescent="0.25">
      <c r="A565" s="4" t="s">
        <v>751</v>
      </c>
      <c r="B565" s="5">
        <v>45956</v>
      </c>
      <c r="C565" s="15">
        <f>WEEKNUM(Orders[[#This Row],[OrderDate]])</f>
        <v>44</v>
      </c>
      <c r="D565" s="15" t="str">
        <f>TEXT(Orders[[#This Row],[OrderDate]],"mmmm")</f>
        <v>October</v>
      </c>
      <c r="E565" s="4" t="s">
        <v>426</v>
      </c>
      <c r="F565" s="4" t="s">
        <v>189</v>
      </c>
      <c r="G565" s="4">
        <v>7</v>
      </c>
      <c r="H565" s="12">
        <v>925.1</v>
      </c>
      <c r="I565" s="13">
        <v>786.33500000000004</v>
      </c>
      <c r="J565" s="13">
        <f>Orders[[#This Row],[Quantity]]*Orders[[#This Row],[Selling Price]]</f>
        <v>6475.7</v>
      </c>
      <c r="K565" s="13">
        <f>Orders[[#This Row],[Quantity]]*Orders[[#This Row],[Cost Price]]</f>
        <v>5504.3450000000003</v>
      </c>
      <c r="L565" s="13">
        <f>Orders[[#This Row],[Revenue]]-Orders[[#This Row],[Expenses]]</f>
        <v>971.35499999999956</v>
      </c>
      <c r="M565" t="s">
        <v>2194</v>
      </c>
      <c r="N565" t="str">
        <f>_xlfn.XLOOKUP(Orders[[#This Row],[CustomerID]],Customers[CustomerID],Customers[CustomerName])</f>
        <v>Chinedu Ojo</v>
      </c>
      <c r="O565" t="str">
        <f>_xlfn.XLOOKUP(Orders[[#This Row],[CustomerID]],Customers[CustomerID],Customers[City])</f>
        <v>Washington</v>
      </c>
      <c r="P565" t="str">
        <f>_xlfn.XLOOKUP(Orders[[#This Row],[CustomerID]],Customers[CustomerID],Customers[Gender])</f>
        <v>Male</v>
      </c>
      <c r="Q565">
        <f>_xlfn.XLOOKUP(Orders[[#This Row],[CustomerID]],Customers[CustomerID],Customers[CustomerAge])</f>
        <v>18</v>
      </c>
      <c r="R565" t="str">
        <f>IF(Orders[[#This Row],[CustomerAge]]&gt;=35, "Older", "Young")</f>
        <v>Young</v>
      </c>
      <c r="S565" t="str">
        <f>_xlfn.XLOOKUP(Orders[[#This Row],[ProductID]],Products[ProductID],Products[ProductName])</f>
        <v>Scrabble</v>
      </c>
      <c r="T565" t="str">
        <f>_xlfn.XLOOKUP(Orders[[#This Row],[ProductID]],Products[ProductID],Products[Category])</f>
        <v>Games</v>
      </c>
    </row>
    <row r="566" spans="1:20" x14ac:dyDescent="0.25">
      <c r="A566" s="4" t="s">
        <v>752</v>
      </c>
      <c r="B566" s="5">
        <v>45966</v>
      </c>
      <c r="C566" s="15">
        <f>WEEKNUM(Orders[[#This Row],[OrderDate]])</f>
        <v>45</v>
      </c>
      <c r="D566" s="15" t="str">
        <f>TEXT(Orders[[#This Row],[OrderDate]],"mmmm")</f>
        <v>November</v>
      </c>
      <c r="E566" s="4" t="s">
        <v>50</v>
      </c>
      <c r="F566" s="4" t="s">
        <v>46</v>
      </c>
      <c r="G566" s="4">
        <v>9</v>
      </c>
      <c r="H566" s="12">
        <v>5214.5</v>
      </c>
      <c r="I566" s="13">
        <v>4432.3249999999998</v>
      </c>
      <c r="J566" s="13">
        <f>Orders[[#This Row],[Quantity]]*Orders[[#This Row],[Selling Price]]</f>
        <v>46930.5</v>
      </c>
      <c r="K566" s="13">
        <f>Orders[[#This Row],[Quantity]]*Orders[[#This Row],[Cost Price]]</f>
        <v>39890.924999999996</v>
      </c>
      <c r="L566" s="13">
        <f>Orders[[#This Row],[Revenue]]-Orders[[#This Row],[Expenses]]</f>
        <v>7039.5750000000044</v>
      </c>
      <c r="M566" t="s">
        <v>2219</v>
      </c>
      <c r="N566" t="str">
        <f>_xlfn.XLOOKUP(Orders[[#This Row],[CustomerID]],Customers[CustomerID],Customers[CustomerName])</f>
        <v>Funke Danladi</v>
      </c>
      <c r="O566" t="str">
        <f>_xlfn.XLOOKUP(Orders[[#This Row],[CustomerID]],Customers[CustomerID],Customers[City])</f>
        <v>California</v>
      </c>
      <c r="P566" t="str">
        <f>_xlfn.XLOOKUP(Orders[[#This Row],[CustomerID]],Customers[CustomerID],Customers[Gender])</f>
        <v>Female</v>
      </c>
      <c r="Q566">
        <f>_xlfn.XLOOKUP(Orders[[#This Row],[CustomerID]],Customers[CustomerID],Customers[CustomerAge])</f>
        <v>31</v>
      </c>
      <c r="R566" t="str">
        <f>IF(Orders[[#This Row],[CustomerAge]]&gt;=35, "Older", "Young")</f>
        <v>Young</v>
      </c>
      <c r="S566" t="str">
        <f>_xlfn.XLOOKUP(Orders[[#This Row],[ProductID]],Products[ProductID],Products[ProductName])</f>
        <v>Turtle Neck</v>
      </c>
      <c r="T566" t="str">
        <f>_xlfn.XLOOKUP(Orders[[#This Row],[ProductID]],Products[ProductID],Products[Category])</f>
        <v>Clothing</v>
      </c>
    </row>
    <row r="567" spans="1:20" x14ac:dyDescent="0.25">
      <c r="A567" s="4" t="s">
        <v>753</v>
      </c>
      <c r="B567" s="5">
        <v>46022</v>
      </c>
      <c r="C567" s="15">
        <f>WEEKNUM(Orders[[#This Row],[OrderDate]])</f>
        <v>53</v>
      </c>
      <c r="D567" s="15" t="str">
        <f>TEXT(Orders[[#This Row],[OrderDate]],"mmmm")</f>
        <v>December</v>
      </c>
      <c r="E567" s="4" t="s">
        <v>369</v>
      </c>
      <c r="F567" s="4" t="s">
        <v>31</v>
      </c>
      <c r="G567" s="4">
        <v>5</v>
      </c>
      <c r="H567" s="12">
        <v>13229.400000000001</v>
      </c>
      <c r="I567" s="13">
        <v>11244.990000000002</v>
      </c>
      <c r="J567" s="13">
        <f>Orders[[#This Row],[Quantity]]*Orders[[#This Row],[Selling Price]]</f>
        <v>66147</v>
      </c>
      <c r="K567" s="13">
        <f>Orders[[#This Row],[Quantity]]*Orders[[#This Row],[Cost Price]]</f>
        <v>56224.950000000012</v>
      </c>
      <c r="L567" s="13">
        <f>Orders[[#This Row],[Revenue]]-Orders[[#This Row],[Expenses]]</f>
        <v>9922.0499999999884</v>
      </c>
      <c r="M567" t="s">
        <v>2208</v>
      </c>
      <c r="N567" t="str">
        <f>_xlfn.XLOOKUP(Orders[[#This Row],[CustomerID]],Customers[CustomerID],Customers[CustomerName])</f>
        <v>Ibrahim Bello</v>
      </c>
      <c r="O567" t="str">
        <f>_xlfn.XLOOKUP(Orders[[#This Row],[CustomerID]],Customers[CustomerID],Customers[City])</f>
        <v>Washington</v>
      </c>
      <c r="P567" t="str">
        <f>_xlfn.XLOOKUP(Orders[[#This Row],[CustomerID]],Customers[CustomerID],Customers[Gender])</f>
        <v>Male</v>
      </c>
      <c r="Q567">
        <f>_xlfn.XLOOKUP(Orders[[#This Row],[CustomerID]],Customers[CustomerID],Customers[CustomerAge])</f>
        <v>40</v>
      </c>
      <c r="R567" t="str">
        <f>IF(Orders[[#This Row],[CustomerAge]]&gt;=35, "Older", "Young")</f>
        <v>Older</v>
      </c>
      <c r="S567" t="str">
        <f>_xlfn.XLOOKUP(Orders[[#This Row],[ProductID]],Products[ProductID],Products[ProductName])</f>
        <v>Kids Games</v>
      </c>
      <c r="T567" t="str">
        <f>_xlfn.XLOOKUP(Orders[[#This Row],[ProductID]],Products[ProductID],Products[Category])</f>
        <v>Games</v>
      </c>
    </row>
    <row r="568" spans="1:20" x14ac:dyDescent="0.25">
      <c r="A568" s="4" t="s">
        <v>754</v>
      </c>
      <c r="B568" s="5">
        <v>45980</v>
      </c>
      <c r="C568" s="15">
        <f>WEEKNUM(Orders[[#This Row],[OrderDate]])</f>
        <v>47</v>
      </c>
      <c r="D568" s="15" t="str">
        <f>TEXT(Orders[[#This Row],[OrderDate]],"mmmm")</f>
        <v>November</v>
      </c>
      <c r="E568" s="4" t="s">
        <v>517</v>
      </c>
      <c r="F568" s="4" t="s">
        <v>130</v>
      </c>
      <c r="G568" s="4">
        <v>5</v>
      </c>
      <c r="H568" s="12">
        <v>12467.4</v>
      </c>
      <c r="I568" s="13">
        <v>10597.289999999999</v>
      </c>
      <c r="J568" s="13">
        <f>Orders[[#This Row],[Quantity]]*Orders[[#This Row],[Selling Price]]</f>
        <v>62337</v>
      </c>
      <c r="K568" s="13">
        <f>Orders[[#This Row],[Quantity]]*Orders[[#This Row],[Cost Price]]</f>
        <v>52986.45</v>
      </c>
      <c r="L568" s="13">
        <f>Orders[[#This Row],[Revenue]]-Orders[[#This Row],[Expenses]]</f>
        <v>9350.5500000000029</v>
      </c>
      <c r="M568" t="s">
        <v>2193</v>
      </c>
      <c r="N568" t="str">
        <f>_xlfn.XLOOKUP(Orders[[#This Row],[CustomerID]],Customers[CustomerID],Customers[CustomerName])</f>
        <v>Efe Adeyemi</v>
      </c>
      <c r="O568" t="str">
        <f>_xlfn.XLOOKUP(Orders[[#This Row],[CustomerID]],Customers[CustomerID],Customers[City])</f>
        <v>Florida</v>
      </c>
      <c r="P568" t="str">
        <f>_xlfn.XLOOKUP(Orders[[#This Row],[CustomerID]],Customers[CustomerID],Customers[Gender])</f>
        <v>Female</v>
      </c>
      <c r="Q568">
        <f>_xlfn.XLOOKUP(Orders[[#This Row],[CustomerID]],Customers[CustomerID],Customers[CustomerAge])</f>
        <v>25</v>
      </c>
      <c r="R568" t="str">
        <f>IF(Orders[[#This Row],[CustomerAge]]&gt;=35, "Older", "Young")</f>
        <v>Young</v>
      </c>
      <c r="S568" t="str">
        <f>_xlfn.XLOOKUP(Orders[[#This Row],[ProductID]],Products[ProductID],Products[ProductName])</f>
        <v>Gold Earrings And Necklaces</v>
      </c>
      <c r="T568" t="str">
        <f>_xlfn.XLOOKUP(Orders[[#This Row],[ProductID]],Products[ProductID],Products[Category])</f>
        <v>Accessories</v>
      </c>
    </row>
    <row r="569" spans="1:20" x14ac:dyDescent="0.25">
      <c r="A569" s="4" t="s">
        <v>755</v>
      </c>
      <c r="B569" s="5">
        <v>45941</v>
      </c>
      <c r="C569" s="15">
        <f>WEEKNUM(Orders[[#This Row],[OrderDate]])</f>
        <v>41</v>
      </c>
      <c r="D569" s="15" t="str">
        <f>TEXT(Orders[[#This Row],[OrderDate]],"mmmm")</f>
        <v>October</v>
      </c>
      <c r="E569" s="4" t="s">
        <v>27</v>
      </c>
      <c r="F569" s="4" t="s">
        <v>63</v>
      </c>
      <c r="G569" s="4">
        <v>4</v>
      </c>
      <c r="H569" s="12">
        <v>546.30000000000007</v>
      </c>
      <c r="I569" s="13">
        <v>464.35500000000008</v>
      </c>
      <c r="J569" s="13">
        <f>Orders[[#This Row],[Quantity]]*Orders[[#This Row],[Selling Price]]</f>
        <v>2185.2000000000003</v>
      </c>
      <c r="K569" s="13">
        <f>Orders[[#This Row],[Quantity]]*Orders[[#This Row],[Cost Price]]</f>
        <v>1857.4200000000003</v>
      </c>
      <c r="L569" s="13">
        <f>Orders[[#This Row],[Revenue]]-Orders[[#This Row],[Expenses]]</f>
        <v>327.78</v>
      </c>
      <c r="M569" t="s">
        <v>2204</v>
      </c>
      <c r="N569" t="str">
        <f>_xlfn.XLOOKUP(Orders[[#This Row],[CustomerID]],Customers[CustomerID],Customers[CustomerName])</f>
        <v>Okon Ojo</v>
      </c>
      <c r="O569" t="str">
        <f>_xlfn.XLOOKUP(Orders[[#This Row],[CustomerID]],Customers[CustomerID],Customers[City])</f>
        <v>Illinois</v>
      </c>
      <c r="P569" t="str">
        <f>_xlfn.XLOOKUP(Orders[[#This Row],[CustomerID]],Customers[CustomerID],Customers[Gender])</f>
        <v>Male</v>
      </c>
      <c r="Q569">
        <f>_xlfn.XLOOKUP(Orders[[#This Row],[CustomerID]],Customers[CustomerID],Customers[CustomerAge])</f>
        <v>32</v>
      </c>
      <c r="R569" t="str">
        <f>IF(Orders[[#This Row],[CustomerAge]]&gt;=35, "Older", "Young")</f>
        <v>Young</v>
      </c>
      <c r="S569" t="str">
        <f>_xlfn.XLOOKUP(Orders[[#This Row],[ProductID]],Products[ProductID],Products[ProductName])</f>
        <v>Tennis Bat</v>
      </c>
      <c r="T569" t="str">
        <f>_xlfn.XLOOKUP(Orders[[#This Row],[ProductID]],Products[ProductID],Products[Category])</f>
        <v>Sports</v>
      </c>
    </row>
    <row r="570" spans="1:20" x14ac:dyDescent="0.25">
      <c r="A570" s="4" t="s">
        <v>756</v>
      </c>
      <c r="B570" s="5">
        <v>45985</v>
      </c>
      <c r="C570" s="15">
        <f>WEEKNUM(Orders[[#This Row],[OrderDate]])</f>
        <v>48</v>
      </c>
      <c r="D570" s="15" t="str">
        <f>TEXT(Orders[[#This Row],[OrderDate]],"mmmm")</f>
        <v>November</v>
      </c>
      <c r="E570" s="4" t="s">
        <v>757</v>
      </c>
      <c r="F570" s="4" t="s">
        <v>28</v>
      </c>
      <c r="G570" s="4">
        <v>4</v>
      </c>
      <c r="H570" s="12">
        <v>13397.9</v>
      </c>
      <c r="I570" s="13">
        <v>11388.215</v>
      </c>
      <c r="J570" s="13">
        <f>Orders[[#This Row],[Quantity]]*Orders[[#This Row],[Selling Price]]</f>
        <v>53591.6</v>
      </c>
      <c r="K570" s="13">
        <f>Orders[[#This Row],[Quantity]]*Orders[[#This Row],[Cost Price]]</f>
        <v>45552.86</v>
      </c>
      <c r="L570" s="13">
        <f>Orders[[#This Row],[Revenue]]-Orders[[#This Row],[Expenses]]</f>
        <v>8038.739999999998</v>
      </c>
      <c r="M570" t="s">
        <v>2212</v>
      </c>
      <c r="N570" t="str">
        <f>_xlfn.XLOOKUP(Orders[[#This Row],[CustomerID]],Customers[CustomerID],Customers[CustomerName])</f>
        <v>Okon Balogun</v>
      </c>
      <c r="O570" t="str">
        <f>_xlfn.XLOOKUP(Orders[[#This Row],[CustomerID]],Customers[CustomerID],Customers[City])</f>
        <v>Texas</v>
      </c>
      <c r="P570" t="str">
        <f>_xlfn.XLOOKUP(Orders[[#This Row],[CustomerID]],Customers[CustomerID],Customers[Gender])</f>
        <v>Male</v>
      </c>
      <c r="Q570">
        <f>_xlfn.XLOOKUP(Orders[[#This Row],[CustomerID]],Customers[CustomerID],Customers[CustomerAge])</f>
        <v>20</v>
      </c>
      <c r="R570" t="str">
        <f>IF(Orders[[#This Row],[CustomerAge]]&gt;=35, "Older", "Young")</f>
        <v>Young</v>
      </c>
      <c r="S570" t="str">
        <f>_xlfn.XLOOKUP(Orders[[#This Row],[ProductID]],Products[ProductID],Products[ProductName])</f>
        <v>Sneakers</v>
      </c>
      <c r="T570" t="str">
        <f>_xlfn.XLOOKUP(Orders[[#This Row],[ProductID]],Products[ProductID],Products[Category])</f>
        <v>Sports</v>
      </c>
    </row>
    <row r="571" spans="1:20" x14ac:dyDescent="0.25">
      <c r="A571" s="4" t="s">
        <v>758</v>
      </c>
      <c r="B571" s="5">
        <v>45997</v>
      </c>
      <c r="C571" s="15">
        <f>WEEKNUM(Orders[[#This Row],[OrderDate]])</f>
        <v>49</v>
      </c>
      <c r="D571" s="15" t="str">
        <f>TEXT(Orders[[#This Row],[OrderDate]],"mmmm")</f>
        <v>December</v>
      </c>
      <c r="E571" s="4" t="s">
        <v>107</v>
      </c>
      <c r="F571" s="4" t="s">
        <v>151</v>
      </c>
      <c r="G571" s="4">
        <v>1</v>
      </c>
      <c r="H571" s="12">
        <v>17052.5</v>
      </c>
      <c r="I571" s="13">
        <v>14494.625</v>
      </c>
      <c r="J571" s="13">
        <f>Orders[[#This Row],[Quantity]]*Orders[[#This Row],[Selling Price]]</f>
        <v>17052.5</v>
      </c>
      <c r="K571" s="13">
        <f>Orders[[#This Row],[Quantity]]*Orders[[#This Row],[Cost Price]]</f>
        <v>14494.625</v>
      </c>
      <c r="L571" s="13">
        <f>Orders[[#This Row],[Revenue]]-Orders[[#This Row],[Expenses]]</f>
        <v>2557.875</v>
      </c>
      <c r="M571" t="s">
        <v>2195</v>
      </c>
      <c r="N571" t="str">
        <f>_xlfn.XLOOKUP(Orders[[#This Row],[CustomerID]],Customers[CustomerID],Customers[CustomerName])</f>
        <v>Blessing Eze</v>
      </c>
      <c r="O571" t="str">
        <f>_xlfn.XLOOKUP(Orders[[#This Row],[CustomerID]],Customers[CustomerID],Customers[City])</f>
        <v>Texas</v>
      </c>
      <c r="P571" t="str">
        <f>_xlfn.XLOOKUP(Orders[[#This Row],[CustomerID]],Customers[CustomerID],Customers[Gender])</f>
        <v>Female</v>
      </c>
      <c r="Q571">
        <f>_xlfn.XLOOKUP(Orders[[#This Row],[CustomerID]],Customers[CustomerID],Customers[CustomerAge])</f>
        <v>44</v>
      </c>
      <c r="R571" t="str">
        <f>IF(Orders[[#This Row],[CustomerAge]]&gt;=35, "Older", "Young")</f>
        <v>Older</v>
      </c>
      <c r="S571" t="str">
        <f>_xlfn.XLOOKUP(Orders[[#This Row],[ProductID]],Products[ProductID],Products[ProductName])</f>
        <v>Checkers</v>
      </c>
      <c r="T571" t="str">
        <f>_xlfn.XLOOKUP(Orders[[#This Row],[ProductID]],Products[ProductID],Products[Category])</f>
        <v>Games</v>
      </c>
    </row>
    <row r="572" spans="1:20" x14ac:dyDescent="0.25">
      <c r="A572" s="4" t="s">
        <v>759</v>
      </c>
      <c r="B572" s="5">
        <v>45934</v>
      </c>
      <c r="C572" s="15">
        <f>WEEKNUM(Orders[[#This Row],[OrderDate]])</f>
        <v>40</v>
      </c>
      <c r="D572" s="15" t="str">
        <f>TEXT(Orders[[#This Row],[OrderDate]],"mmmm")</f>
        <v>October</v>
      </c>
      <c r="E572" s="4" t="s">
        <v>546</v>
      </c>
      <c r="F572" s="4" t="s">
        <v>151</v>
      </c>
      <c r="G572" s="4">
        <v>5</v>
      </c>
      <c r="H572" s="12">
        <v>9161.6999999999989</v>
      </c>
      <c r="I572" s="13">
        <v>7787.4449999999988</v>
      </c>
      <c r="J572" s="13">
        <f>Orders[[#This Row],[Quantity]]*Orders[[#This Row],[Selling Price]]</f>
        <v>45808.499999999993</v>
      </c>
      <c r="K572" s="13">
        <f>Orders[[#This Row],[Quantity]]*Orders[[#This Row],[Cost Price]]</f>
        <v>38937.224999999991</v>
      </c>
      <c r="L572" s="13">
        <f>Orders[[#This Row],[Revenue]]-Orders[[#This Row],[Expenses]]</f>
        <v>6871.2750000000015</v>
      </c>
      <c r="M572" t="s">
        <v>2197</v>
      </c>
      <c r="N572" t="str">
        <f>_xlfn.XLOOKUP(Orders[[#This Row],[CustomerID]],Customers[CustomerID],Customers[CustomerName])</f>
        <v>Bisi Eze</v>
      </c>
      <c r="O572" t="str">
        <f>_xlfn.XLOOKUP(Orders[[#This Row],[CustomerID]],Customers[CustomerID],Customers[City])</f>
        <v>Texas</v>
      </c>
      <c r="P572" t="str">
        <f>_xlfn.XLOOKUP(Orders[[#This Row],[CustomerID]],Customers[CustomerID],Customers[Gender])</f>
        <v>Female</v>
      </c>
      <c r="Q572">
        <f>_xlfn.XLOOKUP(Orders[[#This Row],[CustomerID]],Customers[CustomerID],Customers[CustomerAge])</f>
        <v>32</v>
      </c>
      <c r="R572" t="str">
        <f>IF(Orders[[#This Row],[CustomerAge]]&gt;=35, "Older", "Young")</f>
        <v>Young</v>
      </c>
      <c r="S572" t="str">
        <f>_xlfn.XLOOKUP(Orders[[#This Row],[ProductID]],Products[ProductID],Products[ProductName])</f>
        <v>Checkers</v>
      </c>
      <c r="T572" t="str">
        <f>_xlfn.XLOOKUP(Orders[[#This Row],[ProductID]],Products[ProductID],Products[Category])</f>
        <v>Games</v>
      </c>
    </row>
    <row r="573" spans="1:20" x14ac:dyDescent="0.25">
      <c r="A573" s="4" t="s">
        <v>760</v>
      </c>
      <c r="B573" s="5">
        <v>45948</v>
      </c>
      <c r="C573" s="15">
        <f>WEEKNUM(Orders[[#This Row],[OrderDate]])</f>
        <v>42</v>
      </c>
      <c r="D573" s="15" t="str">
        <f>TEXT(Orders[[#This Row],[OrderDate]],"mmmm")</f>
        <v>October</v>
      </c>
      <c r="E573" s="4" t="s">
        <v>182</v>
      </c>
      <c r="F573" s="4" t="s">
        <v>70</v>
      </c>
      <c r="G573" s="4">
        <v>1</v>
      </c>
      <c r="H573" s="12">
        <v>11126.900000000001</v>
      </c>
      <c r="I573" s="13">
        <v>9457.8650000000016</v>
      </c>
      <c r="J573" s="13">
        <f>Orders[[#This Row],[Quantity]]*Orders[[#This Row],[Selling Price]]</f>
        <v>11126.900000000001</v>
      </c>
      <c r="K573" s="13">
        <f>Orders[[#This Row],[Quantity]]*Orders[[#This Row],[Cost Price]]</f>
        <v>9457.8650000000016</v>
      </c>
      <c r="L573" s="13">
        <f>Orders[[#This Row],[Revenue]]-Orders[[#This Row],[Expenses]]</f>
        <v>1669.0349999999999</v>
      </c>
      <c r="M573" t="s">
        <v>2208</v>
      </c>
      <c r="N573" t="str">
        <f>_xlfn.XLOOKUP(Orders[[#This Row],[CustomerID]],Customers[CustomerID],Customers[CustomerName])</f>
        <v>Abiola Okonkwo</v>
      </c>
      <c r="O573" t="str">
        <f>_xlfn.XLOOKUP(Orders[[#This Row],[CustomerID]],Customers[CustomerID],Customers[City])</f>
        <v>Georgia</v>
      </c>
      <c r="P573" t="str">
        <f>_xlfn.XLOOKUP(Orders[[#This Row],[CustomerID]],Customers[CustomerID],Customers[Gender])</f>
        <v>Male</v>
      </c>
      <c r="Q573">
        <f>_xlfn.XLOOKUP(Orders[[#This Row],[CustomerID]],Customers[CustomerID],Customers[CustomerAge])</f>
        <v>39</v>
      </c>
      <c r="R573" t="str">
        <f>IF(Orders[[#This Row],[CustomerAge]]&gt;=35, "Older", "Young")</f>
        <v>Older</v>
      </c>
      <c r="S573" t="str">
        <f>_xlfn.XLOOKUP(Orders[[#This Row],[ProductID]],Products[ProductID],Products[ProductName])</f>
        <v>Yoga Mat</v>
      </c>
      <c r="T573" t="str">
        <f>_xlfn.XLOOKUP(Orders[[#This Row],[ProductID]],Products[ProductID],Products[Category])</f>
        <v>Gym</v>
      </c>
    </row>
    <row r="574" spans="1:20" x14ac:dyDescent="0.25">
      <c r="A574" s="4" t="s">
        <v>761</v>
      </c>
      <c r="B574" s="5">
        <v>45975</v>
      </c>
      <c r="C574" s="15">
        <f>WEEKNUM(Orders[[#This Row],[OrderDate]])</f>
        <v>46</v>
      </c>
      <c r="D574" s="15" t="str">
        <f>TEXT(Orders[[#This Row],[OrderDate]],"mmmm")</f>
        <v>November</v>
      </c>
      <c r="E574" s="4" t="s">
        <v>317</v>
      </c>
      <c r="F574" s="4" t="s">
        <v>232</v>
      </c>
      <c r="G574" s="4">
        <v>5</v>
      </c>
      <c r="H574" s="12">
        <v>7036.7</v>
      </c>
      <c r="I574" s="13">
        <v>5981.1949999999997</v>
      </c>
      <c r="J574" s="13">
        <f>Orders[[#This Row],[Quantity]]*Orders[[#This Row],[Selling Price]]</f>
        <v>35183.5</v>
      </c>
      <c r="K574" s="13">
        <f>Orders[[#This Row],[Quantity]]*Orders[[#This Row],[Cost Price]]</f>
        <v>29905.974999999999</v>
      </c>
      <c r="L574" s="13">
        <f>Orders[[#This Row],[Revenue]]-Orders[[#This Row],[Expenses]]</f>
        <v>5277.5250000000015</v>
      </c>
      <c r="M574" t="s">
        <v>2200</v>
      </c>
      <c r="N574" t="str">
        <f>_xlfn.XLOOKUP(Orders[[#This Row],[CustomerID]],Customers[CustomerID],Customers[CustomerName])</f>
        <v>Folasade Danladi</v>
      </c>
      <c r="O574" t="str">
        <f>_xlfn.XLOOKUP(Orders[[#This Row],[CustomerID]],Customers[CustomerID],Customers[City])</f>
        <v>Texas</v>
      </c>
      <c r="P574" t="str">
        <f>_xlfn.XLOOKUP(Orders[[#This Row],[CustomerID]],Customers[CustomerID],Customers[Gender])</f>
        <v>Female</v>
      </c>
      <c r="Q574">
        <f>_xlfn.XLOOKUP(Orders[[#This Row],[CustomerID]],Customers[CustomerID],Customers[CustomerAge])</f>
        <v>28</v>
      </c>
      <c r="R574" t="str">
        <f>IF(Orders[[#This Row],[CustomerAge]]&gt;=35, "Older", "Young")</f>
        <v>Young</v>
      </c>
      <c r="S574" t="str">
        <f>_xlfn.XLOOKUP(Orders[[#This Row],[ProductID]],Products[ProductID],Products[ProductName])</f>
        <v>Ankara</v>
      </c>
      <c r="T574" t="str">
        <f>_xlfn.XLOOKUP(Orders[[#This Row],[ProductID]],Products[ProductID],Products[Category])</f>
        <v>Clothing</v>
      </c>
    </row>
    <row r="575" spans="1:20" x14ac:dyDescent="0.25">
      <c r="A575" s="4" t="s">
        <v>762</v>
      </c>
      <c r="B575" s="5">
        <v>45980</v>
      </c>
      <c r="C575" s="15">
        <f>WEEKNUM(Orders[[#This Row],[OrderDate]])</f>
        <v>47</v>
      </c>
      <c r="D575" s="15" t="str">
        <f>TEXT(Orders[[#This Row],[OrderDate]],"mmmm")</f>
        <v>November</v>
      </c>
      <c r="E575" s="4" t="s">
        <v>142</v>
      </c>
      <c r="F575" s="4" t="s">
        <v>168</v>
      </c>
      <c r="G575" s="4">
        <v>1</v>
      </c>
      <c r="H575" s="12">
        <v>15609.8</v>
      </c>
      <c r="I575" s="13">
        <v>13268.33</v>
      </c>
      <c r="J575" s="13">
        <f>Orders[[#This Row],[Quantity]]*Orders[[#This Row],[Selling Price]]</f>
        <v>15609.8</v>
      </c>
      <c r="K575" s="13">
        <f>Orders[[#This Row],[Quantity]]*Orders[[#This Row],[Cost Price]]</f>
        <v>13268.33</v>
      </c>
      <c r="L575" s="13">
        <f>Orders[[#This Row],[Revenue]]-Orders[[#This Row],[Expenses]]</f>
        <v>2341.4699999999993</v>
      </c>
      <c r="M575" t="s">
        <v>2199</v>
      </c>
      <c r="N575" t="str">
        <f>_xlfn.XLOOKUP(Orders[[#This Row],[CustomerID]],Customers[CustomerID],Customers[CustomerName])</f>
        <v>Obi Adeyemi</v>
      </c>
      <c r="O575" t="str">
        <f>_xlfn.XLOOKUP(Orders[[#This Row],[CustomerID]],Customers[CustomerID],Customers[City])</f>
        <v>Florida</v>
      </c>
      <c r="P575" t="str">
        <f>_xlfn.XLOOKUP(Orders[[#This Row],[CustomerID]],Customers[CustomerID],Customers[Gender])</f>
        <v>Male</v>
      </c>
      <c r="Q575">
        <f>_xlfn.XLOOKUP(Orders[[#This Row],[CustomerID]],Customers[CustomerID],Customers[CustomerAge])</f>
        <v>31</v>
      </c>
      <c r="R575" t="str">
        <f>IF(Orders[[#This Row],[CustomerAge]]&gt;=35, "Older", "Young")</f>
        <v>Young</v>
      </c>
      <c r="S575" t="str">
        <f>_xlfn.XLOOKUP(Orders[[#This Row],[ProductID]],Products[ProductID],Products[ProductName])</f>
        <v>Dumb Bells</v>
      </c>
      <c r="T575" t="str">
        <f>_xlfn.XLOOKUP(Orders[[#This Row],[ProductID]],Products[ProductID],Products[Category])</f>
        <v>Gym</v>
      </c>
    </row>
    <row r="576" spans="1:20" x14ac:dyDescent="0.25">
      <c r="A576" s="4" t="s">
        <v>763</v>
      </c>
      <c r="B576" s="5">
        <v>45992</v>
      </c>
      <c r="C576" s="15">
        <f>WEEKNUM(Orders[[#This Row],[OrderDate]])</f>
        <v>49</v>
      </c>
      <c r="D576" s="15" t="str">
        <f>TEXT(Orders[[#This Row],[OrderDate]],"mmmm")</f>
        <v>December</v>
      </c>
      <c r="E576" s="4" t="s">
        <v>22</v>
      </c>
      <c r="F576" s="4" t="s">
        <v>232</v>
      </c>
      <c r="G576" s="4">
        <v>4</v>
      </c>
      <c r="H576" s="12">
        <v>14832.1</v>
      </c>
      <c r="I576" s="13">
        <v>12607.285</v>
      </c>
      <c r="J576" s="13">
        <f>Orders[[#This Row],[Quantity]]*Orders[[#This Row],[Selling Price]]</f>
        <v>59328.4</v>
      </c>
      <c r="K576" s="13">
        <f>Orders[[#This Row],[Quantity]]*Orders[[#This Row],[Cost Price]]</f>
        <v>50429.14</v>
      </c>
      <c r="L576" s="13">
        <f>Orders[[#This Row],[Revenue]]-Orders[[#This Row],[Expenses]]</f>
        <v>8899.260000000002</v>
      </c>
      <c r="M576" t="s">
        <v>2198</v>
      </c>
      <c r="N576" t="str">
        <f>_xlfn.XLOOKUP(Orders[[#This Row],[CustomerID]],Customers[CustomerID],Customers[CustomerName])</f>
        <v>Temi Bello</v>
      </c>
      <c r="O576" t="str">
        <f>_xlfn.XLOOKUP(Orders[[#This Row],[CustomerID]],Customers[CustomerID],Customers[City])</f>
        <v>Texas</v>
      </c>
      <c r="P576" t="str">
        <f>_xlfn.XLOOKUP(Orders[[#This Row],[CustomerID]],Customers[CustomerID],Customers[Gender])</f>
        <v>Female</v>
      </c>
      <c r="Q576">
        <f>_xlfn.XLOOKUP(Orders[[#This Row],[CustomerID]],Customers[CustomerID],Customers[CustomerAge])</f>
        <v>52</v>
      </c>
      <c r="R576" t="str">
        <f>IF(Orders[[#This Row],[CustomerAge]]&gt;=35, "Older", "Young")</f>
        <v>Older</v>
      </c>
      <c r="S576" t="str">
        <f>_xlfn.XLOOKUP(Orders[[#This Row],[ProductID]],Products[ProductID],Products[ProductName])</f>
        <v>Ankara</v>
      </c>
      <c r="T576" t="str">
        <f>_xlfn.XLOOKUP(Orders[[#This Row],[ProductID]],Products[ProductID],Products[Category])</f>
        <v>Clothing</v>
      </c>
    </row>
    <row r="577" spans="1:20" x14ac:dyDescent="0.25">
      <c r="A577" s="4" t="s">
        <v>764</v>
      </c>
      <c r="B577" s="5">
        <v>45941</v>
      </c>
      <c r="C577" s="15">
        <f>WEEKNUM(Orders[[#This Row],[OrderDate]])</f>
        <v>41</v>
      </c>
      <c r="D577" s="15" t="str">
        <f>TEXT(Orders[[#This Row],[OrderDate]],"mmmm")</f>
        <v>October</v>
      </c>
      <c r="E577" s="4" t="s">
        <v>275</v>
      </c>
      <c r="F577" s="4" t="s">
        <v>253</v>
      </c>
      <c r="G577" s="4">
        <v>8</v>
      </c>
      <c r="H577" s="12">
        <v>9023.2000000000007</v>
      </c>
      <c r="I577" s="13">
        <v>7669.7200000000012</v>
      </c>
      <c r="J577" s="13">
        <f>Orders[[#This Row],[Quantity]]*Orders[[#This Row],[Selling Price]]</f>
        <v>72185.600000000006</v>
      </c>
      <c r="K577" s="13">
        <f>Orders[[#This Row],[Quantity]]*Orders[[#This Row],[Cost Price]]</f>
        <v>61357.760000000009</v>
      </c>
      <c r="L577" s="13">
        <f>Orders[[#This Row],[Revenue]]-Orders[[#This Row],[Expenses]]</f>
        <v>10827.839999999997</v>
      </c>
      <c r="M577" t="s">
        <v>2201</v>
      </c>
      <c r="N577" t="str">
        <f>_xlfn.XLOOKUP(Orders[[#This Row],[CustomerID]],Customers[CustomerID],Customers[CustomerName])</f>
        <v>Ngozi Danladi</v>
      </c>
      <c r="O577" t="str">
        <f>_xlfn.XLOOKUP(Orders[[#This Row],[CustomerID]],Customers[CustomerID],Customers[City])</f>
        <v>Texas</v>
      </c>
      <c r="P577" t="str">
        <f>_xlfn.XLOOKUP(Orders[[#This Row],[CustomerID]],Customers[CustomerID],Customers[Gender])</f>
        <v>Female</v>
      </c>
      <c r="Q577">
        <f>_xlfn.XLOOKUP(Orders[[#This Row],[CustomerID]],Customers[CustomerID],Customers[CustomerAge])</f>
        <v>25</v>
      </c>
      <c r="R577" t="str">
        <f>IF(Orders[[#This Row],[CustomerAge]]&gt;=35, "Older", "Young")</f>
        <v>Young</v>
      </c>
      <c r="S577" t="str">
        <f>_xlfn.XLOOKUP(Orders[[#This Row],[ProductID]],Products[ProductID],Products[ProductName])</f>
        <v>Nose Rings</v>
      </c>
      <c r="T577" t="str">
        <f>_xlfn.XLOOKUP(Orders[[#This Row],[ProductID]],Products[ProductID],Products[Category])</f>
        <v>Accessories</v>
      </c>
    </row>
    <row r="578" spans="1:20" x14ac:dyDescent="0.25">
      <c r="A578" s="4" t="s">
        <v>765</v>
      </c>
      <c r="B578" s="5">
        <v>46002</v>
      </c>
      <c r="C578" s="15">
        <f>WEEKNUM(Orders[[#This Row],[OrderDate]])</f>
        <v>50</v>
      </c>
      <c r="D578" s="15" t="str">
        <f>TEXT(Orders[[#This Row],[OrderDate]],"mmmm")</f>
        <v>December</v>
      </c>
      <c r="E578" s="4" t="s">
        <v>207</v>
      </c>
      <c r="F578" s="4" t="s">
        <v>37</v>
      </c>
      <c r="G578" s="4">
        <v>2</v>
      </c>
      <c r="H578" s="12">
        <v>8362.2999999999993</v>
      </c>
      <c r="I578" s="13">
        <v>7107.9549999999999</v>
      </c>
      <c r="J578" s="13">
        <f>Orders[[#This Row],[Quantity]]*Orders[[#This Row],[Selling Price]]</f>
        <v>16724.599999999999</v>
      </c>
      <c r="K578" s="13">
        <f>Orders[[#This Row],[Quantity]]*Orders[[#This Row],[Cost Price]]</f>
        <v>14215.91</v>
      </c>
      <c r="L578" s="13">
        <f>Orders[[#This Row],[Revenue]]-Orders[[#This Row],[Expenses]]</f>
        <v>2508.6899999999987</v>
      </c>
      <c r="M578" t="s">
        <v>2203</v>
      </c>
      <c r="N578" t="str">
        <f>_xlfn.XLOOKUP(Orders[[#This Row],[CustomerID]],Customers[CustomerID],Customers[CustomerName])</f>
        <v>Bisi Eze</v>
      </c>
      <c r="O578" t="str">
        <f>_xlfn.XLOOKUP(Orders[[#This Row],[CustomerID]],Customers[CustomerID],Customers[City])</f>
        <v>Florida</v>
      </c>
      <c r="P578" t="str">
        <f>_xlfn.XLOOKUP(Orders[[#This Row],[CustomerID]],Customers[CustomerID],Customers[Gender])</f>
        <v>Female</v>
      </c>
      <c r="Q578">
        <f>_xlfn.XLOOKUP(Orders[[#This Row],[CustomerID]],Customers[CustomerID],Customers[CustomerAge])</f>
        <v>37</v>
      </c>
      <c r="R578" t="str">
        <f>IF(Orders[[#This Row],[CustomerAge]]&gt;=35, "Older", "Young")</f>
        <v>Older</v>
      </c>
      <c r="S578" t="str">
        <f>_xlfn.XLOOKUP(Orders[[#This Row],[ProductID]],Products[ProductID],Products[ProductName])</f>
        <v>Iron</v>
      </c>
      <c r="T578" t="str">
        <f>_xlfn.XLOOKUP(Orders[[#This Row],[ProductID]],Products[ProductID],Products[Category])</f>
        <v>Electronics</v>
      </c>
    </row>
    <row r="579" spans="1:20" x14ac:dyDescent="0.25">
      <c r="A579" s="4" t="s">
        <v>766</v>
      </c>
      <c r="B579" s="5">
        <v>46009</v>
      </c>
      <c r="C579" s="15">
        <f>WEEKNUM(Orders[[#This Row],[OrderDate]])</f>
        <v>51</v>
      </c>
      <c r="D579" s="15" t="str">
        <f>TEXT(Orders[[#This Row],[OrderDate]],"mmmm")</f>
        <v>December</v>
      </c>
      <c r="E579" s="4" t="s">
        <v>218</v>
      </c>
      <c r="F579" s="4" t="s">
        <v>253</v>
      </c>
      <c r="G579" s="4">
        <v>4</v>
      </c>
      <c r="H579" s="12">
        <v>5310.7000000000007</v>
      </c>
      <c r="I579" s="13">
        <v>4514.0950000000003</v>
      </c>
      <c r="J579" s="13">
        <f>Orders[[#This Row],[Quantity]]*Orders[[#This Row],[Selling Price]]</f>
        <v>21242.800000000003</v>
      </c>
      <c r="K579" s="13">
        <f>Orders[[#This Row],[Quantity]]*Orders[[#This Row],[Cost Price]]</f>
        <v>18056.38</v>
      </c>
      <c r="L579" s="13">
        <f>Orders[[#This Row],[Revenue]]-Orders[[#This Row],[Expenses]]</f>
        <v>3186.4200000000019</v>
      </c>
      <c r="M579" t="s">
        <v>2216</v>
      </c>
      <c r="N579" t="str">
        <f>_xlfn.XLOOKUP(Orders[[#This Row],[CustomerID]],Customers[CustomerID],Customers[CustomerName])</f>
        <v>Temi Danladi</v>
      </c>
      <c r="O579" t="str">
        <f>_xlfn.XLOOKUP(Orders[[#This Row],[CustomerID]],Customers[CustomerID],Customers[City])</f>
        <v>Florida</v>
      </c>
      <c r="P579" t="str">
        <f>_xlfn.XLOOKUP(Orders[[#This Row],[CustomerID]],Customers[CustomerID],Customers[Gender])</f>
        <v>Female</v>
      </c>
      <c r="Q579">
        <f>_xlfn.XLOOKUP(Orders[[#This Row],[CustomerID]],Customers[CustomerID],Customers[CustomerAge])</f>
        <v>48</v>
      </c>
      <c r="R579" t="str">
        <f>IF(Orders[[#This Row],[CustomerAge]]&gt;=35, "Older", "Young")</f>
        <v>Older</v>
      </c>
      <c r="S579" t="str">
        <f>_xlfn.XLOOKUP(Orders[[#This Row],[ProductID]],Products[ProductID],Products[ProductName])</f>
        <v>Nose Rings</v>
      </c>
      <c r="T579" t="str">
        <f>_xlfn.XLOOKUP(Orders[[#This Row],[ProductID]],Products[ProductID],Products[Category])</f>
        <v>Accessories</v>
      </c>
    </row>
    <row r="580" spans="1:20" x14ac:dyDescent="0.25">
      <c r="A580" s="4" t="s">
        <v>767</v>
      </c>
      <c r="B580" s="5">
        <v>45991</v>
      </c>
      <c r="C580" s="15">
        <f>WEEKNUM(Orders[[#This Row],[OrderDate]])</f>
        <v>49</v>
      </c>
      <c r="D580" s="15" t="str">
        <f>TEXT(Orders[[#This Row],[OrderDate]],"mmmm")</f>
        <v>November</v>
      </c>
      <c r="E580" s="4" t="s">
        <v>178</v>
      </c>
      <c r="F580" s="4" t="s">
        <v>57</v>
      </c>
      <c r="G580" s="4">
        <v>6</v>
      </c>
      <c r="H580" s="12">
        <v>9995.5999999999985</v>
      </c>
      <c r="I580" s="13">
        <v>8496.2599999999984</v>
      </c>
      <c r="J580" s="13">
        <f>Orders[[#This Row],[Quantity]]*Orders[[#This Row],[Selling Price]]</f>
        <v>59973.599999999991</v>
      </c>
      <c r="K580" s="13">
        <f>Orders[[#This Row],[Quantity]]*Orders[[#This Row],[Cost Price]]</f>
        <v>50977.55999999999</v>
      </c>
      <c r="L580" s="13">
        <f>Orders[[#This Row],[Revenue]]-Orders[[#This Row],[Expenses]]</f>
        <v>8996.0400000000009</v>
      </c>
      <c r="M580" t="s">
        <v>2215</v>
      </c>
      <c r="N580" t="str">
        <f>_xlfn.XLOOKUP(Orders[[#This Row],[CustomerID]],Customers[CustomerID],Customers[CustomerName])</f>
        <v>Ibrahim Igwe</v>
      </c>
      <c r="O580" t="str">
        <f>_xlfn.XLOOKUP(Orders[[#This Row],[CustomerID]],Customers[CustomerID],Customers[City])</f>
        <v>Florida</v>
      </c>
      <c r="P580" t="str">
        <f>_xlfn.XLOOKUP(Orders[[#This Row],[CustomerID]],Customers[CustomerID],Customers[Gender])</f>
        <v>Male</v>
      </c>
      <c r="Q580">
        <f>_xlfn.XLOOKUP(Orders[[#This Row],[CustomerID]],Customers[CustomerID],Customers[CustomerAge])</f>
        <v>19</v>
      </c>
      <c r="R580" t="str">
        <f>IF(Orders[[#This Row],[CustomerAge]]&gt;=35, "Older", "Young")</f>
        <v>Young</v>
      </c>
      <c r="S580" t="str">
        <f>_xlfn.XLOOKUP(Orders[[#This Row],[ProductID]],Products[ProductID],Products[ProductName])</f>
        <v>Badminton Racket</v>
      </c>
      <c r="T580" t="str">
        <f>_xlfn.XLOOKUP(Orders[[#This Row],[ProductID]],Products[ProductID],Products[Category])</f>
        <v>Sports</v>
      </c>
    </row>
    <row r="581" spans="1:20" x14ac:dyDescent="0.25">
      <c r="A581" s="4" t="s">
        <v>768</v>
      </c>
      <c r="B581" s="5">
        <v>46010</v>
      </c>
      <c r="C581" s="15">
        <f>WEEKNUM(Orders[[#This Row],[OrderDate]])</f>
        <v>51</v>
      </c>
      <c r="D581" s="15" t="str">
        <f>TEXT(Orders[[#This Row],[OrderDate]],"mmmm")</f>
        <v>December</v>
      </c>
      <c r="E581" s="4" t="s">
        <v>156</v>
      </c>
      <c r="F581" s="4" t="s">
        <v>25</v>
      </c>
      <c r="G581" s="4">
        <v>6</v>
      </c>
      <c r="H581" s="12">
        <v>12762</v>
      </c>
      <c r="I581" s="13">
        <v>10847.7</v>
      </c>
      <c r="J581" s="13">
        <f>Orders[[#This Row],[Quantity]]*Orders[[#This Row],[Selling Price]]</f>
        <v>76572</v>
      </c>
      <c r="K581" s="13">
        <f>Orders[[#This Row],[Quantity]]*Orders[[#This Row],[Cost Price]]</f>
        <v>65086.200000000004</v>
      </c>
      <c r="L581" s="13">
        <f>Orders[[#This Row],[Revenue]]-Orders[[#This Row],[Expenses]]</f>
        <v>11485.799999999996</v>
      </c>
      <c r="M581" t="s">
        <v>2212</v>
      </c>
      <c r="N581" t="str">
        <f>_xlfn.XLOOKUP(Orders[[#This Row],[CustomerID]],Customers[CustomerID],Customers[CustomerName])</f>
        <v>Obi Okonkwo</v>
      </c>
      <c r="O581" t="str">
        <f>_xlfn.XLOOKUP(Orders[[#This Row],[CustomerID]],Customers[CustomerID],Customers[City])</f>
        <v>Florida</v>
      </c>
      <c r="P581" t="str">
        <f>_xlfn.XLOOKUP(Orders[[#This Row],[CustomerID]],Customers[CustomerID],Customers[Gender])</f>
        <v>Male</v>
      </c>
      <c r="Q581">
        <f>_xlfn.XLOOKUP(Orders[[#This Row],[CustomerID]],Customers[CustomerID],Customers[CustomerAge])</f>
        <v>52</v>
      </c>
      <c r="R581" t="str">
        <f>IF(Orders[[#This Row],[CustomerAge]]&gt;=35, "Older", "Young")</f>
        <v>Older</v>
      </c>
      <c r="S581" t="str">
        <f>_xlfn.XLOOKUP(Orders[[#This Row],[ProductID]],Products[ProductID],Products[ProductName])</f>
        <v>Gold Rings</v>
      </c>
      <c r="T581" t="str">
        <f>_xlfn.XLOOKUP(Orders[[#This Row],[ProductID]],Products[ProductID],Products[Category])</f>
        <v>Accessories</v>
      </c>
    </row>
    <row r="582" spans="1:20" x14ac:dyDescent="0.25">
      <c r="A582" s="4" t="s">
        <v>769</v>
      </c>
      <c r="B582" s="5">
        <v>45944</v>
      </c>
      <c r="C582" s="15">
        <f>WEEKNUM(Orders[[#This Row],[OrderDate]])</f>
        <v>42</v>
      </c>
      <c r="D582" s="15" t="str">
        <f>TEXT(Orders[[#This Row],[OrderDate]],"mmmm")</f>
        <v>October</v>
      </c>
      <c r="E582" s="4" t="s">
        <v>94</v>
      </c>
      <c r="F582" s="4" t="s">
        <v>46</v>
      </c>
      <c r="G582" s="4">
        <v>10</v>
      </c>
      <c r="H582" s="12">
        <v>19285.8</v>
      </c>
      <c r="I582" s="13">
        <v>16392.93</v>
      </c>
      <c r="J582" s="13">
        <f>Orders[[#This Row],[Quantity]]*Orders[[#This Row],[Selling Price]]</f>
        <v>192858</v>
      </c>
      <c r="K582" s="13">
        <f>Orders[[#This Row],[Quantity]]*Orders[[#This Row],[Cost Price]]</f>
        <v>163929.29999999999</v>
      </c>
      <c r="L582" s="13">
        <f>Orders[[#This Row],[Revenue]]-Orders[[#This Row],[Expenses]]</f>
        <v>28928.700000000012</v>
      </c>
      <c r="M582" t="s">
        <v>2216</v>
      </c>
      <c r="N582" t="str">
        <f>_xlfn.XLOOKUP(Orders[[#This Row],[CustomerID]],Customers[CustomerID],Customers[CustomerName])</f>
        <v>Uche Abubakar</v>
      </c>
      <c r="O582" t="str">
        <f>_xlfn.XLOOKUP(Orders[[#This Row],[CustomerID]],Customers[CustomerID],Customers[City])</f>
        <v>Texas</v>
      </c>
      <c r="P582" t="str">
        <f>_xlfn.XLOOKUP(Orders[[#This Row],[CustomerID]],Customers[CustomerID],Customers[Gender])</f>
        <v>Male</v>
      </c>
      <c r="Q582">
        <f>_xlfn.XLOOKUP(Orders[[#This Row],[CustomerID]],Customers[CustomerID],Customers[CustomerAge])</f>
        <v>26</v>
      </c>
      <c r="R582" t="str">
        <f>IF(Orders[[#This Row],[CustomerAge]]&gt;=35, "Older", "Young")</f>
        <v>Young</v>
      </c>
      <c r="S582" t="str">
        <f>_xlfn.XLOOKUP(Orders[[#This Row],[ProductID]],Products[ProductID],Products[ProductName])</f>
        <v>Turtle Neck</v>
      </c>
      <c r="T582" t="str">
        <f>_xlfn.XLOOKUP(Orders[[#This Row],[ProductID]],Products[ProductID],Products[Category])</f>
        <v>Clothing</v>
      </c>
    </row>
    <row r="583" spans="1:20" x14ac:dyDescent="0.25">
      <c r="A583" s="4" t="s">
        <v>770</v>
      </c>
      <c r="B583" s="5">
        <v>45932</v>
      </c>
      <c r="C583" s="15">
        <f>WEEKNUM(Orders[[#This Row],[OrderDate]])</f>
        <v>40</v>
      </c>
      <c r="D583" s="15" t="str">
        <f>TEXT(Orders[[#This Row],[OrderDate]],"mmmm")</f>
        <v>October</v>
      </c>
      <c r="E583" s="4" t="s">
        <v>291</v>
      </c>
      <c r="F583" s="4" t="s">
        <v>31</v>
      </c>
      <c r="G583" s="4">
        <v>1</v>
      </c>
      <c r="H583" s="12">
        <v>6294</v>
      </c>
      <c r="I583" s="13">
        <v>5349.9</v>
      </c>
      <c r="J583" s="13">
        <f>Orders[[#This Row],[Quantity]]*Orders[[#This Row],[Selling Price]]</f>
        <v>6294</v>
      </c>
      <c r="K583" s="13">
        <f>Orders[[#This Row],[Quantity]]*Orders[[#This Row],[Cost Price]]</f>
        <v>5349.9</v>
      </c>
      <c r="L583" s="13">
        <f>Orders[[#This Row],[Revenue]]-Orders[[#This Row],[Expenses]]</f>
        <v>944.10000000000036</v>
      </c>
      <c r="M583" t="s">
        <v>2200</v>
      </c>
      <c r="N583" t="str">
        <f>_xlfn.XLOOKUP(Orders[[#This Row],[CustomerID]],Customers[CustomerID],Customers[CustomerName])</f>
        <v>Okon Igwe</v>
      </c>
      <c r="O583" t="str">
        <f>_xlfn.XLOOKUP(Orders[[#This Row],[CustomerID]],Customers[CustomerID],Customers[City])</f>
        <v>Texas</v>
      </c>
      <c r="P583" t="str">
        <f>_xlfn.XLOOKUP(Orders[[#This Row],[CustomerID]],Customers[CustomerID],Customers[Gender])</f>
        <v>Male</v>
      </c>
      <c r="Q583">
        <f>_xlfn.XLOOKUP(Orders[[#This Row],[CustomerID]],Customers[CustomerID],Customers[CustomerAge])</f>
        <v>33</v>
      </c>
      <c r="R583" t="str">
        <f>IF(Orders[[#This Row],[CustomerAge]]&gt;=35, "Older", "Young")</f>
        <v>Young</v>
      </c>
      <c r="S583" t="str">
        <f>_xlfn.XLOOKUP(Orders[[#This Row],[ProductID]],Products[ProductID],Products[ProductName])</f>
        <v>Kids Games</v>
      </c>
      <c r="T583" t="str">
        <f>_xlfn.XLOOKUP(Orders[[#This Row],[ProductID]],Products[ProductID],Products[Category])</f>
        <v>Games</v>
      </c>
    </row>
    <row r="584" spans="1:20" x14ac:dyDescent="0.25">
      <c r="A584" s="4" t="s">
        <v>771</v>
      </c>
      <c r="B584" s="5">
        <v>46008</v>
      </c>
      <c r="C584" s="15">
        <f>WEEKNUM(Orders[[#This Row],[OrderDate]])</f>
        <v>51</v>
      </c>
      <c r="D584" s="15" t="str">
        <f>TEXT(Orders[[#This Row],[OrderDate]],"mmmm")</f>
        <v>December</v>
      </c>
      <c r="E584" s="4" t="s">
        <v>8</v>
      </c>
      <c r="F584" s="4" t="s">
        <v>84</v>
      </c>
      <c r="G584" s="4">
        <v>8</v>
      </c>
      <c r="H584" s="12">
        <v>18705.400000000001</v>
      </c>
      <c r="I584" s="13">
        <v>15899.590000000002</v>
      </c>
      <c r="J584" s="13">
        <f>Orders[[#This Row],[Quantity]]*Orders[[#This Row],[Selling Price]]</f>
        <v>149643.20000000001</v>
      </c>
      <c r="K584" s="13">
        <f>Orders[[#This Row],[Quantity]]*Orders[[#This Row],[Cost Price]]</f>
        <v>127196.72000000002</v>
      </c>
      <c r="L584" s="13">
        <f>Orders[[#This Row],[Revenue]]-Orders[[#This Row],[Expenses]]</f>
        <v>22446.479999999996</v>
      </c>
      <c r="M584" t="s">
        <v>2209</v>
      </c>
      <c r="N584" t="str">
        <f>_xlfn.XLOOKUP(Orders[[#This Row],[CustomerID]],Customers[CustomerID],Customers[CustomerName])</f>
        <v>Bi si Bello</v>
      </c>
      <c r="O584" t="str">
        <f>_xlfn.XLOOKUP(Orders[[#This Row],[CustomerID]],Customers[CustomerID],Customers[City])</f>
        <v>Washington</v>
      </c>
      <c r="P584" t="str">
        <f>_xlfn.XLOOKUP(Orders[[#This Row],[CustomerID]],Customers[CustomerID],Customers[Gender])</f>
        <v>Female</v>
      </c>
      <c r="Q584">
        <f>_xlfn.XLOOKUP(Orders[[#This Row],[CustomerID]],Customers[CustomerID],Customers[CustomerAge])</f>
        <v>38</v>
      </c>
      <c r="R584" t="str">
        <f>IF(Orders[[#This Row],[CustomerAge]]&gt;=35, "Older", "Young")</f>
        <v>Older</v>
      </c>
      <c r="S584" t="str">
        <f>_xlfn.XLOOKUP(Orders[[#This Row],[ProductID]],Products[ProductID],Products[ProductName])</f>
        <v>Gym Wears</v>
      </c>
      <c r="T584" t="str">
        <f>_xlfn.XLOOKUP(Orders[[#This Row],[ProductID]],Products[ProductID],Products[Category])</f>
        <v>Clothing</v>
      </c>
    </row>
    <row r="585" spans="1:20" x14ac:dyDescent="0.25">
      <c r="A585" s="4" t="s">
        <v>772</v>
      </c>
      <c r="B585" s="5">
        <v>45931</v>
      </c>
      <c r="C585" s="15">
        <f>WEEKNUM(Orders[[#This Row],[OrderDate]])</f>
        <v>40</v>
      </c>
      <c r="D585" s="15" t="str">
        <f>TEXT(Orders[[#This Row],[OrderDate]],"mmmm")</f>
        <v>October</v>
      </c>
      <c r="E585" s="4" t="s">
        <v>91</v>
      </c>
      <c r="F585" s="4" t="s">
        <v>111</v>
      </c>
      <c r="G585" s="4">
        <v>2</v>
      </c>
      <c r="H585" s="12">
        <v>10549.5</v>
      </c>
      <c r="I585" s="13">
        <v>8967.0750000000007</v>
      </c>
      <c r="J585" s="13">
        <f>Orders[[#This Row],[Quantity]]*Orders[[#This Row],[Selling Price]]</f>
        <v>21099</v>
      </c>
      <c r="K585" s="13">
        <f>Orders[[#This Row],[Quantity]]*Orders[[#This Row],[Cost Price]]</f>
        <v>17934.150000000001</v>
      </c>
      <c r="L585" s="13">
        <f>Orders[[#This Row],[Revenue]]-Orders[[#This Row],[Expenses]]</f>
        <v>3164.8499999999985</v>
      </c>
      <c r="M585" t="s">
        <v>2193</v>
      </c>
      <c r="N585" t="str">
        <f>_xlfn.XLOOKUP(Orders[[#This Row],[CustomerID]],Customers[CustomerID],Customers[CustomerName])</f>
        <v>Uche Abubakar</v>
      </c>
      <c r="O585" t="str">
        <f>_xlfn.XLOOKUP(Orders[[#This Row],[CustomerID]],Customers[CustomerID],Customers[City])</f>
        <v>Florida</v>
      </c>
      <c r="P585" t="str">
        <f>_xlfn.XLOOKUP(Orders[[#This Row],[CustomerID]],Customers[CustomerID],Customers[Gender])</f>
        <v>Male</v>
      </c>
      <c r="Q585">
        <f>_xlfn.XLOOKUP(Orders[[#This Row],[CustomerID]],Customers[CustomerID],Customers[CustomerAge])</f>
        <v>28</v>
      </c>
      <c r="R585" t="str">
        <f>IF(Orders[[#This Row],[CustomerAge]]&gt;=35, "Older", "Young")</f>
        <v>Young</v>
      </c>
      <c r="S585" t="str">
        <f>_xlfn.XLOOKUP(Orders[[#This Row],[ProductID]],Products[ProductID],Products[ProductName])</f>
        <v>Refrigerator</v>
      </c>
      <c r="T585" t="str">
        <f>_xlfn.XLOOKUP(Orders[[#This Row],[ProductID]],Products[ProductID],Products[Category])</f>
        <v>Electronics</v>
      </c>
    </row>
    <row r="586" spans="1:20" x14ac:dyDescent="0.25">
      <c r="A586" s="4" t="s">
        <v>773</v>
      </c>
      <c r="B586" s="5">
        <v>45945</v>
      </c>
      <c r="C586" s="15">
        <f>WEEKNUM(Orders[[#This Row],[OrderDate]])</f>
        <v>42</v>
      </c>
      <c r="D586" s="15" t="str">
        <f>TEXT(Orders[[#This Row],[OrderDate]],"mmmm")</f>
        <v>October</v>
      </c>
      <c r="E586" s="4" t="s">
        <v>39</v>
      </c>
      <c r="F586" s="4" t="s">
        <v>353</v>
      </c>
      <c r="G586" s="4">
        <v>8</v>
      </c>
      <c r="H586" s="12">
        <v>6656.7999999999993</v>
      </c>
      <c r="I586" s="13">
        <v>5658.28</v>
      </c>
      <c r="J586" s="13">
        <f>Orders[[#This Row],[Quantity]]*Orders[[#This Row],[Selling Price]]</f>
        <v>53254.399999999994</v>
      </c>
      <c r="K586" s="13">
        <f>Orders[[#This Row],[Quantity]]*Orders[[#This Row],[Cost Price]]</f>
        <v>45266.239999999998</v>
      </c>
      <c r="L586" s="13">
        <f>Orders[[#This Row],[Revenue]]-Orders[[#This Row],[Expenses]]</f>
        <v>7988.1599999999962</v>
      </c>
      <c r="M586" t="s">
        <v>2211</v>
      </c>
      <c r="N586" t="str">
        <f>_xlfn.XLOOKUP(Orders[[#This Row],[CustomerID]],Customers[CustomerID],Customers[CustomerName])</f>
        <v>Efe Adeyemi</v>
      </c>
      <c r="O586" t="str">
        <f>_xlfn.XLOOKUP(Orders[[#This Row],[CustomerID]],Customers[CustomerID],Customers[City])</f>
        <v>Florida</v>
      </c>
      <c r="P586" t="str">
        <f>_xlfn.XLOOKUP(Orders[[#This Row],[CustomerID]],Customers[CustomerID],Customers[Gender])</f>
        <v>Female</v>
      </c>
      <c r="Q586">
        <f>_xlfn.XLOOKUP(Orders[[#This Row],[CustomerID]],Customers[CustomerID],Customers[CustomerAge])</f>
        <v>20</v>
      </c>
      <c r="R586" t="str">
        <f>IF(Orders[[#This Row],[CustomerAge]]&gt;=35, "Older", "Young")</f>
        <v>Young</v>
      </c>
      <c r="S586" t="str">
        <f>_xlfn.XLOOKUP(Orders[[#This Row],[ProductID]],Products[ProductID],Products[ProductName])</f>
        <v>Silver Earrings And Necklaces</v>
      </c>
      <c r="T586" t="str">
        <f>_xlfn.XLOOKUP(Orders[[#This Row],[ProductID]],Products[ProductID],Products[Category])</f>
        <v>Accessories</v>
      </c>
    </row>
    <row r="587" spans="1:20" x14ac:dyDescent="0.25">
      <c r="A587" s="4" t="s">
        <v>774</v>
      </c>
      <c r="B587" s="5">
        <v>46016</v>
      </c>
      <c r="C587" s="15">
        <f>WEEKNUM(Orders[[#This Row],[OrderDate]])</f>
        <v>52</v>
      </c>
      <c r="D587" s="15" t="str">
        <f>TEXT(Orders[[#This Row],[OrderDate]],"mmmm")</f>
        <v>December</v>
      </c>
      <c r="E587" s="4" t="s">
        <v>89</v>
      </c>
      <c r="F587" s="4" t="s">
        <v>37</v>
      </c>
      <c r="G587" s="4">
        <v>9</v>
      </c>
      <c r="H587" s="12">
        <v>835.6</v>
      </c>
      <c r="I587" s="13">
        <v>710.26</v>
      </c>
      <c r="J587" s="13">
        <f>Orders[[#This Row],[Quantity]]*Orders[[#This Row],[Selling Price]]</f>
        <v>7520.4000000000005</v>
      </c>
      <c r="K587" s="13">
        <f>Orders[[#This Row],[Quantity]]*Orders[[#This Row],[Cost Price]]</f>
        <v>6392.34</v>
      </c>
      <c r="L587" s="13">
        <f>Orders[[#This Row],[Revenue]]-Orders[[#This Row],[Expenses]]</f>
        <v>1128.0600000000004</v>
      </c>
      <c r="M587" t="s">
        <v>2207</v>
      </c>
      <c r="N587" t="str">
        <f>_xlfn.XLOOKUP(Orders[[#This Row],[CustomerID]],Customers[CustomerID],Customers[CustomerName])</f>
        <v>Blessing Balogun</v>
      </c>
      <c r="O587" t="str">
        <f>_xlfn.XLOOKUP(Orders[[#This Row],[CustomerID]],Customers[CustomerID],Customers[City])</f>
        <v>Washington</v>
      </c>
      <c r="P587" t="str">
        <f>_xlfn.XLOOKUP(Orders[[#This Row],[CustomerID]],Customers[CustomerID],Customers[Gender])</f>
        <v>Female</v>
      </c>
      <c r="Q587">
        <f>_xlfn.XLOOKUP(Orders[[#This Row],[CustomerID]],Customers[CustomerID],Customers[CustomerAge])</f>
        <v>19</v>
      </c>
      <c r="R587" t="str">
        <f>IF(Orders[[#This Row],[CustomerAge]]&gt;=35, "Older", "Young")</f>
        <v>Young</v>
      </c>
      <c r="S587" t="str">
        <f>_xlfn.XLOOKUP(Orders[[#This Row],[ProductID]],Products[ProductID],Products[ProductName])</f>
        <v>Iron</v>
      </c>
      <c r="T587" t="str">
        <f>_xlfn.XLOOKUP(Orders[[#This Row],[ProductID]],Products[ProductID],Products[Category])</f>
        <v>Electronics</v>
      </c>
    </row>
    <row r="588" spans="1:20" x14ac:dyDescent="0.25">
      <c r="A588" s="4" t="s">
        <v>775</v>
      </c>
      <c r="B588" s="5">
        <v>45979</v>
      </c>
      <c r="C588" s="15">
        <f>WEEKNUM(Orders[[#This Row],[OrderDate]])</f>
        <v>47</v>
      </c>
      <c r="D588" s="15" t="str">
        <f>TEXT(Orders[[#This Row],[OrderDate]],"mmmm")</f>
        <v>November</v>
      </c>
      <c r="E588" s="4" t="s">
        <v>246</v>
      </c>
      <c r="F588" s="4" t="s">
        <v>168</v>
      </c>
      <c r="G588" s="4">
        <v>5</v>
      </c>
      <c r="H588" s="12">
        <v>11366.6</v>
      </c>
      <c r="I588" s="13">
        <v>9661.61</v>
      </c>
      <c r="J588" s="13">
        <f>Orders[[#This Row],[Quantity]]*Orders[[#This Row],[Selling Price]]</f>
        <v>56833</v>
      </c>
      <c r="K588" s="13">
        <f>Orders[[#This Row],[Quantity]]*Orders[[#This Row],[Cost Price]]</f>
        <v>48308.05</v>
      </c>
      <c r="L588" s="13">
        <f>Orders[[#This Row],[Revenue]]-Orders[[#This Row],[Expenses]]</f>
        <v>8524.9499999999971</v>
      </c>
      <c r="M588" t="s">
        <v>2201</v>
      </c>
      <c r="N588" t="str">
        <f>_xlfn.XLOOKUP(Orders[[#This Row],[CustomerID]],Customers[CustomerID],Customers[CustomerName])</f>
        <v>Emeka Abubakar</v>
      </c>
      <c r="O588" t="str">
        <f>_xlfn.XLOOKUP(Orders[[#This Row],[CustomerID]],Customers[CustomerID],Customers[City])</f>
        <v>Florida</v>
      </c>
      <c r="P588" t="str">
        <f>_xlfn.XLOOKUP(Orders[[#This Row],[CustomerID]],Customers[CustomerID],Customers[Gender])</f>
        <v>Male</v>
      </c>
      <c r="Q588">
        <f>_xlfn.XLOOKUP(Orders[[#This Row],[CustomerID]],Customers[CustomerID],Customers[CustomerAge])</f>
        <v>28</v>
      </c>
      <c r="R588" t="str">
        <f>IF(Orders[[#This Row],[CustomerAge]]&gt;=35, "Older", "Young")</f>
        <v>Young</v>
      </c>
      <c r="S588" t="str">
        <f>_xlfn.XLOOKUP(Orders[[#This Row],[ProductID]],Products[ProductID],Products[ProductName])</f>
        <v>Dumb Bells</v>
      </c>
      <c r="T588" t="str">
        <f>_xlfn.XLOOKUP(Orders[[#This Row],[ProductID]],Products[ProductID],Products[Category])</f>
        <v>Gym</v>
      </c>
    </row>
    <row r="589" spans="1:20" x14ac:dyDescent="0.25">
      <c r="A589" s="4" t="s">
        <v>776</v>
      </c>
      <c r="B589" s="5">
        <v>45992</v>
      </c>
      <c r="C589" s="15">
        <f>WEEKNUM(Orders[[#This Row],[OrderDate]])</f>
        <v>49</v>
      </c>
      <c r="D589" s="15" t="str">
        <f>TEXT(Orders[[#This Row],[OrderDate]],"mmmm")</f>
        <v>December</v>
      </c>
      <c r="E589" s="4" t="s">
        <v>96</v>
      </c>
      <c r="F589" s="4" t="s">
        <v>70</v>
      </c>
      <c r="G589" s="4">
        <v>7</v>
      </c>
      <c r="H589" s="12">
        <v>9482.1</v>
      </c>
      <c r="I589" s="13">
        <v>8059.7849999999999</v>
      </c>
      <c r="J589" s="13">
        <f>Orders[[#This Row],[Quantity]]*Orders[[#This Row],[Selling Price]]</f>
        <v>66374.7</v>
      </c>
      <c r="K589" s="13">
        <f>Orders[[#This Row],[Quantity]]*Orders[[#This Row],[Cost Price]]</f>
        <v>56418.494999999995</v>
      </c>
      <c r="L589" s="13">
        <f>Orders[[#This Row],[Revenue]]-Orders[[#This Row],[Expenses]]</f>
        <v>9956.2050000000017</v>
      </c>
      <c r="M589" t="s">
        <v>2195</v>
      </c>
      <c r="N589" t="str">
        <f>_xlfn.XLOOKUP(Orders[[#This Row],[CustomerID]],Customers[CustomerID],Customers[CustomerName])</f>
        <v>Amina Abubakar</v>
      </c>
      <c r="O589" t="str">
        <f>_xlfn.XLOOKUP(Orders[[#This Row],[CustomerID]],Customers[CustomerID],Customers[City])</f>
        <v>Texas</v>
      </c>
      <c r="P589" t="str">
        <f>_xlfn.XLOOKUP(Orders[[#This Row],[CustomerID]],Customers[CustomerID],Customers[Gender])</f>
        <v>Female</v>
      </c>
      <c r="Q589">
        <f>_xlfn.XLOOKUP(Orders[[#This Row],[CustomerID]],Customers[CustomerID],Customers[CustomerAge])</f>
        <v>35</v>
      </c>
      <c r="R589" t="str">
        <f>IF(Orders[[#This Row],[CustomerAge]]&gt;=35, "Older", "Young")</f>
        <v>Older</v>
      </c>
      <c r="S589" t="str">
        <f>_xlfn.XLOOKUP(Orders[[#This Row],[ProductID]],Products[ProductID],Products[ProductName])</f>
        <v>Yoga Mat</v>
      </c>
      <c r="T589" t="str">
        <f>_xlfn.XLOOKUP(Orders[[#This Row],[ProductID]],Products[ProductID],Products[Category])</f>
        <v>Gym</v>
      </c>
    </row>
    <row r="590" spans="1:20" x14ac:dyDescent="0.25">
      <c r="A590" s="4" t="s">
        <v>777</v>
      </c>
      <c r="B590" s="5">
        <v>46021</v>
      </c>
      <c r="C590" s="15">
        <f>WEEKNUM(Orders[[#This Row],[OrderDate]])</f>
        <v>53</v>
      </c>
      <c r="D590" s="15" t="str">
        <f>TEXT(Orders[[#This Row],[OrderDate]],"mmmm")</f>
        <v>December</v>
      </c>
      <c r="E590" s="4" t="s">
        <v>116</v>
      </c>
      <c r="F590" s="4" t="s">
        <v>28</v>
      </c>
      <c r="G590" s="4">
        <v>2</v>
      </c>
      <c r="H590" s="12">
        <v>10819.400000000001</v>
      </c>
      <c r="I590" s="13">
        <v>9196.4900000000016</v>
      </c>
      <c r="J590" s="13">
        <f>Orders[[#This Row],[Quantity]]*Orders[[#This Row],[Selling Price]]</f>
        <v>21638.800000000003</v>
      </c>
      <c r="K590" s="13">
        <f>Orders[[#This Row],[Quantity]]*Orders[[#This Row],[Cost Price]]</f>
        <v>18392.980000000003</v>
      </c>
      <c r="L590" s="13">
        <f>Orders[[#This Row],[Revenue]]-Orders[[#This Row],[Expenses]]</f>
        <v>3245.8199999999997</v>
      </c>
      <c r="M590" t="s">
        <v>2199</v>
      </c>
      <c r="N590" t="str">
        <f>_xlfn.XLOOKUP(Orders[[#This Row],[CustomerID]],Customers[CustomerID],Customers[CustomerName])</f>
        <v>Uche Bello</v>
      </c>
      <c r="O590" t="str">
        <f>_xlfn.XLOOKUP(Orders[[#This Row],[CustomerID]],Customers[CustomerID],Customers[City])</f>
        <v>Texas</v>
      </c>
      <c r="P590" t="str">
        <f>_xlfn.XLOOKUP(Orders[[#This Row],[CustomerID]],Customers[CustomerID],Customers[Gender])</f>
        <v>Male</v>
      </c>
      <c r="Q590">
        <f>_xlfn.XLOOKUP(Orders[[#This Row],[CustomerID]],Customers[CustomerID],Customers[CustomerAge])</f>
        <v>21</v>
      </c>
      <c r="R590" t="str">
        <f>IF(Orders[[#This Row],[CustomerAge]]&gt;=35, "Older", "Young")</f>
        <v>Young</v>
      </c>
      <c r="S590" t="str">
        <f>_xlfn.XLOOKUP(Orders[[#This Row],[ProductID]],Products[ProductID],Products[ProductName])</f>
        <v>Sneakers</v>
      </c>
      <c r="T590" t="str">
        <f>_xlfn.XLOOKUP(Orders[[#This Row],[ProductID]],Products[ProductID],Products[Category])</f>
        <v>Sports</v>
      </c>
    </row>
    <row r="591" spans="1:20" x14ac:dyDescent="0.25">
      <c r="A591" s="4" t="s">
        <v>778</v>
      </c>
      <c r="B591" s="5">
        <v>45955</v>
      </c>
      <c r="C591" s="15">
        <f>WEEKNUM(Orders[[#This Row],[OrderDate]])</f>
        <v>43</v>
      </c>
      <c r="D591" s="15" t="str">
        <f>TEXT(Orders[[#This Row],[OrderDate]],"mmmm")</f>
        <v>October</v>
      </c>
      <c r="E591" s="4" t="s">
        <v>246</v>
      </c>
      <c r="F591" s="4" t="s">
        <v>15</v>
      </c>
      <c r="G591" s="4">
        <v>2</v>
      </c>
      <c r="H591" s="12">
        <v>15467</v>
      </c>
      <c r="I591" s="13">
        <v>13146.95</v>
      </c>
      <c r="J591" s="13">
        <f>Orders[[#This Row],[Quantity]]*Orders[[#This Row],[Selling Price]]</f>
        <v>30934</v>
      </c>
      <c r="K591" s="13">
        <f>Orders[[#This Row],[Quantity]]*Orders[[#This Row],[Cost Price]]</f>
        <v>26293.9</v>
      </c>
      <c r="L591" s="13">
        <f>Orders[[#This Row],[Revenue]]-Orders[[#This Row],[Expenses]]</f>
        <v>4640.0999999999985</v>
      </c>
      <c r="M591" t="s">
        <v>2205</v>
      </c>
      <c r="N591" t="str">
        <f>_xlfn.XLOOKUP(Orders[[#This Row],[CustomerID]],Customers[CustomerID],Customers[CustomerName])</f>
        <v>Emeka Abubakar</v>
      </c>
      <c r="O591" t="str">
        <f>_xlfn.XLOOKUP(Orders[[#This Row],[CustomerID]],Customers[CustomerID],Customers[City])</f>
        <v>Florida</v>
      </c>
      <c r="P591" t="str">
        <f>_xlfn.XLOOKUP(Orders[[#This Row],[CustomerID]],Customers[CustomerID],Customers[Gender])</f>
        <v>Male</v>
      </c>
      <c r="Q591">
        <f>_xlfn.XLOOKUP(Orders[[#This Row],[CustomerID]],Customers[CustomerID],Customers[CustomerAge])</f>
        <v>28</v>
      </c>
      <c r="R591" t="str">
        <f>IF(Orders[[#This Row],[CustomerAge]]&gt;=35, "Older", "Young")</f>
        <v>Young</v>
      </c>
      <c r="S591" t="str">
        <f>_xlfn.XLOOKUP(Orders[[#This Row],[ProductID]],Products[ProductID],Products[ProductName])</f>
        <v>Monopoly</v>
      </c>
      <c r="T591" t="str">
        <f>_xlfn.XLOOKUP(Orders[[#This Row],[ProductID]],Products[ProductID],Products[Category])</f>
        <v>Games</v>
      </c>
    </row>
    <row r="592" spans="1:20" x14ac:dyDescent="0.25">
      <c r="A592" s="4" t="s">
        <v>779</v>
      </c>
      <c r="B592" s="5">
        <v>45978</v>
      </c>
      <c r="C592" s="15">
        <f>WEEKNUM(Orders[[#This Row],[OrderDate]])</f>
        <v>47</v>
      </c>
      <c r="D592" s="15" t="str">
        <f>TEXT(Orders[[#This Row],[OrderDate]],"mmmm")</f>
        <v>November</v>
      </c>
      <c r="E592" s="4" t="s">
        <v>91</v>
      </c>
      <c r="F592" s="4" t="s">
        <v>76</v>
      </c>
      <c r="G592" s="4">
        <v>3</v>
      </c>
      <c r="H592" s="12">
        <v>19986.400000000001</v>
      </c>
      <c r="I592" s="13">
        <v>16988.440000000002</v>
      </c>
      <c r="J592" s="13">
        <f>Orders[[#This Row],[Quantity]]*Orders[[#This Row],[Selling Price]]</f>
        <v>59959.200000000004</v>
      </c>
      <c r="K592" s="13">
        <f>Orders[[#This Row],[Quantity]]*Orders[[#This Row],[Cost Price]]</f>
        <v>50965.320000000007</v>
      </c>
      <c r="L592" s="13">
        <f>Orders[[#This Row],[Revenue]]-Orders[[#This Row],[Expenses]]</f>
        <v>8993.8799999999974</v>
      </c>
      <c r="M592" t="s">
        <v>2208</v>
      </c>
      <c r="N592" t="str">
        <f>_xlfn.XLOOKUP(Orders[[#This Row],[CustomerID]],Customers[CustomerID],Customers[CustomerName])</f>
        <v>Uche Abubakar</v>
      </c>
      <c r="O592" t="str">
        <f>_xlfn.XLOOKUP(Orders[[#This Row],[CustomerID]],Customers[CustomerID],Customers[City])</f>
        <v>Florida</v>
      </c>
      <c r="P592" t="str">
        <f>_xlfn.XLOOKUP(Orders[[#This Row],[CustomerID]],Customers[CustomerID],Customers[Gender])</f>
        <v>Male</v>
      </c>
      <c r="Q592">
        <f>_xlfn.XLOOKUP(Orders[[#This Row],[CustomerID]],Customers[CustomerID],Customers[CustomerAge])</f>
        <v>28</v>
      </c>
      <c r="R592" t="str">
        <f>IF(Orders[[#This Row],[CustomerAge]]&gt;=35, "Older", "Young")</f>
        <v>Young</v>
      </c>
      <c r="S592" t="str">
        <f>_xlfn.XLOOKUP(Orders[[#This Row],[ProductID]],Products[ProductID],Products[ProductName])</f>
        <v>Blender</v>
      </c>
      <c r="T592" t="str">
        <f>_xlfn.XLOOKUP(Orders[[#This Row],[ProductID]],Products[ProductID],Products[Category])</f>
        <v>Electronics</v>
      </c>
    </row>
    <row r="593" spans="1:20" x14ac:dyDescent="0.25">
      <c r="A593" s="4" t="s">
        <v>780</v>
      </c>
      <c r="B593" s="5">
        <v>45932</v>
      </c>
      <c r="C593" s="15">
        <f>WEEKNUM(Orders[[#This Row],[OrderDate]])</f>
        <v>40</v>
      </c>
      <c r="D593" s="15" t="str">
        <f>TEXT(Orders[[#This Row],[OrderDate]],"mmmm")</f>
        <v>October</v>
      </c>
      <c r="E593" s="4" t="s">
        <v>146</v>
      </c>
      <c r="F593" s="4" t="s">
        <v>57</v>
      </c>
      <c r="G593" s="4">
        <v>3</v>
      </c>
      <c r="H593" s="12">
        <v>12295.599999999999</v>
      </c>
      <c r="I593" s="13">
        <v>10451.259999999998</v>
      </c>
      <c r="J593" s="13">
        <f>Orders[[#This Row],[Quantity]]*Orders[[#This Row],[Selling Price]]</f>
        <v>36886.799999999996</v>
      </c>
      <c r="K593" s="13">
        <f>Orders[[#This Row],[Quantity]]*Orders[[#This Row],[Cost Price]]</f>
        <v>31353.779999999995</v>
      </c>
      <c r="L593" s="13">
        <f>Orders[[#This Row],[Revenue]]-Orders[[#This Row],[Expenses]]</f>
        <v>5533.02</v>
      </c>
      <c r="M593" t="s">
        <v>2213</v>
      </c>
      <c r="N593" t="str">
        <f>_xlfn.XLOOKUP(Orders[[#This Row],[CustomerID]],Customers[CustomerID],Customers[CustomerName])</f>
        <v>Mustafa Igwe</v>
      </c>
      <c r="O593" t="str">
        <f>_xlfn.XLOOKUP(Orders[[#This Row],[CustomerID]],Customers[CustomerID],Customers[City])</f>
        <v>Texas</v>
      </c>
      <c r="P593" t="str">
        <f>_xlfn.XLOOKUP(Orders[[#This Row],[CustomerID]],Customers[CustomerID],Customers[Gender])</f>
        <v>Male</v>
      </c>
      <c r="Q593">
        <f>_xlfn.XLOOKUP(Orders[[#This Row],[CustomerID]],Customers[CustomerID],Customers[CustomerAge])</f>
        <v>27</v>
      </c>
      <c r="R593" t="str">
        <f>IF(Orders[[#This Row],[CustomerAge]]&gt;=35, "Older", "Young")</f>
        <v>Young</v>
      </c>
      <c r="S593" t="str">
        <f>_xlfn.XLOOKUP(Orders[[#This Row],[ProductID]],Products[ProductID],Products[ProductName])</f>
        <v>Badminton Racket</v>
      </c>
      <c r="T593" t="str">
        <f>_xlfn.XLOOKUP(Orders[[#This Row],[ProductID]],Products[ProductID],Products[Category])</f>
        <v>Sports</v>
      </c>
    </row>
    <row r="594" spans="1:20" x14ac:dyDescent="0.25">
      <c r="A594" s="4" t="s">
        <v>781</v>
      </c>
      <c r="B594" s="5">
        <v>45942</v>
      </c>
      <c r="C594" s="15">
        <f>WEEKNUM(Orders[[#This Row],[OrderDate]])</f>
        <v>42</v>
      </c>
      <c r="D594" s="15" t="str">
        <f>TEXT(Orders[[#This Row],[OrderDate]],"mmmm")</f>
        <v>October</v>
      </c>
      <c r="E594" s="4" t="s">
        <v>256</v>
      </c>
      <c r="F594" s="4" t="s">
        <v>151</v>
      </c>
      <c r="G594" s="4">
        <v>8</v>
      </c>
      <c r="H594" s="12">
        <v>9629.4000000000015</v>
      </c>
      <c r="I594" s="13">
        <v>8184.9900000000016</v>
      </c>
      <c r="J594" s="13">
        <f>Orders[[#This Row],[Quantity]]*Orders[[#This Row],[Selling Price]]</f>
        <v>77035.200000000012</v>
      </c>
      <c r="K594" s="13">
        <f>Orders[[#This Row],[Quantity]]*Orders[[#This Row],[Cost Price]]</f>
        <v>65479.920000000013</v>
      </c>
      <c r="L594" s="13">
        <f>Orders[[#This Row],[Revenue]]-Orders[[#This Row],[Expenses]]</f>
        <v>11555.279999999999</v>
      </c>
      <c r="M594" t="s">
        <v>2218</v>
      </c>
      <c r="N594" t="str">
        <f>_xlfn.XLOOKUP(Orders[[#This Row],[CustomerID]],Customers[CustomerID],Customers[CustomerName])</f>
        <v>Efe Ojo</v>
      </c>
      <c r="O594" t="str">
        <f>_xlfn.XLOOKUP(Orders[[#This Row],[CustomerID]],Customers[CustomerID],Customers[City])</f>
        <v>Georgia</v>
      </c>
      <c r="P594" t="str">
        <f>_xlfn.XLOOKUP(Orders[[#This Row],[CustomerID]],Customers[CustomerID],Customers[Gender])</f>
        <v>Female</v>
      </c>
      <c r="Q594">
        <f>_xlfn.XLOOKUP(Orders[[#This Row],[CustomerID]],Customers[CustomerID],Customers[CustomerAge])</f>
        <v>23</v>
      </c>
      <c r="R594" t="str">
        <f>IF(Orders[[#This Row],[CustomerAge]]&gt;=35, "Older", "Young")</f>
        <v>Young</v>
      </c>
      <c r="S594" t="str">
        <f>_xlfn.XLOOKUP(Orders[[#This Row],[ProductID]],Products[ProductID],Products[ProductName])</f>
        <v>Checkers</v>
      </c>
      <c r="T594" t="str">
        <f>_xlfn.XLOOKUP(Orders[[#This Row],[ProductID]],Products[ProductID],Products[Category])</f>
        <v>Games</v>
      </c>
    </row>
    <row r="595" spans="1:20" x14ac:dyDescent="0.25">
      <c r="A595" s="4" t="s">
        <v>782</v>
      </c>
      <c r="B595" s="5">
        <v>45983</v>
      </c>
      <c r="C595" s="15">
        <f>WEEKNUM(Orders[[#This Row],[OrderDate]])</f>
        <v>47</v>
      </c>
      <c r="D595" s="15" t="str">
        <f>TEXT(Orders[[#This Row],[OrderDate]],"mmmm")</f>
        <v>November</v>
      </c>
      <c r="E595" s="4" t="s">
        <v>564</v>
      </c>
      <c r="F595" s="4" t="s">
        <v>20</v>
      </c>
      <c r="G595" s="4">
        <v>9</v>
      </c>
      <c r="H595" s="12">
        <v>9776.4</v>
      </c>
      <c r="I595" s="13">
        <v>8309.94</v>
      </c>
      <c r="J595" s="13">
        <f>Orders[[#This Row],[Quantity]]*Orders[[#This Row],[Selling Price]]</f>
        <v>87987.599999999991</v>
      </c>
      <c r="K595" s="13">
        <f>Orders[[#This Row],[Quantity]]*Orders[[#This Row],[Cost Price]]</f>
        <v>74789.460000000006</v>
      </c>
      <c r="L595" s="13">
        <f>Orders[[#This Row],[Revenue]]-Orders[[#This Row],[Expenses]]</f>
        <v>13198.139999999985</v>
      </c>
      <c r="M595" t="s">
        <v>2206</v>
      </c>
      <c r="N595" t="str">
        <f>_xlfn.XLOOKUP(Orders[[#This Row],[CustomerID]],Customers[CustomerID],Customers[CustomerName])</f>
        <v>Blessing Eze</v>
      </c>
      <c r="O595" t="str">
        <f>_xlfn.XLOOKUP(Orders[[#This Row],[CustomerID]],Customers[CustomerID],Customers[City])</f>
        <v>Georgia</v>
      </c>
      <c r="P595" t="str">
        <f>_xlfn.XLOOKUP(Orders[[#This Row],[CustomerID]],Customers[CustomerID],Customers[Gender])</f>
        <v>Female</v>
      </c>
      <c r="Q595">
        <f>_xlfn.XLOOKUP(Orders[[#This Row],[CustomerID]],Customers[CustomerID],Customers[CustomerAge])</f>
        <v>19</v>
      </c>
      <c r="R595" t="str">
        <f>IF(Orders[[#This Row],[CustomerAge]]&gt;=35, "Older", "Young")</f>
        <v>Young</v>
      </c>
      <c r="S595" t="str">
        <f>_xlfn.XLOOKUP(Orders[[#This Row],[ProductID]],Products[ProductID],Products[ProductName])</f>
        <v>Gym Bag</v>
      </c>
      <c r="T595" t="str">
        <f>_xlfn.XLOOKUP(Orders[[#This Row],[ProductID]],Products[ProductID],Products[Category])</f>
        <v>Gym</v>
      </c>
    </row>
    <row r="596" spans="1:20" x14ac:dyDescent="0.25">
      <c r="A596" s="4" t="s">
        <v>783</v>
      </c>
      <c r="B596" s="5">
        <v>45942</v>
      </c>
      <c r="C596" s="15">
        <f>WEEKNUM(Orders[[#This Row],[OrderDate]])</f>
        <v>42</v>
      </c>
      <c r="D596" s="15" t="str">
        <f>TEXT(Orders[[#This Row],[OrderDate]],"mmmm")</f>
        <v>October</v>
      </c>
      <c r="E596" s="4" t="s">
        <v>163</v>
      </c>
      <c r="F596" s="4" t="s">
        <v>120</v>
      </c>
      <c r="G596" s="4">
        <v>7</v>
      </c>
      <c r="H596" s="12">
        <v>8863.5</v>
      </c>
      <c r="I596" s="13">
        <v>7533.9750000000004</v>
      </c>
      <c r="J596" s="13">
        <f>Orders[[#This Row],[Quantity]]*Orders[[#This Row],[Selling Price]]</f>
        <v>62044.5</v>
      </c>
      <c r="K596" s="13">
        <f>Orders[[#This Row],[Quantity]]*Orders[[#This Row],[Cost Price]]</f>
        <v>52737.825000000004</v>
      </c>
      <c r="L596" s="13">
        <f>Orders[[#This Row],[Revenue]]-Orders[[#This Row],[Expenses]]</f>
        <v>9306.6749999999956</v>
      </c>
      <c r="M596" t="s">
        <v>2197</v>
      </c>
      <c r="N596" t="str">
        <f>_xlfn.XLOOKUP(Orders[[#This Row],[CustomerID]],Customers[CustomerID],Customers[CustomerName])</f>
        <v>Folasade Danladi</v>
      </c>
      <c r="O596" t="str">
        <f>_xlfn.XLOOKUP(Orders[[#This Row],[CustomerID]],Customers[CustomerID],Customers[City])</f>
        <v>Texas</v>
      </c>
      <c r="P596" t="str">
        <f>_xlfn.XLOOKUP(Orders[[#This Row],[CustomerID]],Customers[CustomerID],Customers[Gender])</f>
        <v>Female</v>
      </c>
      <c r="Q596">
        <f>_xlfn.XLOOKUP(Orders[[#This Row],[CustomerID]],Customers[CustomerID],Customers[CustomerAge])</f>
        <v>32</v>
      </c>
      <c r="R596" t="str">
        <f>IF(Orders[[#This Row],[CustomerAge]]&gt;=35, "Older", "Young")</f>
        <v>Young</v>
      </c>
      <c r="S596" t="str">
        <f>_xlfn.XLOOKUP(Orders[[#This Row],[ProductID]],Products[ProductID],Products[ProductName])</f>
        <v>Chess</v>
      </c>
      <c r="T596" t="str">
        <f>_xlfn.XLOOKUP(Orders[[#This Row],[ProductID]],Products[ProductID],Products[Category])</f>
        <v>Games</v>
      </c>
    </row>
    <row r="597" spans="1:20" x14ac:dyDescent="0.25">
      <c r="A597" s="4" t="s">
        <v>784</v>
      </c>
      <c r="B597" s="5">
        <v>45977</v>
      </c>
      <c r="C597" s="15">
        <f>WEEKNUM(Orders[[#This Row],[OrderDate]])</f>
        <v>47</v>
      </c>
      <c r="D597" s="15" t="str">
        <f>TEXT(Orders[[#This Row],[OrderDate]],"mmmm")</f>
        <v>November</v>
      </c>
      <c r="E597" s="4" t="s">
        <v>216</v>
      </c>
      <c r="F597" s="4" t="s">
        <v>127</v>
      </c>
      <c r="G597" s="4">
        <v>3</v>
      </c>
      <c r="H597" s="12">
        <v>7753.8</v>
      </c>
      <c r="I597" s="13">
        <v>6590.7300000000005</v>
      </c>
      <c r="J597" s="13">
        <f>Orders[[#This Row],[Quantity]]*Orders[[#This Row],[Selling Price]]</f>
        <v>23261.4</v>
      </c>
      <c r="K597" s="13">
        <f>Orders[[#This Row],[Quantity]]*Orders[[#This Row],[Cost Price]]</f>
        <v>19772.190000000002</v>
      </c>
      <c r="L597" s="13">
        <f>Orders[[#This Row],[Revenue]]-Orders[[#This Row],[Expenses]]</f>
        <v>3489.2099999999991</v>
      </c>
      <c r="M597" t="s">
        <v>2209</v>
      </c>
      <c r="N597" t="str">
        <f>_xlfn.XLOOKUP(Orders[[#This Row],[CustomerID]],Customers[CustomerID],Customers[CustomerName])</f>
        <v>Ngozi Obi</v>
      </c>
      <c r="O597" t="str">
        <f>_xlfn.XLOOKUP(Orders[[#This Row],[CustomerID]],Customers[CustomerID],Customers[City])</f>
        <v>California</v>
      </c>
      <c r="P597" t="str">
        <f>_xlfn.XLOOKUP(Orders[[#This Row],[CustomerID]],Customers[CustomerID],Customers[Gender])</f>
        <v>Female</v>
      </c>
      <c r="Q597">
        <f>_xlfn.XLOOKUP(Orders[[#This Row],[CustomerID]],Customers[CustomerID],Customers[CustomerAge])</f>
        <v>54</v>
      </c>
      <c r="R597" t="str">
        <f>IF(Orders[[#This Row],[CustomerAge]]&gt;=35, "Older", "Young")</f>
        <v>Older</v>
      </c>
      <c r="S597" t="str">
        <f>_xlfn.XLOOKUP(Orders[[#This Row],[ProductID]],Products[ProductID],Products[ProductName])</f>
        <v>Tops</v>
      </c>
      <c r="T597" t="str">
        <f>_xlfn.XLOOKUP(Orders[[#This Row],[ProductID]],Products[ProductID],Products[Category])</f>
        <v>Clothing</v>
      </c>
    </row>
    <row r="598" spans="1:20" x14ac:dyDescent="0.25">
      <c r="A598" s="4" t="s">
        <v>785</v>
      </c>
      <c r="B598" s="5">
        <v>45991</v>
      </c>
      <c r="C598" s="15">
        <f>WEEKNUM(Orders[[#This Row],[OrderDate]])</f>
        <v>49</v>
      </c>
      <c r="D598" s="15" t="str">
        <f>TEXT(Orders[[#This Row],[OrderDate]],"mmmm")</f>
        <v>November</v>
      </c>
      <c r="E598" s="4" t="s">
        <v>596</v>
      </c>
      <c r="F598" s="4" t="s">
        <v>151</v>
      </c>
      <c r="G598" s="4">
        <v>7</v>
      </c>
      <c r="H598" s="12">
        <v>3151.3999999999996</v>
      </c>
      <c r="I598" s="13">
        <v>2678.6899999999996</v>
      </c>
      <c r="J598" s="13">
        <f>Orders[[#This Row],[Quantity]]*Orders[[#This Row],[Selling Price]]</f>
        <v>22059.799999999996</v>
      </c>
      <c r="K598" s="13">
        <f>Orders[[#This Row],[Quantity]]*Orders[[#This Row],[Cost Price]]</f>
        <v>18750.829999999998</v>
      </c>
      <c r="L598" s="13">
        <f>Orders[[#This Row],[Revenue]]-Orders[[#This Row],[Expenses]]</f>
        <v>3308.9699999999975</v>
      </c>
      <c r="M598" t="s">
        <v>2194</v>
      </c>
      <c r="N598" t="str">
        <f>_xlfn.XLOOKUP(Orders[[#This Row],[CustomerID]],Customers[CustomerID],Customers[CustomerName])</f>
        <v>Blessing Balogun</v>
      </c>
      <c r="O598" t="str">
        <f>_xlfn.XLOOKUP(Orders[[#This Row],[CustomerID]],Customers[CustomerID],Customers[City])</f>
        <v>Texas</v>
      </c>
      <c r="P598" t="str">
        <f>_xlfn.XLOOKUP(Orders[[#This Row],[CustomerID]],Customers[CustomerID],Customers[Gender])</f>
        <v>Female</v>
      </c>
      <c r="Q598">
        <f>_xlfn.XLOOKUP(Orders[[#This Row],[CustomerID]],Customers[CustomerID],Customers[CustomerAge])</f>
        <v>26</v>
      </c>
      <c r="R598" t="str">
        <f>IF(Orders[[#This Row],[CustomerAge]]&gt;=35, "Older", "Young")</f>
        <v>Young</v>
      </c>
      <c r="S598" t="str">
        <f>_xlfn.XLOOKUP(Orders[[#This Row],[ProductID]],Products[ProductID],Products[ProductName])</f>
        <v>Checkers</v>
      </c>
      <c r="T598" t="str">
        <f>_xlfn.XLOOKUP(Orders[[#This Row],[ProductID]],Products[ProductID],Products[Category])</f>
        <v>Games</v>
      </c>
    </row>
    <row r="599" spans="1:20" x14ac:dyDescent="0.25">
      <c r="A599" s="4" t="s">
        <v>786</v>
      </c>
      <c r="B599" s="5">
        <v>45944</v>
      </c>
      <c r="C599" s="15">
        <f>WEEKNUM(Orders[[#This Row],[OrderDate]])</f>
        <v>42</v>
      </c>
      <c r="D599" s="15" t="str">
        <f>TEXT(Orders[[#This Row],[OrderDate]],"mmmm")</f>
        <v>October</v>
      </c>
      <c r="E599" s="4" t="s">
        <v>410</v>
      </c>
      <c r="F599" s="4" t="s">
        <v>46</v>
      </c>
      <c r="G599" s="4">
        <v>3</v>
      </c>
      <c r="H599" s="12">
        <v>19811</v>
      </c>
      <c r="I599" s="13">
        <v>16839.349999999999</v>
      </c>
      <c r="J599" s="13">
        <f>Orders[[#This Row],[Quantity]]*Orders[[#This Row],[Selling Price]]</f>
        <v>59433</v>
      </c>
      <c r="K599" s="13">
        <f>Orders[[#This Row],[Quantity]]*Orders[[#This Row],[Cost Price]]</f>
        <v>50518.049999999996</v>
      </c>
      <c r="L599" s="13">
        <f>Orders[[#This Row],[Revenue]]-Orders[[#This Row],[Expenses]]</f>
        <v>8914.9500000000044</v>
      </c>
      <c r="M599" t="s">
        <v>2201</v>
      </c>
      <c r="N599" t="str">
        <f>_xlfn.XLOOKUP(Orders[[#This Row],[CustomerID]],Customers[CustomerID],Customers[CustomerName])</f>
        <v>Jane Thomas</v>
      </c>
      <c r="O599" t="str">
        <f>_xlfn.XLOOKUP(Orders[[#This Row],[CustomerID]],Customers[CustomerID],Customers[City])</f>
        <v>Texas</v>
      </c>
      <c r="P599" t="str">
        <f>_xlfn.XLOOKUP(Orders[[#This Row],[CustomerID]],Customers[CustomerID],Customers[Gender])</f>
        <v>Male</v>
      </c>
      <c r="Q599">
        <f>_xlfn.XLOOKUP(Orders[[#This Row],[CustomerID]],Customers[CustomerID],Customers[CustomerAge])</f>
        <v>21</v>
      </c>
      <c r="R599" t="str">
        <f>IF(Orders[[#This Row],[CustomerAge]]&gt;=35, "Older", "Young")</f>
        <v>Young</v>
      </c>
      <c r="S599" t="str">
        <f>_xlfn.XLOOKUP(Orders[[#This Row],[ProductID]],Products[ProductID],Products[ProductName])</f>
        <v>Turtle Neck</v>
      </c>
      <c r="T599" t="str">
        <f>_xlfn.XLOOKUP(Orders[[#This Row],[ProductID]],Products[ProductID],Products[Category])</f>
        <v>Clothing</v>
      </c>
    </row>
    <row r="600" spans="1:20" x14ac:dyDescent="0.25">
      <c r="A600" s="4" t="s">
        <v>787</v>
      </c>
      <c r="B600" s="5">
        <v>45939</v>
      </c>
      <c r="C600" s="15">
        <f>WEEKNUM(Orders[[#This Row],[OrderDate]])</f>
        <v>41</v>
      </c>
      <c r="D600" s="15" t="str">
        <f>TEXT(Orders[[#This Row],[OrderDate]],"mmmm")</f>
        <v>October</v>
      </c>
      <c r="E600" s="4" t="s">
        <v>439</v>
      </c>
      <c r="F600" s="4" t="s">
        <v>130</v>
      </c>
      <c r="G600" s="4">
        <v>3</v>
      </c>
      <c r="H600" s="12">
        <v>2222.6</v>
      </c>
      <c r="I600" s="13">
        <v>1889.21</v>
      </c>
      <c r="J600" s="13">
        <f>Orders[[#This Row],[Quantity]]*Orders[[#This Row],[Selling Price]]</f>
        <v>6667.7999999999993</v>
      </c>
      <c r="K600" s="13">
        <f>Orders[[#This Row],[Quantity]]*Orders[[#This Row],[Cost Price]]</f>
        <v>5667.63</v>
      </c>
      <c r="L600" s="13">
        <f>Orders[[#This Row],[Revenue]]-Orders[[#This Row],[Expenses]]</f>
        <v>1000.1699999999992</v>
      </c>
      <c r="M600" t="s">
        <v>2197</v>
      </c>
      <c r="N600" t="str">
        <f>_xlfn.XLOOKUP(Orders[[#This Row],[CustomerID]],Customers[CustomerID],Customers[CustomerName])</f>
        <v>Efe Abubakar</v>
      </c>
      <c r="O600" t="str">
        <f>_xlfn.XLOOKUP(Orders[[#This Row],[CustomerID]],Customers[CustomerID],Customers[City])</f>
        <v>Texas</v>
      </c>
      <c r="P600" t="str">
        <f>_xlfn.XLOOKUP(Orders[[#This Row],[CustomerID]],Customers[CustomerID],Customers[Gender])</f>
        <v>Female</v>
      </c>
      <c r="Q600">
        <f>_xlfn.XLOOKUP(Orders[[#This Row],[CustomerID]],Customers[CustomerID],Customers[CustomerAge])</f>
        <v>50</v>
      </c>
      <c r="R600" t="str">
        <f>IF(Orders[[#This Row],[CustomerAge]]&gt;=35, "Older", "Young")</f>
        <v>Older</v>
      </c>
      <c r="S600" t="str">
        <f>_xlfn.XLOOKUP(Orders[[#This Row],[ProductID]],Products[ProductID],Products[ProductName])</f>
        <v>Gold Earrings And Necklaces</v>
      </c>
      <c r="T600" t="str">
        <f>_xlfn.XLOOKUP(Orders[[#This Row],[ProductID]],Products[ProductID],Products[Category])</f>
        <v>Accessories</v>
      </c>
    </row>
    <row r="601" spans="1:20" x14ac:dyDescent="0.25">
      <c r="A601" s="4" t="s">
        <v>788</v>
      </c>
      <c r="B601" s="5">
        <v>46013</v>
      </c>
      <c r="C601" s="15">
        <f>WEEKNUM(Orders[[#This Row],[OrderDate]])</f>
        <v>52</v>
      </c>
      <c r="D601" s="15" t="str">
        <f>TEXT(Orders[[#This Row],[OrderDate]],"mmmm")</f>
        <v>December</v>
      </c>
      <c r="E601" s="4" t="s">
        <v>59</v>
      </c>
      <c r="F601" s="4" t="s">
        <v>84</v>
      </c>
      <c r="G601" s="4">
        <v>10</v>
      </c>
      <c r="H601" s="12">
        <v>5465.8</v>
      </c>
      <c r="I601" s="13">
        <v>4645.93</v>
      </c>
      <c r="J601" s="13">
        <f>Orders[[#This Row],[Quantity]]*Orders[[#This Row],[Selling Price]]</f>
        <v>54658</v>
      </c>
      <c r="K601" s="13">
        <f>Orders[[#This Row],[Quantity]]*Orders[[#This Row],[Cost Price]]</f>
        <v>46459.3</v>
      </c>
      <c r="L601" s="13">
        <f>Orders[[#This Row],[Revenue]]-Orders[[#This Row],[Expenses]]</f>
        <v>8198.6999999999971</v>
      </c>
      <c r="M601" t="s">
        <v>2199</v>
      </c>
      <c r="N601" t="str">
        <f>_xlfn.XLOOKUP(Orders[[#This Row],[CustomerID]],Customers[CustomerID],Customers[CustomerName])</f>
        <v>Adanma Danladi</v>
      </c>
      <c r="O601" t="str">
        <f>_xlfn.XLOOKUP(Orders[[#This Row],[CustomerID]],Customers[CustomerID],Customers[City])</f>
        <v>Texas</v>
      </c>
      <c r="P601" t="str">
        <f>_xlfn.XLOOKUP(Orders[[#This Row],[CustomerID]],Customers[CustomerID],Customers[Gender])</f>
        <v>Female</v>
      </c>
      <c r="Q601">
        <f>_xlfn.XLOOKUP(Orders[[#This Row],[CustomerID]],Customers[CustomerID],Customers[CustomerAge])</f>
        <v>24</v>
      </c>
      <c r="R601" t="str">
        <f>IF(Orders[[#This Row],[CustomerAge]]&gt;=35, "Older", "Young")</f>
        <v>Young</v>
      </c>
      <c r="S601" t="str">
        <f>_xlfn.XLOOKUP(Orders[[#This Row],[ProductID]],Products[ProductID],Products[ProductName])</f>
        <v>Gym Wears</v>
      </c>
      <c r="T601" t="str">
        <f>_xlfn.XLOOKUP(Orders[[#This Row],[ProductID]],Products[ProductID],Products[Category])</f>
        <v>Clothing</v>
      </c>
    </row>
    <row r="602" spans="1:20" x14ac:dyDescent="0.25">
      <c r="A602" s="4" t="s">
        <v>789</v>
      </c>
      <c r="B602" s="5">
        <v>45939</v>
      </c>
      <c r="C602" s="15">
        <f>WEEKNUM(Orders[[#This Row],[OrderDate]])</f>
        <v>41</v>
      </c>
      <c r="D602" s="15" t="str">
        <f>TEXT(Orders[[#This Row],[OrderDate]],"mmmm")</f>
        <v>October</v>
      </c>
      <c r="E602" s="4" t="s">
        <v>574</v>
      </c>
      <c r="F602" s="4" t="s">
        <v>20</v>
      </c>
      <c r="G602" s="4">
        <v>10</v>
      </c>
      <c r="H602" s="12">
        <v>17210.5</v>
      </c>
      <c r="I602" s="13">
        <v>14628.924999999999</v>
      </c>
      <c r="J602" s="13">
        <f>Orders[[#This Row],[Quantity]]*Orders[[#This Row],[Selling Price]]</f>
        <v>172105</v>
      </c>
      <c r="K602" s="13">
        <f>Orders[[#This Row],[Quantity]]*Orders[[#This Row],[Cost Price]]</f>
        <v>146289.25</v>
      </c>
      <c r="L602" s="13">
        <f>Orders[[#This Row],[Revenue]]-Orders[[#This Row],[Expenses]]</f>
        <v>25815.75</v>
      </c>
      <c r="M602" t="s">
        <v>2212</v>
      </c>
      <c r="N602" t="str">
        <f>_xlfn.XLOOKUP(Orders[[#This Row],[CustomerID]],Customers[CustomerID],Customers[CustomerName])</f>
        <v>Adanma Obi</v>
      </c>
      <c r="O602" t="str">
        <f>_xlfn.XLOOKUP(Orders[[#This Row],[CustomerID]],Customers[CustomerID],Customers[City])</f>
        <v>Texas</v>
      </c>
      <c r="P602" t="str">
        <f>_xlfn.XLOOKUP(Orders[[#This Row],[CustomerID]],Customers[CustomerID],Customers[Gender])</f>
        <v>Female</v>
      </c>
      <c r="Q602">
        <f>_xlfn.XLOOKUP(Orders[[#This Row],[CustomerID]],Customers[CustomerID],Customers[CustomerAge])</f>
        <v>23</v>
      </c>
      <c r="R602" t="str">
        <f>IF(Orders[[#This Row],[CustomerAge]]&gt;=35, "Older", "Young")</f>
        <v>Young</v>
      </c>
      <c r="S602" t="str">
        <f>_xlfn.XLOOKUP(Orders[[#This Row],[ProductID]],Products[ProductID],Products[ProductName])</f>
        <v>Gym Bag</v>
      </c>
      <c r="T602" t="str">
        <f>_xlfn.XLOOKUP(Orders[[#This Row],[ProductID]],Products[ProductID],Products[Category])</f>
        <v>Gym</v>
      </c>
    </row>
    <row r="603" spans="1:20" x14ac:dyDescent="0.25">
      <c r="A603" s="4" t="s">
        <v>790</v>
      </c>
      <c r="B603" s="5">
        <v>45979</v>
      </c>
      <c r="C603" s="15">
        <f>WEEKNUM(Orders[[#This Row],[OrderDate]])</f>
        <v>47</v>
      </c>
      <c r="D603" s="15" t="str">
        <f>TEXT(Orders[[#This Row],[OrderDate]],"mmmm")</f>
        <v>November</v>
      </c>
      <c r="E603" s="4" t="s">
        <v>311</v>
      </c>
      <c r="F603" s="4" t="s">
        <v>130</v>
      </c>
      <c r="G603" s="4">
        <v>10</v>
      </c>
      <c r="H603" s="12">
        <v>10934.9</v>
      </c>
      <c r="I603" s="13">
        <v>9294.6649999999991</v>
      </c>
      <c r="J603" s="13">
        <f>Orders[[#This Row],[Quantity]]*Orders[[#This Row],[Selling Price]]</f>
        <v>109349</v>
      </c>
      <c r="K603" s="13">
        <f>Orders[[#This Row],[Quantity]]*Orders[[#This Row],[Cost Price]]</f>
        <v>92946.65</v>
      </c>
      <c r="L603" s="13">
        <f>Orders[[#This Row],[Revenue]]-Orders[[#This Row],[Expenses]]</f>
        <v>16402.350000000006</v>
      </c>
      <c r="M603" t="s">
        <v>2193</v>
      </c>
      <c r="N603" t="str">
        <f>_xlfn.XLOOKUP(Orders[[#This Row],[CustomerID]],Customers[CustomerID],Customers[CustomerName])</f>
        <v>Bisi Bello</v>
      </c>
      <c r="O603" t="str">
        <f>_xlfn.XLOOKUP(Orders[[#This Row],[CustomerID]],Customers[CustomerID],Customers[City])</f>
        <v>Georgia</v>
      </c>
      <c r="P603" t="str">
        <f>_xlfn.XLOOKUP(Orders[[#This Row],[CustomerID]],Customers[CustomerID],Customers[Gender])</f>
        <v>Female</v>
      </c>
      <c r="Q603">
        <f>_xlfn.XLOOKUP(Orders[[#This Row],[CustomerID]],Customers[CustomerID],Customers[CustomerAge])</f>
        <v>31</v>
      </c>
      <c r="R603" t="str">
        <f>IF(Orders[[#This Row],[CustomerAge]]&gt;=35, "Older", "Young")</f>
        <v>Young</v>
      </c>
      <c r="S603" t="str">
        <f>_xlfn.XLOOKUP(Orders[[#This Row],[ProductID]],Products[ProductID],Products[ProductName])</f>
        <v>Gold Earrings And Necklaces</v>
      </c>
      <c r="T603" t="str">
        <f>_xlfn.XLOOKUP(Orders[[#This Row],[ProductID]],Products[ProductID],Products[Category])</f>
        <v>Accessories</v>
      </c>
    </row>
    <row r="604" spans="1:20" x14ac:dyDescent="0.25">
      <c r="A604" s="4" t="s">
        <v>791</v>
      </c>
      <c r="B604" s="5">
        <v>45990</v>
      </c>
      <c r="C604" s="15">
        <f>WEEKNUM(Orders[[#This Row],[OrderDate]])</f>
        <v>48</v>
      </c>
      <c r="D604" s="15" t="str">
        <f>TEXT(Orders[[#This Row],[OrderDate]],"mmmm")</f>
        <v>November</v>
      </c>
      <c r="E604" s="4" t="s">
        <v>174</v>
      </c>
      <c r="F604" s="4" t="s">
        <v>84</v>
      </c>
      <c r="G604" s="4">
        <v>1</v>
      </c>
      <c r="H604" s="12">
        <v>6576.5999999999995</v>
      </c>
      <c r="I604" s="13">
        <v>5590.11</v>
      </c>
      <c r="J604" s="13">
        <f>Orders[[#This Row],[Quantity]]*Orders[[#This Row],[Selling Price]]</f>
        <v>6576.5999999999995</v>
      </c>
      <c r="K604" s="13">
        <f>Orders[[#This Row],[Quantity]]*Orders[[#This Row],[Cost Price]]</f>
        <v>5590.11</v>
      </c>
      <c r="L604" s="13">
        <f>Orders[[#This Row],[Revenue]]-Orders[[#This Row],[Expenses]]</f>
        <v>986.48999999999978</v>
      </c>
      <c r="M604" t="s">
        <v>2214</v>
      </c>
      <c r="N604" t="str">
        <f>_xlfn.XLOOKUP(Orders[[#This Row],[CustomerID]],Customers[CustomerID],Customers[CustomerName])</f>
        <v>Zainab Obi</v>
      </c>
      <c r="O604" t="str">
        <f>_xlfn.XLOOKUP(Orders[[#This Row],[CustomerID]],Customers[CustomerID],Customers[City])</f>
        <v>California</v>
      </c>
      <c r="P604" t="str">
        <f>_xlfn.XLOOKUP(Orders[[#This Row],[CustomerID]],Customers[CustomerID],Customers[Gender])</f>
        <v>Female</v>
      </c>
      <c r="Q604">
        <f>_xlfn.XLOOKUP(Orders[[#This Row],[CustomerID]],Customers[CustomerID],Customers[CustomerAge])</f>
        <v>18</v>
      </c>
      <c r="R604" t="str">
        <f>IF(Orders[[#This Row],[CustomerAge]]&gt;=35, "Older", "Young")</f>
        <v>Young</v>
      </c>
      <c r="S604" t="str">
        <f>_xlfn.XLOOKUP(Orders[[#This Row],[ProductID]],Products[ProductID],Products[ProductName])</f>
        <v>Gym Wears</v>
      </c>
      <c r="T604" t="str">
        <f>_xlfn.XLOOKUP(Orders[[#This Row],[ProductID]],Products[ProductID],Products[Category])</f>
        <v>Clothing</v>
      </c>
    </row>
    <row r="605" spans="1:20" x14ac:dyDescent="0.25">
      <c r="A605" s="4" t="s">
        <v>792</v>
      </c>
      <c r="B605" s="5">
        <v>45940</v>
      </c>
      <c r="C605" s="15">
        <f>WEEKNUM(Orders[[#This Row],[OrderDate]])</f>
        <v>41</v>
      </c>
      <c r="D605" s="15" t="str">
        <f>TEXT(Orders[[#This Row],[OrderDate]],"mmmm")</f>
        <v>October</v>
      </c>
      <c r="E605" s="4" t="s">
        <v>596</v>
      </c>
      <c r="F605" s="4" t="s">
        <v>37</v>
      </c>
      <c r="G605" s="4">
        <v>2</v>
      </c>
      <c r="H605" s="12">
        <v>6004.8</v>
      </c>
      <c r="I605" s="13">
        <v>5104.08</v>
      </c>
      <c r="J605" s="13">
        <f>Orders[[#This Row],[Quantity]]*Orders[[#This Row],[Selling Price]]</f>
        <v>12009.6</v>
      </c>
      <c r="K605" s="13">
        <f>Orders[[#This Row],[Quantity]]*Orders[[#This Row],[Cost Price]]</f>
        <v>10208.16</v>
      </c>
      <c r="L605" s="13">
        <f>Orders[[#This Row],[Revenue]]-Orders[[#This Row],[Expenses]]</f>
        <v>1801.4400000000005</v>
      </c>
      <c r="M605" t="s">
        <v>2196</v>
      </c>
      <c r="N605" t="str">
        <f>_xlfn.XLOOKUP(Orders[[#This Row],[CustomerID]],Customers[CustomerID],Customers[CustomerName])</f>
        <v>Blessing Balogun</v>
      </c>
      <c r="O605" t="str">
        <f>_xlfn.XLOOKUP(Orders[[#This Row],[CustomerID]],Customers[CustomerID],Customers[City])</f>
        <v>Texas</v>
      </c>
      <c r="P605" t="str">
        <f>_xlfn.XLOOKUP(Orders[[#This Row],[CustomerID]],Customers[CustomerID],Customers[Gender])</f>
        <v>Female</v>
      </c>
      <c r="Q605">
        <f>_xlfn.XLOOKUP(Orders[[#This Row],[CustomerID]],Customers[CustomerID],Customers[CustomerAge])</f>
        <v>26</v>
      </c>
      <c r="R605" t="str">
        <f>IF(Orders[[#This Row],[CustomerAge]]&gt;=35, "Older", "Young")</f>
        <v>Young</v>
      </c>
      <c r="S605" t="str">
        <f>_xlfn.XLOOKUP(Orders[[#This Row],[ProductID]],Products[ProductID],Products[ProductName])</f>
        <v>Iron</v>
      </c>
      <c r="T605" t="str">
        <f>_xlfn.XLOOKUP(Orders[[#This Row],[ProductID]],Products[ProductID],Products[Category])</f>
        <v>Electronics</v>
      </c>
    </row>
    <row r="606" spans="1:20" x14ac:dyDescent="0.25">
      <c r="A606" s="4" t="s">
        <v>793</v>
      </c>
      <c r="B606" s="5">
        <v>45943</v>
      </c>
      <c r="C606" s="15">
        <f>WEEKNUM(Orders[[#This Row],[OrderDate]])</f>
        <v>42</v>
      </c>
      <c r="D606" s="15" t="str">
        <f>TEXT(Orders[[#This Row],[OrderDate]],"mmmm")</f>
        <v>October</v>
      </c>
      <c r="E606" s="4" t="s">
        <v>514</v>
      </c>
      <c r="F606" s="4" t="s">
        <v>15</v>
      </c>
      <c r="G606" s="4">
        <v>1</v>
      </c>
      <c r="H606" s="12">
        <v>17349.100000000002</v>
      </c>
      <c r="I606" s="13">
        <v>14746.735000000002</v>
      </c>
      <c r="J606" s="13">
        <f>Orders[[#This Row],[Quantity]]*Orders[[#This Row],[Selling Price]]</f>
        <v>17349.100000000002</v>
      </c>
      <c r="K606" s="13">
        <f>Orders[[#This Row],[Quantity]]*Orders[[#This Row],[Cost Price]]</f>
        <v>14746.735000000002</v>
      </c>
      <c r="L606" s="13">
        <f>Orders[[#This Row],[Revenue]]-Orders[[#This Row],[Expenses]]</f>
        <v>2602.3649999999998</v>
      </c>
      <c r="M606" t="s">
        <v>2199</v>
      </c>
      <c r="N606" t="str">
        <f>_xlfn.XLOOKUP(Orders[[#This Row],[CustomerID]],Customers[CustomerID],Customers[CustomerName])</f>
        <v>Ibrahim Okonkwo</v>
      </c>
      <c r="O606" t="str">
        <f>_xlfn.XLOOKUP(Orders[[#This Row],[CustomerID]],Customers[CustomerID],Customers[City])</f>
        <v>Florida</v>
      </c>
      <c r="P606" t="str">
        <f>_xlfn.XLOOKUP(Orders[[#This Row],[CustomerID]],Customers[CustomerID],Customers[Gender])</f>
        <v>Male</v>
      </c>
      <c r="Q606">
        <f>_xlfn.XLOOKUP(Orders[[#This Row],[CustomerID]],Customers[CustomerID],Customers[CustomerAge])</f>
        <v>28</v>
      </c>
      <c r="R606" t="str">
        <f>IF(Orders[[#This Row],[CustomerAge]]&gt;=35, "Older", "Young")</f>
        <v>Young</v>
      </c>
      <c r="S606" t="str">
        <f>_xlfn.XLOOKUP(Orders[[#This Row],[ProductID]],Products[ProductID],Products[ProductName])</f>
        <v>Monopoly</v>
      </c>
      <c r="T606" t="str">
        <f>_xlfn.XLOOKUP(Orders[[#This Row],[ProductID]],Products[ProductID],Products[Category])</f>
        <v>Games</v>
      </c>
    </row>
    <row r="607" spans="1:20" x14ac:dyDescent="0.25">
      <c r="A607" s="4" t="s">
        <v>794</v>
      </c>
      <c r="B607" s="5">
        <v>45946</v>
      </c>
      <c r="C607" s="15">
        <f>WEEKNUM(Orders[[#This Row],[OrderDate]])</f>
        <v>42</v>
      </c>
      <c r="D607" s="15" t="str">
        <f>TEXT(Orders[[#This Row],[OrderDate]],"mmmm")</f>
        <v>October</v>
      </c>
      <c r="E607" s="4" t="s">
        <v>227</v>
      </c>
      <c r="F607" s="4" t="s">
        <v>81</v>
      </c>
      <c r="G607" s="4">
        <v>6</v>
      </c>
      <c r="H607" s="12">
        <v>3999.5</v>
      </c>
      <c r="I607" s="13">
        <v>3399.5749999999998</v>
      </c>
      <c r="J607" s="13">
        <f>Orders[[#This Row],[Quantity]]*Orders[[#This Row],[Selling Price]]</f>
        <v>23997</v>
      </c>
      <c r="K607" s="13">
        <f>Orders[[#This Row],[Quantity]]*Orders[[#This Row],[Cost Price]]</f>
        <v>20397.449999999997</v>
      </c>
      <c r="L607" s="13">
        <f>Orders[[#This Row],[Revenue]]-Orders[[#This Row],[Expenses]]</f>
        <v>3599.5500000000029</v>
      </c>
      <c r="M607" t="s">
        <v>2214</v>
      </c>
      <c r="N607" t="str">
        <f>_xlfn.XLOOKUP(Orders[[#This Row],[CustomerID]],Customers[CustomerID],Customers[CustomerName])</f>
        <v>Emmanuel Victor</v>
      </c>
      <c r="O607" t="str">
        <f>_xlfn.XLOOKUP(Orders[[#This Row],[CustomerID]],Customers[CustomerID],Customers[City])</f>
        <v>Washington</v>
      </c>
      <c r="P607" t="str">
        <f>_xlfn.XLOOKUP(Orders[[#This Row],[CustomerID]],Customers[CustomerID],Customers[Gender])</f>
        <v>Male</v>
      </c>
      <c r="Q607">
        <f>_xlfn.XLOOKUP(Orders[[#This Row],[CustomerID]],Customers[CustomerID],Customers[CustomerAge])</f>
        <v>35</v>
      </c>
      <c r="R607" t="str">
        <f>IF(Orders[[#This Row],[CustomerAge]]&gt;=35, "Older", "Young")</f>
        <v>Older</v>
      </c>
      <c r="S607" t="str">
        <f>_xlfn.XLOOKUP(Orders[[#This Row],[ProductID]],Products[ProductID],Products[ProductName])</f>
        <v>Trousers</v>
      </c>
      <c r="T607" t="str">
        <f>_xlfn.XLOOKUP(Orders[[#This Row],[ProductID]],Products[ProductID],Products[Category])</f>
        <v>Clothing</v>
      </c>
    </row>
    <row r="608" spans="1:20" x14ac:dyDescent="0.25">
      <c r="A608" s="4" t="s">
        <v>795</v>
      </c>
      <c r="B608" s="5">
        <v>45983</v>
      </c>
      <c r="C608" s="15">
        <f>WEEKNUM(Orders[[#This Row],[OrderDate]])</f>
        <v>47</v>
      </c>
      <c r="D608" s="15" t="str">
        <f>TEXT(Orders[[#This Row],[OrderDate]],"mmmm")</f>
        <v>November</v>
      </c>
      <c r="E608" s="4" t="s">
        <v>176</v>
      </c>
      <c r="F608" s="4" t="s">
        <v>37</v>
      </c>
      <c r="G608" s="4">
        <v>2</v>
      </c>
      <c r="H608" s="12">
        <v>19837.5</v>
      </c>
      <c r="I608" s="13">
        <v>16861.875</v>
      </c>
      <c r="J608" s="13">
        <f>Orders[[#This Row],[Quantity]]*Orders[[#This Row],[Selling Price]]</f>
        <v>39675</v>
      </c>
      <c r="K608" s="13">
        <f>Orders[[#This Row],[Quantity]]*Orders[[#This Row],[Cost Price]]</f>
        <v>33723.75</v>
      </c>
      <c r="L608" s="13">
        <f>Orders[[#This Row],[Revenue]]-Orders[[#This Row],[Expenses]]</f>
        <v>5951.25</v>
      </c>
      <c r="M608" t="s">
        <v>2198</v>
      </c>
      <c r="N608" t="str">
        <f>_xlfn.XLOOKUP(Orders[[#This Row],[CustomerID]],Customers[CustomerID],Customers[CustomerName])</f>
        <v>Okon Eze</v>
      </c>
      <c r="O608" t="str">
        <f>_xlfn.XLOOKUP(Orders[[#This Row],[CustomerID]],Customers[CustomerID],Customers[City])</f>
        <v>Florida</v>
      </c>
      <c r="P608" t="str">
        <f>_xlfn.XLOOKUP(Orders[[#This Row],[CustomerID]],Customers[CustomerID],Customers[Gender])</f>
        <v>Male</v>
      </c>
      <c r="Q608">
        <f>_xlfn.XLOOKUP(Orders[[#This Row],[CustomerID]],Customers[CustomerID],Customers[CustomerAge])</f>
        <v>26</v>
      </c>
      <c r="R608" t="str">
        <f>IF(Orders[[#This Row],[CustomerAge]]&gt;=35, "Older", "Young")</f>
        <v>Young</v>
      </c>
      <c r="S608" t="str">
        <f>_xlfn.XLOOKUP(Orders[[#This Row],[ProductID]],Products[ProductID],Products[ProductName])</f>
        <v>Iron</v>
      </c>
      <c r="T608" t="str">
        <f>_xlfn.XLOOKUP(Orders[[#This Row],[ProductID]],Products[ProductID],Products[Category])</f>
        <v>Electronics</v>
      </c>
    </row>
    <row r="609" spans="1:20" x14ac:dyDescent="0.25">
      <c r="A609" s="4" t="s">
        <v>796</v>
      </c>
      <c r="B609" s="5">
        <v>45962</v>
      </c>
      <c r="C609" s="15">
        <f>WEEKNUM(Orders[[#This Row],[OrderDate]])</f>
        <v>44</v>
      </c>
      <c r="D609" s="15" t="str">
        <f>TEXT(Orders[[#This Row],[OrderDate]],"mmmm")</f>
        <v>November</v>
      </c>
      <c r="E609" s="4" t="s">
        <v>134</v>
      </c>
      <c r="F609" s="4" t="s">
        <v>70</v>
      </c>
      <c r="G609" s="4">
        <v>2</v>
      </c>
      <c r="H609" s="12">
        <v>17204.5</v>
      </c>
      <c r="I609" s="13">
        <v>14623.825000000001</v>
      </c>
      <c r="J609" s="13">
        <f>Orders[[#This Row],[Quantity]]*Orders[[#This Row],[Selling Price]]</f>
        <v>34409</v>
      </c>
      <c r="K609" s="13">
        <f>Orders[[#This Row],[Quantity]]*Orders[[#This Row],[Cost Price]]</f>
        <v>29247.65</v>
      </c>
      <c r="L609" s="13">
        <f>Orders[[#This Row],[Revenue]]-Orders[[#This Row],[Expenses]]</f>
        <v>5161.3499999999985</v>
      </c>
      <c r="M609" t="s">
        <v>2208</v>
      </c>
      <c r="N609" t="str">
        <f>_xlfn.XLOOKUP(Orders[[#This Row],[CustomerID]],Customers[CustomerID],Customers[CustomerName])</f>
        <v>Ngozi Ojo</v>
      </c>
      <c r="O609" t="str">
        <f>_xlfn.XLOOKUP(Orders[[#This Row],[CustomerID]],Customers[CustomerID],Customers[City])</f>
        <v>Florida</v>
      </c>
      <c r="P609" t="str">
        <f>_xlfn.XLOOKUP(Orders[[#This Row],[CustomerID]],Customers[CustomerID],Customers[Gender])</f>
        <v>Female</v>
      </c>
      <c r="Q609">
        <f>_xlfn.XLOOKUP(Orders[[#This Row],[CustomerID]],Customers[CustomerID],Customers[CustomerAge])</f>
        <v>18</v>
      </c>
      <c r="R609" t="str">
        <f>IF(Orders[[#This Row],[CustomerAge]]&gt;=35, "Older", "Young")</f>
        <v>Young</v>
      </c>
      <c r="S609" t="str">
        <f>_xlfn.XLOOKUP(Orders[[#This Row],[ProductID]],Products[ProductID],Products[ProductName])</f>
        <v>Yoga Mat</v>
      </c>
      <c r="T609" t="str">
        <f>_xlfn.XLOOKUP(Orders[[#This Row],[ProductID]],Products[ProductID],Products[Category])</f>
        <v>Gym</v>
      </c>
    </row>
    <row r="610" spans="1:20" x14ac:dyDescent="0.25">
      <c r="A610" s="4" t="s">
        <v>797</v>
      </c>
      <c r="B610" s="5">
        <v>45937</v>
      </c>
      <c r="C610" s="15">
        <f>WEEKNUM(Orders[[#This Row],[OrderDate]])</f>
        <v>41</v>
      </c>
      <c r="D610" s="15" t="str">
        <f>TEXT(Orders[[#This Row],[OrderDate]],"mmmm")</f>
        <v>October</v>
      </c>
      <c r="E610" s="4" t="s">
        <v>27</v>
      </c>
      <c r="F610" s="4" t="s">
        <v>151</v>
      </c>
      <c r="G610" s="4">
        <v>10</v>
      </c>
      <c r="H610" s="12">
        <v>2893.6000000000004</v>
      </c>
      <c r="I610" s="13">
        <v>2459.5600000000004</v>
      </c>
      <c r="J610" s="13">
        <f>Orders[[#This Row],[Quantity]]*Orders[[#This Row],[Selling Price]]</f>
        <v>28936.000000000004</v>
      </c>
      <c r="K610" s="13">
        <f>Orders[[#This Row],[Quantity]]*Orders[[#This Row],[Cost Price]]</f>
        <v>24595.600000000006</v>
      </c>
      <c r="L610" s="13">
        <f>Orders[[#This Row],[Revenue]]-Orders[[#This Row],[Expenses]]</f>
        <v>4340.3999999999978</v>
      </c>
      <c r="M610" t="s">
        <v>2200</v>
      </c>
      <c r="N610" t="str">
        <f>_xlfn.XLOOKUP(Orders[[#This Row],[CustomerID]],Customers[CustomerID],Customers[CustomerName])</f>
        <v>Okon Ojo</v>
      </c>
      <c r="O610" t="str">
        <f>_xlfn.XLOOKUP(Orders[[#This Row],[CustomerID]],Customers[CustomerID],Customers[City])</f>
        <v>Illinois</v>
      </c>
      <c r="P610" t="str">
        <f>_xlfn.XLOOKUP(Orders[[#This Row],[CustomerID]],Customers[CustomerID],Customers[Gender])</f>
        <v>Male</v>
      </c>
      <c r="Q610">
        <f>_xlfn.XLOOKUP(Orders[[#This Row],[CustomerID]],Customers[CustomerID],Customers[CustomerAge])</f>
        <v>32</v>
      </c>
      <c r="R610" t="str">
        <f>IF(Orders[[#This Row],[CustomerAge]]&gt;=35, "Older", "Young")</f>
        <v>Young</v>
      </c>
      <c r="S610" t="str">
        <f>_xlfn.XLOOKUP(Orders[[#This Row],[ProductID]],Products[ProductID],Products[ProductName])</f>
        <v>Checkers</v>
      </c>
      <c r="T610" t="str">
        <f>_xlfn.XLOOKUP(Orders[[#This Row],[ProductID]],Products[ProductID],Products[Category])</f>
        <v>Games</v>
      </c>
    </row>
    <row r="611" spans="1:20" x14ac:dyDescent="0.25">
      <c r="A611" s="4" t="s">
        <v>798</v>
      </c>
      <c r="B611" s="5">
        <v>45941</v>
      </c>
      <c r="C611" s="15">
        <f>WEEKNUM(Orders[[#This Row],[OrderDate]])</f>
        <v>41</v>
      </c>
      <c r="D611" s="15" t="str">
        <f>TEXT(Orders[[#This Row],[OrderDate]],"mmmm")</f>
        <v>October</v>
      </c>
      <c r="E611" s="4" t="s">
        <v>309</v>
      </c>
      <c r="F611" s="4" t="s">
        <v>76</v>
      </c>
      <c r="G611" s="4">
        <v>7</v>
      </c>
      <c r="H611" s="12">
        <v>19530.099999999999</v>
      </c>
      <c r="I611" s="13">
        <v>16600.584999999999</v>
      </c>
      <c r="J611" s="13">
        <f>Orders[[#This Row],[Quantity]]*Orders[[#This Row],[Selling Price]]</f>
        <v>136710.69999999998</v>
      </c>
      <c r="K611" s="13">
        <f>Orders[[#This Row],[Quantity]]*Orders[[#This Row],[Cost Price]]</f>
        <v>116204.095</v>
      </c>
      <c r="L611" s="13">
        <f>Orders[[#This Row],[Revenue]]-Orders[[#This Row],[Expenses]]</f>
        <v>20506.604999999981</v>
      </c>
      <c r="M611" t="s">
        <v>2217</v>
      </c>
      <c r="N611" t="str">
        <f>_xlfn.XLOOKUP(Orders[[#This Row],[CustomerID]],Customers[CustomerID],Customers[CustomerName])</f>
        <v>Temi Ojo</v>
      </c>
      <c r="O611" t="str">
        <f>_xlfn.XLOOKUP(Orders[[#This Row],[CustomerID]],Customers[CustomerID],Customers[City])</f>
        <v>Washington</v>
      </c>
      <c r="P611" t="str">
        <f>_xlfn.XLOOKUP(Orders[[#This Row],[CustomerID]],Customers[CustomerID],Customers[Gender])</f>
        <v>Female</v>
      </c>
      <c r="Q611">
        <f>_xlfn.XLOOKUP(Orders[[#This Row],[CustomerID]],Customers[CustomerID],Customers[CustomerAge])</f>
        <v>36</v>
      </c>
      <c r="R611" t="str">
        <f>IF(Orders[[#This Row],[CustomerAge]]&gt;=35, "Older", "Young")</f>
        <v>Older</v>
      </c>
      <c r="S611" t="str">
        <f>_xlfn.XLOOKUP(Orders[[#This Row],[ProductID]],Products[ProductID],Products[ProductName])</f>
        <v>Blender</v>
      </c>
      <c r="T611" t="str">
        <f>_xlfn.XLOOKUP(Orders[[#This Row],[ProductID]],Products[ProductID],Products[Category])</f>
        <v>Electronics</v>
      </c>
    </row>
    <row r="612" spans="1:20" x14ac:dyDescent="0.25">
      <c r="A612" s="4" t="s">
        <v>799</v>
      </c>
      <c r="B612" s="5">
        <v>46012</v>
      </c>
      <c r="C612" s="15">
        <f>WEEKNUM(Orders[[#This Row],[OrderDate]])</f>
        <v>52</v>
      </c>
      <c r="D612" s="15" t="str">
        <f>TEXT(Orders[[#This Row],[OrderDate]],"mmmm")</f>
        <v>December</v>
      </c>
      <c r="E612" s="4" t="s">
        <v>234</v>
      </c>
      <c r="F612" s="4" t="s">
        <v>25</v>
      </c>
      <c r="G612" s="4">
        <v>5</v>
      </c>
      <c r="H612" s="12">
        <v>18498.3</v>
      </c>
      <c r="I612" s="13">
        <v>15723.555</v>
      </c>
      <c r="J612" s="13">
        <f>Orders[[#This Row],[Quantity]]*Orders[[#This Row],[Selling Price]]</f>
        <v>92491.5</v>
      </c>
      <c r="K612" s="13">
        <f>Orders[[#This Row],[Quantity]]*Orders[[#This Row],[Cost Price]]</f>
        <v>78617.774999999994</v>
      </c>
      <c r="L612" s="13">
        <f>Orders[[#This Row],[Revenue]]-Orders[[#This Row],[Expenses]]</f>
        <v>13873.725000000006</v>
      </c>
      <c r="M612" t="s">
        <v>2212</v>
      </c>
      <c r="N612" t="str">
        <f>_xlfn.XLOOKUP(Orders[[#This Row],[CustomerID]],Customers[CustomerID],Customers[CustomerName])</f>
        <v>Adanma Ojo</v>
      </c>
      <c r="O612" t="str">
        <f>_xlfn.XLOOKUP(Orders[[#This Row],[CustomerID]],Customers[CustomerID],Customers[City])</f>
        <v>Texas</v>
      </c>
      <c r="P612" t="str">
        <f>_xlfn.XLOOKUP(Orders[[#This Row],[CustomerID]],Customers[CustomerID],Customers[Gender])</f>
        <v>Female</v>
      </c>
      <c r="Q612">
        <f>_xlfn.XLOOKUP(Orders[[#This Row],[CustomerID]],Customers[CustomerID],Customers[CustomerAge])</f>
        <v>18</v>
      </c>
      <c r="R612" t="str">
        <f>IF(Orders[[#This Row],[CustomerAge]]&gt;=35, "Older", "Young")</f>
        <v>Young</v>
      </c>
      <c r="S612" t="str">
        <f>_xlfn.XLOOKUP(Orders[[#This Row],[ProductID]],Products[ProductID],Products[ProductName])</f>
        <v>Gold Rings</v>
      </c>
      <c r="T612" t="str">
        <f>_xlfn.XLOOKUP(Orders[[#This Row],[ProductID]],Products[ProductID],Products[Category])</f>
        <v>Accessories</v>
      </c>
    </row>
    <row r="613" spans="1:20" x14ac:dyDescent="0.25">
      <c r="A613" s="4" t="s">
        <v>800</v>
      </c>
      <c r="B613" s="5">
        <v>45934</v>
      </c>
      <c r="C613" s="15">
        <f>WEEKNUM(Orders[[#This Row],[OrderDate]])</f>
        <v>40</v>
      </c>
      <c r="D613" s="15" t="str">
        <f>TEXT(Orders[[#This Row],[OrderDate]],"mmmm")</f>
        <v>October</v>
      </c>
      <c r="E613" s="4" t="s">
        <v>340</v>
      </c>
      <c r="F613" s="4" t="s">
        <v>63</v>
      </c>
      <c r="G613" s="4">
        <v>6</v>
      </c>
      <c r="H613" s="12">
        <v>12794.9</v>
      </c>
      <c r="I613" s="13">
        <v>10875.664999999999</v>
      </c>
      <c r="J613" s="13">
        <f>Orders[[#This Row],[Quantity]]*Orders[[#This Row],[Selling Price]]</f>
        <v>76769.399999999994</v>
      </c>
      <c r="K613" s="13">
        <f>Orders[[#This Row],[Quantity]]*Orders[[#This Row],[Cost Price]]</f>
        <v>65253.989999999991</v>
      </c>
      <c r="L613" s="13">
        <f>Orders[[#This Row],[Revenue]]-Orders[[#This Row],[Expenses]]</f>
        <v>11515.410000000003</v>
      </c>
      <c r="M613" t="s">
        <v>2204</v>
      </c>
      <c r="N613" t="str">
        <f>_xlfn.XLOOKUP(Orders[[#This Row],[CustomerID]],Customers[CustomerID],Customers[CustomerName])</f>
        <v>Uche Abubakar</v>
      </c>
      <c r="O613" t="str">
        <f>_xlfn.XLOOKUP(Orders[[#This Row],[CustomerID]],Customers[CustomerID],Customers[City])</f>
        <v>Illinois</v>
      </c>
      <c r="P613" t="str">
        <f>_xlfn.XLOOKUP(Orders[[#This Row],[CustomerID]],Customers[CustomerID],Customers[Gender])</f>
        <v>Male</v>
      </c>
      <c r="Q613">
        <f>_xlfn.XLOOKUP(Orders[[#This Row],[CustomerID]],Customers[CustomerID],Customers[CustomerAge])</f>
        <v>18</v>
      </c>
      <c r="R613" t="str">
        <f>IF(Orders[[#This Row],[CustomerAge]]&gt;=35, "Older", "Young")</f>
        <v>Young</v>
      </c>
      <c r="S613" t="str">
        <f>_xlfn.XLOOKUP(Orders[[#This Row],[ProductID]],Products[ProductID],Products[ProductName])</f>
        <v>Tennis Bat</v>
      </c>
      <c r="T613" t="str">
        <f>_xlfn.XLOOKUP(Orders[[#This Row],[ProductID]],Products[ProductID],Products[Category])</f>
        <v>Sports</v>
      </c>
    </row>
    <row r="614" spans="1:20" x14ac:dyDescent="0.25">
      <c r="A614" s="4" t="s">
        <v>801</v>
      </c>
      <c r="B614" s="5">
        <v>46018</v>
      </c>
      <c r="C614" s="15">
        <f>WEEKNUM(Orders[[#This Row],[OrderDate]])</f>
        <v>52</v>
      </c>
      <c r="D614" s="15" t="str">
        <f>TEXT(Orders[[#This Row],[OrderDate]],"mmmm")</f>
        <v>December</v>
      </c>
      <c r="E614" s="4" t="s">
        <v>129</v>
      </c>
      <c r="F614" s="4" t="s">
        <v>353</v>
      </c>
      <c r="G614" s="4">
        <v>1</v>
      </c>
      <c r="H614" s="12">
        <v>17791.7</v>
      </c>
      <c r="I614" s="13">
        <v>15122.945</v>
      </c>
      <c r="J614" s="13">
        <f>Orders[[#This Row],[Quantity]]*Orders[[#This Row],[Selling Price]]</f>
        <v>17791.7</v>
      </c>
      <c r="K614" s="13">
        <f>Orders[[#This Row],[Quantity]]*Orders[[#This Row],[Cost Price]]</f>
        <v>15122.945</v>
      </c>
      <c r="L614" s="13">
        <f>Orders[[#This Row],[Revenue]]-Orders[[#This Row],[Expenses]]</f>
        <v>2668.755000000001</v>
      </c>
      <c r="M614" t="s">
        <v>2195</v>
      </c>
      <c r="N614" t="str">
        <f>_xlfn.XLOOKUP(Orders[[#This Row],[CustomerID]],Customers[CustomerID],Customers[CustomerName])</f>
        <v>Chioma Ojo</v>
      </c>
      <c r="O614" t="str">
        <f>_xlfn.XLOOKUP(Orders[[#This Row],[CustomerID]],Customers[CustomerID],Customers[City])</f>
        <v>Washington</v>
      </c>
      <c r="P614" t="str">
        <f>_xlfn.XLOOKUP(Orders[[#This Row],[CustomerID]],Customers[CustomerID],Customers[Gender])</f>
        <v>Female</v>
      </c>
      <c r="Q614">
        <f>_xlfn.XLOOKUP(Orders[[#This Row],[CustomerID]],Customers[CustomerID],Customers[CustomerAge])</f>
        <v>46</v>
      </c>
      <c r="R614" t="str">
        <f>IF(Orders[[#This Row],[CustomerAge]]&gt;=35, "Older", "Young")</f>
        <v>Older</v>
      </c>
      <c r="S614" t="str">
        <f>_xlfn.XLOOKUP(Orders[[#This Row],[ProductID]],Products[ProductID],Products[ProductName])</f>
        <v>Silver Earrings And Necklaces</v>
      </c>
      <c r="T614" t="str">
        <f>_xlfn.XLOOKUP(Orders[[#This Row],[ProductID]],Products[ProductID],Products[Category])</f>
        <v>Accessories</v>
      </c>
    </row>
    <row r="615" spans="1:20" x14ac:dyDescent="0.25">
      <c r="A615" s="4" t="s">
        <v>802</v>
      </c>
      <c r="B615" s="5">
        <v>46013</v>
      </c>
      <c r="C615" s="15">
        <f>WEEKNUM(Orders[[#This Row],[OrderDate]])</f>
        <v>52</v>
      </c>
      <c r="D615" s="15" t="str">
        <f>TEXT(Orders[[#This Row],[OrderDate]],"mmmm")</f>
        <v>December</v>
      </c>
      <c r="E615" s="4" t="s">
        <v>264</v>
      </c>
      <c r="F615" s="4" t="s">
        <v>46</v>
      </c>
      <c r="G615" s="4">
        <v>6</v>
      </c>
      <c r="H615" s="12">
        <v>16419.2</v>
      </c>
      <c r="I615" s="13">
        <v>13956.32</v>
      </c>
      <c r="J615" s="13">
        <f>Orders[[#This Row],[Quantity]]*Orders[[#This Row],[Selling Price]]</f>
        <v>98515.200000000012</v>
      </c>
      <c r="K615" s="13">
        <f>Orders[[#This Row],[Quantity]]*Orders[[#This Row],[Cost Price]]</f>
        <v>83737.919999999998</v>
      </c>
      <c r="L615" s="13">
        <f>Orders[[#This Row],[Revenue]]-Orders[[#This Row],[Expenses]]</f>
        <v>14777.280000000013</v>
      </c>
      <c r="M615" t="s">
        <v>2211</v>
      </c>
      <c r="N615" t="str">
        <f>_xlfn.XLOOKUP(Orders[[#This Row],[CustomerID]],Customers[CustomerID],Customers[CustomerName])</f>
        <v>Ronke Adeyemi</v>
      </c>
      <c r="O615" t="str">
        <f>_xlfn.XLOOKUP(Orders[[#This Row],[CustomerID]],Customers[CustomerID],Customers[City])</f>
        <v>Georgia</v>
      </c>
      <c r="P615" t="str">
        <f>_xlfn.XLOOKUP(Orders[[#This Row],[CustomerID]],Customers[CustomerID],Customers[Gender])</f>
        <v>Female</v>
      </c>
      <c r="Q615">
        <f>_xlfn.XLOOKUP(Orders[[#This Row],[CustomerID]],Customers[CustomerID],Customers[CustomerAge])</f>
        <v>19</v>
      </c>
      <c r="R615" t="str">
        <f>IF(Orders[[#This Row],[CustomerAge]]&gt;=35, "Older", "Young")</f>
        <v>Young</v>
      </c>
      <c r="S615" t="str">
        <f>_xlfn.XLOOKUP(Orders[[#This Row],[ProductID]],Products[ProductID],Products[ProductName])</f>
        <v>Turtle Neck</v>
      </c>
      <c r="T615" t="str">
        <f>_xlfn.XLOOKUP(Orders[[#This Row],[ProductID]],Products[ProductID],Products[Category])</f>
        <v>Clothing</v>
      </c>
    </row>
    <row r="616" spans="1:20" x14ac:dyDescent="0.25">
      <c r="A616" s="4" t="s">
        <v>803</v>
      </c>
      <c r="B616" s="5">
        <v>46010</v>
      </c>
      <c r="C616" s="15">
        <f>WEEKNUM(Orders[[#This Row],[OrderDate]])</f>
        <v>51</v>
      </c>
      <c r="D616" s="15" t="str">
        <f>TEXT(Orders[[#This Row],[OrderDate]],"mmmm")</f>
        <v>December</v>
      </c>
      <c r="E616" s="4" t="s">
        <v>481</v>
      </c>
      <c r="F616" s="4" t="s">
        <v>92</v>
      </c>
      <c r="G616" s="4">
        <v>10</v>
      </c>
      <c r="H616" s="12">
        <v>2424.1999999999998</v>
      </c>
      <c r="I616" s="13">
        <v>2060.5699999999997</v>
      </c>
      <c r="J616" s="13">
        <f>Orders[[#This Row],[Quantity]]*Orders[[#This Row],[Selling Price]]</f>
        <v>24242</v>
      </c>
      <c r="K616" s="13">
        <f>Orders[[#This Row],[Quantity]]*Orders[[#This Row],[Cost Price]]</f>
        <v>20605.699999999997</v>
      </c>
      <c r="L616" s="13">
        <f>Orders[[#This Row],[Revenue]]-Orders[[#This Row],[Expenses]]</f>
        <v>3636.3000000000029</v>
      </c>
      <c r="M616" t="s">
        <v>2202</v>
      </c>
      <c r="N616" t="str">
        <f>_xlfn.XLOOKUP(Orders[[#This Row],[CustomerID]],Customers[CustomerID],Customers[CustomerName])</f>
        <v>Abiola Bello</v>
      </c>
      <c r="O616" t="str">
        <f>_xlfn.XLOOKUP(Orders[[#This Row],[CustomerID]],Customers[CustomerID],Customers[City])</f>
        <v>Illinois</v>
      </c>
      <c r="P616" t="str">
        <f>_xlfn.XLOOKUP(Orders[[#This Row],[CustomerID]],Customers[CustomerID],Customers[Gender])</f>
        <v>Male</v>
      </c>
      <c r="Q616">
        <f>_xlfn.XLOOKUP(Orders[[#This Row],[CustomerID]],Customers[CustomerID],Customers[CustomerAge])</f>
        <v>33</v>
      </c>
      <c r="R616" t="str">
        <f>IF(Orders[[#This Row],[CustomerAge]]&gt;=35, "Older", "Young")</f>
        <v>Young</v>
      </c>
      <c r="S616" t="str">
        <f>_xlfn.XLOOKUP(Orders[[#This Row],[ProductID]],Products[ProductID],Products[ProductName])</f>
        <v>Chest Expander</v>
      </c>
      <c r="T616" t="str">
        <f>_xlfn.XLOOKUP(Orders[[#This Row],[ProductID]],Products[ProductID],Products[Category])</f>
        <v>Gym</v>
      </c>
    </row>
    <row r="617" spans="1:20" x14ac:dyDescent="0.25">
      <c r="A617" s="4" t="s">
        <v>804</v>
      </c>
      <c r="B617" s="5">
        <v>45938</v>
      </c>
      <c r="C617" s="15">
        <f>WEEKNUM(Orders[[#This Row],[OrderDate]])</f>
        <v>41</v>
      </c>
      <c r="D617" s="15" t="str">
        <f>TEXT(Orders[[#This Row],[OrderDate]],"mmmm")</f>
        <v>October</v>
      </c>
      <c r="E617" s="4" t="s">
        <v>45</v>
      </c>
      <c r="F617" s="4" t="s">
        <v>28</v>
      </c>
      <c r="G617" s="4">
        <v>8</v>
      </c>
      <c r="H617" s="12">
        <v>15707.1</v>
      </c>
      <c r="I617" s="13">
        <v>13351.035</v>
      </c>
      <c r="J617" s="13">
        <f>Orders[[#This Row],[Quantity]]*Orders[[#This Row],[Selling Price]]</f>
        <v>125656.8</v>
      </c>
      <c r="K617" s="13">
        <f>Orders[[#This Row],[Quantity]]*Orders[[#This Row],[Cost Price]]</f>
        <v>106808.28</v>
      </c>
      <c r="L617" s="13">
        <f>Orders[[#This Row],[Revenue]]-Orders[[#This Row],[Expenses]]</f>
        <v>18848.520000000004</v>
      </c>
      <c r="M617" t="s">
        <v>2202</v>
      </c>
      <c r="N617" t="str">
        <f>_xlfn.XLOOKUP(Orders[[#This Row],[CustomerID]],Customers[CustomerID],Customers[CustomerName])</f>
        <v>Abiola Abubakar</v>
      </c>
      <c r="O617" t="str">
        <f>_xlfn.XLOOKUP(Orders[[#This Row],[CustomerID]],Customers[CustomerID],Customers[City])</f>
        <v>Florida</v>
      </c>
      <c r="P617" t="str">
        <f>_xlfn.XLOOKUP(Orders[[#This Row],[CustomerID]],Customers[CustomerID],Customers[Gender])</f>
        <v>Male</v>
      </c>
      <c r="Q617">
        <f>_xlfn.XLOOKUP(Orders[[#This Row],[CustomerID]],Customers[CustomerID],Customers[CustomerAge])</f>
        <v>26</v>
      </c>
      <c r="R617" t="str">
        <f>IF(Orders[[#This Row],[CustomerAge]]&gt;=35, "Older", "Young")</f>
        <v>Young</v>
      </c>
      <c r="S617" t="str">
        <f>_xlfn.XLOOKUP(Orders[[#This Row],[ProductID]],Products[ProductID],Products[ProductName])</f>
        <v>Sneakers</v>
      </c>
      <c r="T617" t="str">
        <f>_xlfn.XLOOKUP(Orders[[#This Row],[ProductID]],Products[ProductID],Products[Category])</f>
        <v>Sports</v>
      </c>
    </row>
    <row r="618" spans="1:20" x14ac:dyDescent="0.25">
      <c r="A618" s="4" t="s">
        <v>805</v>
      </c>
      <c r="B618" s="5">
        <v>45970</v>
      </c>
      <c r="C618" s="15">
        <f>WEEKNUM(Orders[[#This Row],[OrderDate]])</f>
        <v>46</v>
      </c>
      <c r="D618" s="15" t="str">
        <f>TEXT(Orders[[#This Row],[OrderDate]],"mmmm")</f>
        <v>November</v>
      </c>
      <c r="E618" s="4" t="s">
        <v>214</v>
      </c>
      <c r="F618" s="4" t="s">
        <v>60</v>
      </c>
      <c r="G618" s="4">
        <v>2</v>
      </c>
      <c r="H618" s="12">
        <v>6209</v>
      </c>
      <c r="I618" s="13">
        <v>5277.65</v>
      </c>
      <c r="J618" s="13">
        <f>Orders[[#This Row],[Quantity]]*Orders[[#This Row],[Selling Price]]</f>
        <v>12418</v>
      </c>
      <c r="K618" s="13">
        <f>Orders[[#This Row],[Quantity]]*Orders[[#This Row],[Cost Price]]</f>
        <v>10555.3</v>
      </c>
      <c r="L618" s="13">
        <f>Orders[[#This Row],[Revenue]]-Orders[[#This Row],[Expenses]]</f>
        <v>1862.7000000000007</v>
      </c>
      <c r="M618" t="s">
        <v>2203</v>
      </c>
      <c r="N618" t="str">
        <f>_xlfn.XLOOKUP(Orders[[#This Row],[CustomerID]],Customers[CustomerID],Customers[CustomerName])</f>
        <v>Adanma Okonkwo</v>
      </c>
      <c r="O618" t="str">
        <f>_xlfn.XLOOKUP(Orders[[#This Row],[CustomerID]],Customers[CustomerID],Customers[City])</f>
        <v>California</v>
      </c>
      <c r="P618" t="str">
        <f>_xlfn.XLOOKUP(Orders[[#This Row],[CustomerID]],Customers[CustomerID],Customers[Gender])</f>
        <v>Female</v>
      </c>
      <c r="Q618">
        <f>_xlfn.XLOOKUP(Orders[[#This Row],[CustomerID]],Customers[CustomerID],Customers[CustomerAge])</f>
        <v>20</v>
      </c>
      <c r="R618" t="str">
        <f>IF(Orders[[#This Row],[CustomerAge]]&gt;=35, "Older", "Young")</f>
        <v>Young</v>
      </c>
      <c r="S618" t="str">
        <f>_xlfn.XLOOKUP(Orders[[#This Row],[ProductID]],Products[ProductID],Products[ProductName])</f>
        <v>Silver Rings</v>
      </c>
      <c r="T618" t="str">
        <f>_xlfn.XLOOKUP(Orders[[#This Row],[ProductID]],Products[ProductID],Products[Category])</f>
        <v>Accessories</v>
      </c>
    </row>
    <row r="619" spans="1:20" x14ac:dyDescent="0.25">
      <c r="A619" s="4" t="s">
        <v>806</v>
      </c>
      <c r="B619" s="5">
        <v>45950</v>
      </c>
      <c r="C619" s="15">
        <f>WEEKNUM(Orders[[#This Row],[OrderDate]])</f>
        <v>43</v>
      </c>
      <c r="D619" s="15" t="str">
        <f>TEXT(Orders[[#This Row],[OrderDate]],"mmmm")</f>
        <v>October</v>
      </c>
      <c r="E619" s="4" t="s">
        <v>41</v>
      </c>
      <c r="F619" s="4" t="s">
        <v>81</v>
      </c>
      <c r="G619" s="4">
        <v>5</v>
      </c>
      <c r="H619" s="12">
        <v>4664.8</v>
      </c>
      <c r="I619" s="13">
        <v>3965.08</v>
      </c>
      <c r="J619" s="13">
        <f>Orders[[#This Row],[Quantity]]*Orders[[#This Row],[Selling Price]]</f>
        <v>23324</v>
      </c>
      <c r="K619" s="13">
        <f>Orders[[#This Row],[Quantity]]*Orders[[#This Row],[Cost Price]]</f>
        <v>19825.400000000001</v>
      </c>
      <c r="L619" s="13">
        <f>Orders[[#This Row],[Revenue]]-Orders[[#This Row],[Expenses]]</f>
        <v>3498.5999999999985</v>
      </c>
      <c r="M619" t="s">
        <v>2214</v>
      </c>
      <c r="N619" t="str">
        <f>_xlfn.XLOOKUP(Orders[[#This Row],[CustomerID]],Customers[CustomerID],Customers[CustomerName])</f>
        <v>Mustafa Balogun</v>
      </c>
      <c r="O619" t="str">
        <f>_xlfn.XLOOKUP(Orders[[#This Row],[CustomerID]],Customers[CustomerID],Customers[City])</f>
        <v>Texas</v>
      </c>
      <c r="P619" t="str">
        <f>_xlfn.XLOOKUP(Orders[[#This Row],[CustomerID]],Customers[CustomerID],Customers[Gender])</f>
        <v>Male</v>
      </c>
      <c r="Q619">
        <f>_xlfn.XLOOKUP(Orders[[#This Row],[CustomerID]],Customers[CustomerID],Customers[CustomerAge])</f>
        <v>40</v>
      </c>
      <c r="R619" t="str">
        <f>IF(Orders[[#This Row],[CustomerAge]]&gt;=35, "Older", "Young")</f>
        <v>Older</v>
      </c>
      <c r="S619" t="str">
        <f>_xlfn.XLOOKUP(Orders[[#This Row],[ProductID]],Products[ProductID],Products[ProductName])</f>
        <v>Trousers</v>
      </c>
      <c r="T619" t="str">
        <f>_xlfn.XLOOKUP(Orders[[#This Row],[ProductID]],Products[ProductID],Products[Category])</f>
        <v>Clothing</v>
      </c>
    </row>
    <row r="620" spans="1:20" x14ac:dyDescent="0.25">
      <c r="A620" s="4" t="s">
        <v>807</v>
      </c>
      <c r="B620" s="5">
        <v>46005</v>
      </c>
      <c r="C620" s="15">
        <f>WEEKNUM(Orders[[#This Row],[OrderDate]])</f>
        <v>51</v>
      </c>
      <c r="D620" s="15" t="str">
        <f>TEXT(Orders[[#This Row],[OrderDate]],"mmmm")</f>
        <v>December</v>
      </c>
      <c r="E620" s="4" t="s">
        <v>156</v>
      </c>
      <c r="F620" s="4" t="s">
        <v>120</v>
      </c>
      <c r="G620" s="4">
        <v>3</v>
      </c>
      <c r="H620" s="12">
        <v>4923.6000000000004</v>
      </c>
      <c r="I620" s="13">
        <v>4185.0600000000004</v>
      </c>
      <c r="J620" s="13">
        <f>Orders[[#This Row],[Quantity]]*Orders[[#This Row],[Selling Price]]</f>
        <v>14770.800000000001</v>
      </c>
      <c r="K620" s="13">
        <f>Orders[[#This Row],[Quantity]]*Orders[[#This Row],[Cost Price]]</f>
        <v>12555.18</v>
      </c>
      <c r="L620" s="13">
        <f>Orders[[#This Row],[Revenue]]-Orders[[#This Row],[Expenses]]</f>
        <v>2215.6200000000008</v>
      </c>
      <c r="M620" t="s">
        <v>2209</v>
      </c>
      <c r="N620" t="str">
        <f>_xlfn.XLOOKUP(Orders[[#This Row],[CustomerID]],Customers[CustomerID],Customers[CustomerName])</f>
        <v>Obi Okonkwo</v>
      </c>
      <c r="O620" t="str">
        <f>_xlfn.XLOOKUP(Orders[[#This Row],[CustomerID]],Customers[CustomerID],Customers[City])</f>
        <v>Florida</v>
      </c>
      <c r="P620" t="str">
        <f>_xlfn.XLOOKUP(Orders[[#This Row],[CustomerID]],Customers[CustomerID],Customers[Gender])</f>
        <v>Male</v>
      </c>
      <c r="Q620">
        <f>_xlfn.XLOOKUP(Orders[[#This Row],[CustomerID]],Customers[CustomerID],Customers[CustomerAge])</f>
        <v>52</v>
      </c>
      <c r="R620" t="str">
        <f>IF(Orders[[#This Row],[CustomerAge]]&gt;=35, "Older", "Young")</f>
        <v>Older</v>
      </c>
      <c r="S620" t="str">
        <f>_xlfn.XLOOKUP(Orders[[#This Row],[ProductID]],Products[ProductID],Products[ProductName])</f>
        <v>Chess</v>
      </c>
      <c r="T620" t="str">
        <f>_xlfn.XLOOKUP(Orders[[#This Row],[ProductID]],Products[ProductID],Products[Category])</f>
        <v>Games</v>
      </c>
    </row>
    <row r="621" spans="1:20" x14ac:dyDescent="0.25">
      <c r="A621" s="4" t="s">
        <v>808</v>
      </c>
      <c r="B621" s="5">
        <v>45949</v>
      </c>
      <c r="C621" s="15">
        <f>WEEKNUM(Orders[[#This Row],[OrderDate]])</f>
        <v>43</v>
      </c>
      <c r="D621" s="15" t="str">
        <f>TEXT(Orders[[#This Row],[OrderDate]],"mmmm")</f>
        <v>October</v>
      </c>
      <c r="E621" s="4" t="s">
        <v>282</v>
      </c>
      <c r="F621" s="4" t="s">
        <v>232</v>
      </c>
      <c r="G621" s="4">
        <v>10</v>
      </c>
      <c r="H621" s="12">
        <v>15542.7</v>
      </c>
      <c r="I621" s="13">
        <v>13211.295</v>
      </c>
      <c r="J621" s="13">
        <f>Orders[[#This Row],[Quantity]]*Orders[[#This Row],[Selling Price]]</f>
        <v>155427</v>
      </c>
      <c r="K621" s="13">
        <f>Orders[[#This Row],[Quantity]]*Orders[[#This Row],[Cost Price]]</f>
        <v>132112.95000000001</v>
      </c>
      <c r="L621" s="13">
        <f>Orders[[#This Row],[Revenue]]-Orders[[#This Row],[Expenses]]</f>
        <v>23314.049999999988</v>
      </c>
      <c r="M621" t="s">
        <v>2195</v>
      </c>
      <c r="N621" t="str">
        <f>_xlfn.XLOOKUP(Orders[[#This Row],[CustomerID]],Customers[CustomerID],Customers[CustomerName])</f>
        <v>Bisi Ojo</v>
      </c>
      <c r="O621" t="str">
        <f>_xlfn.XLOOKUP(Orders[[#This Row],[CustomerID]],Customers[CustomerID],Customers[City])</f>
        <v>Texas</v>
      </c>
      <c r="P621" t="str">
        <f>_xlfn.XLOOKUP(Orders[[#This Row],[CustomerID]],Customers[CustomerID],Customers[Gender])</f>
        <v>Female</v>
      </c>
      <c r="Q621">
        <f>_xlfn.XLOOKUP(Orders[[#This Row],[CustomerID]],Customers[CustomerID],Customers[CustomerAge])</f>
        <v>26</v>
      </c>
      <c r="R621" t="str">
        <f>IF(Orders[[#This Row],[CustomerAge]]&gt;=35, "Older", "Young")</f>
        <v>Young</v>
      </c>
      <c r="S621" t="str">
        <f>_xlfn.XLOOKUP(Orders[[#This Row],[ProductID]],Products[ProductID],Products[ProductName])</f>
        <v>Ankara</v>
      </c>
      <c r="T621" t="str">
        <f>_xlfn.XLOOKUP(Orders[[#This Row],[ProductID]],Products[ProductID],Products[Category])</f>
        <v>Clothing</v>
      </c>
    </row>
    <row r="622" spans="1:20" x14ac:dyDescent="0.25">
      <c r="A622" s="4" t="s">
        <v>809</v>
      </c>
      <c r="B622" s="5">
        <v>45983</v>
      </c>
      <c r="C622" s="15">
        <f>WEEKNUM(Orders[[#This Row],[OrderDate]])</f>
        <v>47</v>
      </c>
      <c r="D622" s="15" t="str">
        <f>TEXT(Orders[[#This Row],[OrderDate]],"mmmm")</f>
        <v>November</v>
      </c>
      <c r="E622" s="4" t="s">
        <v>216</v>
      </c>
      <c r="F622" s="4" t="s">
        <v>37</v>
      </c>
      <c r="G622" s="4">
        <v>8</v>
      </c>
      <c r="H622" s="12">
        <v>5259.5</v>
      </c>
      <c r="I622" s="13">
        <v>4470.5749999999998</v>
      </c>
      <c r="J622" s="13">
        <f>Orders[[#This Row],[Quantity]]*Orders[[#This Row],[Selling Price]]</f>
        <v>42076</v>
      </c>
      <c r="K622" s="13">
        <f>Orders[[#This Row],[Quantity]]*Orders[[#This Row],[Cost Price]]</f>
        <v>35764.6</v>
      </c>
      <c r="L622" s="13">
        <f>Orders[[#This Row],[Revenue]]-Orders[[#This Row],[Expenses]]</f>
        <v>6311.4000000000015</v>
      </c>
      <c r="M622" t="s">
        <v>2193</v>
      </c>
      <c r="N622" t="str">
        <f>_xlfn.XLOOKUP(Orders[[#This Row],[CustomerID]],Customers[CustomerID],Customers[CustomerName])</f>
        <v>Ngozi Obi</v>
      </c>
      <c r="O622" t="str">
        <f>_xlfn.XLOOKUP(Orders[[#This Row],[CustomerID]],Customers[CustomerID],Customers[City])</f>
        <v>California</v>
      </c>
      <c r="P622" t="str">
        <f>_xlfn.XLOOKUP(Orders[[#This Row],[CustomerID]],Customers[CustomerID],Customers[Gender])</f>
        <v>Female</v>
      </c>
      <c r="Q622">
        <f>_xlfn.XLOOKUP(Orders[[#This Row],[CustomerID]],Customers[CustomerID],Customers[CustomerAge])</f>
        <v>54</v>
      </c>
      <c r="R622" t="str">
        <f>IF(Orders[[#This Row],[CustomerAge]]&gt;=35, "Older", "Young")</f>
        <v>Older</v>
      </c>
      <c r="S622" t="str">
        <f>_xlfn.XLOOKUP(Orders[[#This Row],[ProductID]],Products[ProductID],Products[ProductName])</f>
        <v>Iron</v>
      </c>
      <c r="T622" t="str">
        <f>_xlfn.XLOOKUP(Orders[[#This Row],[ProductID]],Products[ProductID],Products[Category])</f>
        <v>Electronics</v>
      </c>
    </row>
    <row r="623" spans="1:20" x14ac:dyDescent="0.25">
      <c r="A623" s="4" t="s">
        <v>810</v>
      </c>
      <c r="B623" s="5">
        <v>46022</v>
      </c>
      <c r="C623" s="15">
        <f>WEEKNUM(Orders[[#This Row],[OrderDate]])</f>
        <v>53</v>
      </c>
      <c r="D623" s="15" t="str">
        <f>TEXT(Orders[[#This Row],[OrderDate]],"mmmm")</f>
        <v>December</v>
      </c>
      <c r="E623" s="4" t="s">
        <v>260</v>
      </c>
      <c r="F623" s="4" t="s">
        <v>31</v>
      </c>
      <c r="G623" s="4">
        <v>5</v>
      </c>
      <c r="H623" s="12">
        <v>15321.800000000001</v>
      </c>
      <c r="I623" s="13">
        <v>13023.53</v>
      </c>
      <c r="J623" s="13">
        <f>Orders[[#This Row],[Quantity]]*Orders[[#This Row],[Selling Price]]</f>
        <v>76609</v>
      </c>
      <c r="K623" s="13">
        <f>Orders[[#This Row],[Quantity]]*Orders[[#This Row],[Cost Price]]</f>
        <v>65117.65</v>
      </c>
      <c r="L623" s="13">
        <f>Orders[[#This Row],[Revenue]]-Orders[[#This Row],[Expenses]]</f>
        <v>11491.349999999999</v>
      </c>
      <c r="M623" t="s">
        <v>2205</v>
      </c>
      <c r="N623" t="str">
        <f>_xlfn.XLOOKUP(Orders[[#This Row],[CustomerID]],Customers[CustomerID],Customers[CustomerName])</f>
        <v>Amina Obi</v>
      </c>
      <c r="O623" t="str">
        <f>_xlfn.XLOOKUP(Orders[[#This Row],[CustomerID]],Customers[CustomerID],Customers[City])</f>
        <v>Florida</v>
      </c>
      <c r="P623" t="str">
        <f>_xlfn.XLOOKUP(Orders[[#This Row],[CustomerID]],Customers[CustomerID],Customers[Gender])</f>
        <v>Female</v>
      </c>
      <c r="Q623">
        <f>_xlfn.XLOOKUP(Orders[[#This Row],[CustomerID]],Customers[CustomerID],Customers[CustomerAge])</f>
        <v>29</v>
      </c>
      <c r="R623" t="str">
        <f>IF(Orders[[#This Row],[CustomerAge]]&gt;=35, "Older", "Young")</f>
        <v>Young</v>
      </c>
      <c r="S623" t="str">
        <f>_xlfn.XLOOKUP(Orders[[#This Row],[ProductID]],Products[ProductID],Products[ProductName])</f>
        <v>Kids Games</v>
      </c>
      <c r="T623" t="str">
        <f>_xlfn.XLOOKUP(Orders[[#This Row],[ProductID]],Products[ProductID],Products[Category])</f>
        <v>Games</v>
      </c>
    </row>
    <row r="624" spans="1:20" x14ac:dyDescent="0.25">
      <c r="A624" s="4" t="s">
        <v>811</v>
      </c>
      <c r="B624" s="5">
        <v>45982</v>
      </c>
      <c r="C624" s="15">
        <f>WEEKNUM(Orders[[#This Row],[OrderDate]])</f>
        <v>47</v>
      </c>
      <c r="D624" s="15" t="str">
        <f>TEXT(Orders[[#This Row],[OrderDate]],"mmmm")</f>
        <v>November</v>
      </c>
      <c r="E624" s="4" t="s">
        <v>87</v>
      </c>
      <c r="F624" s="4" t="s">
        <v>20</v>
      </c>
      <c r="G624" s="4">
        <v>3</v>
      </c>
      <c r="H624" s="12">
        <v>14415</v>
      </c>
      <c r="I624" s="13">
        <v>12252.75</v>
      </c>
      <c r="J624" s="13">
        <f>Orders[[#This Row],[Quantity]]*Orders[[#This Row],[Selling Price]]</f>
        <v>43245</v>
      </c>
      <c r="K624" s="13">
        <f>Orders[[#This Row],[Quantity]]*Orders[[#This Row],[Cost Price]]</f>
        <v>36758.25</v>
      </c>
      <c r="L624" s="13">
        <f>Orders[[#This Row],[Revenue]]-Orders[[#This Row],[Expenses]]</f>
        <v>6486.75</v>
      </c>
      <c r="M624" t="s">
        <v>2207</v>
      </c>
      <c r="N624" t="str">
        <f>_xlfn.XLOOKUP(Orders[[#This Row],[CustomerID]],Customers[CustomerID],Customers[CustomerName])</f>
        <v>Efe Igwe</v>
      </c>
      <c r="O624" t="str">
        <f>_xlfn.XLOOKUP(Orders[[#This Row],[CustomerID]],Customers[CustomerID],Customers[City])</f>
        <v>Illinois</v>
      </c>
      <c r="P624" t="str">
        <f>_xlfn.XLOOKUP(Orders[[#This Row],[CustomerID]],Customers[CustomerID],Customers[Gender])</f>
        <v>Female</v>
      </c>
      <c r="Q624">
        <f>_xlfn.XLOOKUP(Orders[[#This Row],[CustomerID]],Customers[CustomerID],Customers[CustomerAge])</f>
        <v>34</v>
      </c>
      <c r="R624" t="str">
        <f>IF(Orders[[#This Row],[CustomerAge]]&gt;=35, "Older", "Young")</f>
        <v>Young</v>
      </c>
      <c r="S624" t="str">
        <f>_xlfn.XLOOKUP(Orders[[#This Row],[ProductID]],Products[ProductID],Products[ProductName])</f>
        <v>Gym Bag</v>
      </c>
      <c r="T624" t="str">
        <f>_xlfn.XLOOKUP(Orders[[#This Row],[ProductID]],Products[ProductID],Products[Category])</f>
        <v>Gym</v>
      </c>
    </row>
    <row r="625" spans="1:20" x14ac:dyDescent="0.25">
      <c r="A625" s="4" t="s">
        <v>812</v>
      </c>
      <c r="B625" s="5">
        <v>45941</v>
      </c>
      <c r="C625" s="15">
        <f>WEEKNUM(Orders[[#This Row],[OrderDate]])</f>
        <v>41</v>
      </c>
      <c r="D625" s="15" t="str">
        <f>TEXT(Orders[[#This Row],[OrderDate]],"mmmm")</f>
        <v>October</v>
      </c>
      <c r="E625" s="4" t="s">
        <v>435</v>
      </c>
      <c r="F625" s="4" t="s">
        <v>127</v>
      </c>
      <c r="G625" s="4">
        <v>2</v>
      </c>
      <c r="H625" s="12">
        <v>14226.900000000001</v>
      </c>
      <c r="I625" s="13">
        <v>12092.865000000002</v>
      </c>
      <c r="J625" s="13">
        <f>Orders[[#This Row],[Quantity]]*Orders[[#This Row],[Selling Price]]</f>
        <v>28453.800000000003</v>
      </c>
      <c r="K625" s="13">
        <f>Orders[[#This Row],[Quantity]]*Orders[[#This Row],[Cost Price]]</f>
        <v>24185.730000000003</v>
      </c>
      <c r="L625" s="13">
        <f>Orders[[#This Row],[Revenue]]-Orders[[#This Row],[Expenses]]</f>
        <v>4268.07</v>
      </c>
      <c r="M625" t="s">
        <v>2192</v>
      </c>
      <c r="N625" t="str">
        <f>_xlfn.XLOOKUP(Orders[[#This Row],[CustomerID]],Customers[CustomerID],Customers[CustomerName])</f>
        <v>Amina Balogun</v>
      </c>
      <c r="O625" t="str">
        <f>_xlfn.XLOOKUP(Orders[[#This Row],[CustomerID]],Customers[CustomerID],Customers[City])</f>
        <v>Texas</v>
      </c>
      <c r="P625" t="str">
        <f>_xlfn.XLOOKUP(Orders[[#This Row],[CustomerID]],Customers[CustomerID],Customers[Gender])</f>
        <v>Female</v>
      </c>
      <c r="Q625">
        <f>_xlfn.XLOOKUP(Orders[[#This Row],[CustomerID]],Customers[CustomerID],Customers[CustomerAge])</f>
        <v>32</v>
      </c>
      <c r="R625" t="str">
        <f>IF(Orders[[#This Row],[CustomerAge]]&gt;=35, "Older", "Young")</f>
        <v>Young</v>
      </c>
      <c r="S625" t="str">
        <f>_xlfn.XLOOKUP(Orders[[#This Row],[ProductID]],Products[ProductID],Products[ProductName])</f>
        <v>Tops</v>
      </c>
      <c r="T625" t="str">
        <f>_xlfn.XLOOKUP(Orders[[#This Row],[ProductID]],Products[ProductID],Products[Category])</f>
        <v>Clothing</v>
      </c>
    </row>
    <row r="626" spans="1:20" x14ac:dyDescent="0.25">
      <c r="A626" s="4" t="s">
        <v>813</v>
      </c>
      <c r="B626" s="5">
        <v>45973</v>
      </c>
      <c r="C626" s="15">
        <f>WEEKNUM(Orders[[#This Row],[OrderDate]])</f>
        <v>46</v>
      </c>
      <c r="D626" s="15" t="str">
        <f>TEXT(Orders[[#This Row],[OrderDate]],"mmmm")</f>
        <v>November</v>
      </c>
      <c r="E626" s="4" t="s">
        <v>30</v>
      </c>
      <c r="F626" s="4" t="s">
        <v>232</v>
      </c>
      <c r="G626" s="4">
        <v>9</v>
      </c>
      <c r="H626" s="12">
        <v>19548</v>
      </c>
      <c r="I626" s="13">
        <v>16615.8</v>
      </c>
      <c r="J626" s="13">
        <f>Orders[[#This Row],[Quantity]]*Orders[[#This Row],[Selling Price]]</f>
        <v>175932</v>
      </c>
      <c r="K626" s="13">
        <f>Orders[[#This Row],[Quantity]]*Orders[[#This Row],[Cost Price]]</f>
        <v>149542.19999999998</v>
      </c>
      <c r="L626" s="13">
        <f>Orders[[#This Row],[Revenue]]-Orders[[#This Row],[Expenses]]</f>
        <v>26389.800000000017</v>
      </c>
      <c r="M626" t="s">
        <v>2220</v>
      </c>
      <c r="N626" t="str">
        <f>_xlfn.XLOOKUP(Orders[[#This Row],[CustomerID]],Customers[CustomerID],Customers[CustomerName])</f>
        <v>Amina Danladi</v>
      </c>
      <c r="O626" t="str">
        <f>_xlfn.XLOOKUP(Orders[[#This Row],[CustomerID]],Customers[CustomerID],Customers[City])</f>
        <v>Florida</v>
      </c>
      <c r="P626" t="str">
        <f>_xlfn.XLOOKUP(Orders[[#This Row],[CustomerID]],Customers[CustomerID],Customers[Gender])</f>
        <v>Female</v>
      </c>
      <c r="Q626">
        <f>_xlfn.XLOOKUP(Orders[[#This Row],[CustomerID]],Customers[CustomerID],Customers[CustomerAge])</f>
        <v>42</v>
      </c>
      <c r="R626" t="str">
        <f>IF(Orders[[#This Row],[CustomerAge]]&gt;=35, "Older", "Young")</f>
        <v>Older</v>
      </c>
      <c r="S626" t="str">
        <f>_xlfn.XLOOKUP(Orders[[#This Row],[ProductID]],Products[ProductID],Products[ProductName])</f>
        <v>Ankara</v>
      </c>
      <c r="T626" t="str">
        <f>_xlfn.XLOOKUP(Orders[[#This Row],[ProductID]],Products[ProductID],Products[Category])</f>
        <v>Clothing</v>
      </c>
    </row>
    <row r="627" spans="1:20" x14ac:dyDescent="0.25">
      <c r="A627" s="4" t="s">
        <v>814</v>
      </c>
      <c r="B627" s="5">
        <v>45936</v>
      </c>
      <c r="C627" s="15">
        <f>WEEKNUM(Orders[[#This Row],[OrderDate]])</f>
        <v>41</v>
      </c>
      <c r="D627" s="15" t="str">
        <f>TEXT(Orders[[#This Row],[OrderDate]],"mmmm")</f>
        <v>October</v>
      </c>
      <c r="E627" s="4" t="s">
        <v>103</v>
      </c>
      <c r="F627" s="4" t="s">
        <v>15</v>
      </c>
      <c r="G627" s="4">
        <v>4</v>
      </c>
      <c r="H627" s="12">
        <v>7370</v>
      </c>
      <c r="I627" s="13">
        <v>6264.5</v>
      </c>
      <c r="J627" s="13">
        <f>Orders[[#This Row],[Quantity]]*Orders[[#This Row],[Selling Price]]</f>
        <v>29480</v>
      </c>
      <c r="K627" s="13">
        <f>Orders[[#This Row],[Quantity]]*Orders[[#This Row],[Cost Price]]</f>
        <v>25058</v>
      </c>
      <c r="L627" s="13">
        <f>Orders[[#This Row],[Revenue]]-Orders[[#This Row],[Expenses]]</f>
        <v>4422</v>
      </c>
      <c r="M627" t="s">
        <v>2214</v>
      </c>
      <c r="N627" t="str">
        <f>_xlfn.XLOOKUP(Orders[[#This Row],[CustomerID]],Customers[CustomerID],Customers[CustomerName])</f>
        <v>Chioma Adeyemi</v>
      </c>
      <c r="O627" t="str">
        <f>_xlfn.XLOOKUP(Orders[[#This Row],[CustomerID]],Customers[CustomerID],Customers[City])</f>
        <v>Georgia</v>
      </c>
      <c r="P627" t="str">
        <f>_xlfn.XLOOKUP(Orders[[#This Row],[CustomerID]],Customers[CustomerID],Customers[Gender])</f>
        <v>Female</v>
      </c>
      <c r="Q627">
        <f>_xlfn.XLOOKUP(Orders[[#This Row],[CustomerID]],Customers[CustomerID],Customers[CustomerAge])</f>
        <v>31</v>
      </c>
      <c r="R627" t="str">
        <f>IF(Orders[[#This Row],[CustomerAge]]&gt;=35, "Older", "Young")</f>
        <v>Young</v>
      </c>
      <c r="S627" t="str">
        <f>_xlfn.XLOOKUP(Orders[[#This Row],[ProductID]],Products[ProductID],Products[ProductName])</f>
        <v>Monopoly</v>
      </c>
      <c r="T627" t="str">
        <f>_xlfn.XLOOKUP(Orders[[#This Row],[ProductID]],Products[ProductID],Products[Category])</f>
        <v>Games</v>
      </c>
    </row>
    <row r="628" spans="1:20" x14ac:dyDescent="0.25">
      <c r="A628" s="4" t="s">
        <v>815</v>
      </c>
      <c r="B628" s="5">
        <v>45958</v>
      </c>
      <c r="C628" s="15">
        <f>WEEKNUM(Orders[[#This Row],[OrderDate]])</f>
        <v>44</v>
      </c>
      <c r="D628" s="15" t="str">
        <f>TEXT(Orders[[#This Row],[OrderDate]],"mmmm")</f>
        <v>October</v>
      </c>
      <c r="E628" s="4" t="s">
        <v>45</v>
      </c>
      <c r="F628" s="4" t="s">
        <v>31</v>
      </c>
      <c r="G628" s="4">
        <v>4</v>
      </c>
      <c r="H628" s="12">
        <v>14159.6</v>
      </c>
      <c r="I628" s="13">
        <v>12035.66</v>
      </c>
      <c r="J628" s="13">
        <f>Orders[[#This Row],[Quantity]]*Orders[[#This Row],[Selling Price]]</f>
        <v>56638.400000000001</v>
      </c>
      <c r="K628" s="13">
        <f>Orders[[#This Row],[Quantity]]*Orders[[#This Row],[Cost Price]]</f>
        <v>48142.64</v>
      </c>
      <c r="L628" s="13">
        <f>Orders[[#This Row],[Revenue]]-Orders[[#This Row],[Expenses]]</f>
        <v>8495.760000000002</v>
      </c>
      <c r="M628" t="s">
        <v>2206</v>
      </c>
      <c r="N628" t="str">
        <f>_xlfn.XLOOKUP(Orders[[#This Row],[CustomerID]],Customers[CustomerID],Customers[CustomerName])</f>
        <v>Abiola Abubakar</v>
      </c>
      <c r="O628" t="str">
        <f>_xlfn.XLOOKUP(Orders[[#This Row],[CustomerID]],Customers[CustomerID],Customers[City])</f>
        <v>Florida</v>
      </c>
      <c r="P628" t="str">
        <f>_xlfn.XLOOKUP(Orders[[#This Row],[CustomerID]],Customers[CustomerID],Customers[Gender])</f>
        <v>Male</v>
      </c>
      <c r="Q628">
        <f>_xlfn.XLOOKUP(Orders[[#This Row],[CustomerID]],Customers[CustomerID],Customers[CustomerAge])</f>
        <v>26</v>
      </c>
      <c r="R628" t="str">
        <f>IF(Orders[[#This Row],[CustomerAge]]&gt;=35, "Older", "Young")</f>
        <v>Young</v>
      </c>
      <c r="S628" t="str">
        <f>_xlfn.XLOOKUP(Orders[[#This Row],[ProductID]],Products[ProductID],Products[ProductName])</f>
        <v>Kids Games</v>
      </c>
      <c r="T628" t="str">
        <f>_xlfn.XLOOKUP(Orders[[#This Row],[ProductID]],Products[ProductID],Products[Category])</f>
        <v>Games</v>
      </c>
    </row>
    <row r="629" spans="1:20" x14ac:dyDescent="0.25">
      <c r="A629" s="4" t="s">
        <v>816</v>
      </c>
      <c r="B629" s="5">
        <v>46012</v>
      </c>
      <c r="C629" s="15">
        <f>WEEKNUM(Orders[[#This Row],[OrderDate]])</f>
        <v>52</v>
      </c>
      <c r="D629" s="15" t="str">
        <f>TEXT(Orders[[#This Row],[OrderDate]],"mmmm")</f>
        <v>December</v>
      </c>
      <c r="E629" s="4" t="s">
        <v>305</v>
      </c>
      <c r="F629" s="4" t="s">
        <v>120</v>
      </c>
      <c r="G629" s="4">
        <v>4</v>
      </c>
      <c r="H629" s="12">
        <v>15436.6</v>
      </c>
      <c r="I629" s="13">
        <v>13121.11</v>
      </c>
      <c r="J629" s="13">
        <f>Orders[[#This Row],[Quantity]]*Orders[[#This Row],[Selling Price]]</f>
        <v>61746.400000000001</v>
      </c>
      <c r="K629" s="13">
        <f>Orders[[#This Row],[Quantity]]*Orders[[#This Row],[Cost Price]]</f>
        <v>52484.44</v>
      </c>
      <c r="L629" s="13">
        <f>Orders[[#This Row],[Revenue]]-Orders[[#This Row],[Expenses]]</f>
        <v>9261.9599999999991</v>
      </c>
      <c r="M629" t="s">
        <v>2216</v>
      </c>
      <c r="N629" t="str">
        <f>_xlfn.XLOOKUP(Orders[[#This Row],[CustomerID]],Customers[CustomerID],Customers[CustomerName])</f>
        <v>Tunde Danladi</v>
      </c>
      <c r="O629" t="str">
        <f>_xlfn.XLOOKUP(Orders[[#This Row],[CustomerID]],Customers[CustomerID],Customers[City])</f>
        <v>California</v>
      </c>
      <c r="P629" t="str">
        <f>_xlfn.XLOOKUP(Orders[[#This Row],[CustomerID]],Customers[CustomerID],Customers[Gender])</f>
        <v>Male</v>
      </c>
      <c r="Q629">
        <f>_xlfn.XLOOKUP(Orders[[#This Row],[CustomerID]],Customers[CustomerID],Customers[CustomerAge])</f>
        <v>40</v>
      </c>
      <c r="R629" t="str">
        <f>IF(Orders[[#This Row],[CustomerAge]]&gt;=35, "Older", "Young")</f>
        <v>Older</v>
      </c>
      <c r="S629" t="str">
        <f>_xlfn.XLOOKUP(Orders[[#This Row],[ProductID]],Products[ProductID],Products[ProductName])</f>
        <v>Chess</v>
      </c>
      <c r="T629" t="str">
        <f>_xlfn.XLOOKUP(Orders[[#This Row],[ProductID]],Products[ProductID],Products[Category])</f>
        <v>Games</v>
      </c>
    </row>
    <row r="630" spans="1:20" x14ac:dyDescent="0.25">
      <c r="A630" s="4" t="s">
        <v>817</v>
      </c>
      <c r="B630" s="5">
        <v>46007</v>
      </c>
      <c r="C630" s="15">
        <f>WEEKNUM(Orders[[#This Row],[OrderDate]])</f>
        <v>51</v>
      </c>
      <c r="D630" s="15" t="str">
        <f>TEXT(Orders[[#This Row],[OrderDate]],"mmmm")</f>
        <v>December</v>
      </c>
      <c r="E630" s="4" t="s">
        <v>101</v>
      </c>
      <c r="F630" s="4" t="s">
        <v>84</v>
      </c>
      <c r="G630" s="4">
        <v>3</v>
      </c>
      <c r="H630" s="12">
        <v>7198</v>
      </c>
      <c r="I630" s="13">
        <v>6118.3</v>
      </c>
      <c r="J630" s="13">
        <f>Orders[[#This Row],[Quantity]]*Orders[[#This Row],[Selling Price]]</f>
        <v>21594</v>
      </c>
      <c r="K630" s="13">
        <f>Orders[[#This Row],[Quantity]]*Orders[[#This Row],[Cost Price]]</f>
        <v>18354.900000000001</v>
      </c>
      <c r="L630" s="13">
        <f>Orders[[#This Row],[Revenue]]-Orders[[#This Row],[Expenses]]</f>
        <v>3239.0999999999985</v>
      </c>
      <c r="M630" t="s">
        <v>2213</v>
      </c>
      <c r="N630" t="str">
        <f>_xlfn.XLOOKUP(Orders[[#This Row],[CustomerID]],Customers[CustomerID],Customers[CustomerName])</f>
        <v>Blessing Eze</v>
      </c>
      <c r="O630" t="str">
        <f>_xlfn.XLOOKUP(Orders[[#This Row],[CustomerID]],Customers[CustomerID],Customers[City])</f>
        <v>Texas</v>
      </c>
      <c r="P630" t="str">
        <f>_xlfn.XLOOKUP(Orders[[#This Row],[CustomerID]],Customers[CustomerID],Customers[Gender])</f>
        <v>Female</v>
      </c>
      <c r="Q630">
        <f>_xlfn.XLOOKUP(Orders[[#This Row],[CustomerID]],Customers[CustomerID],Customers[CustomerAge])</f>
        <v>55</v>
      </c>
      <c r="R630" t="str">
        <f>IF(Orders[[#This Row],[CustomerAge]]&gt;=35, "Older", "Young")</f>
        <v>Older</v>
      </c>
      <c r="S630" t="str">
        <f>_xlfn.XLOOKUP(Orders[[#This Row],[ProductID]],Products[ProductID],Products[ProductName])</f>
        <v>Gym Wears</v>
      </c>
      <c r="T630" t="str">
        <f>_xlfn.XLOOKUP(Orders[[#This Row],[ProductID]],Products[ProductID],Products[Category])</f>
        <v>Clothing</v>
      </c>
    </row>
    <row r="631" spans="1:20" x14ac:dyDescent="0.25">
      <c r="A631" s="4" t="s">
        <v>818</v>
      </c>
      <c r="B631" s="5">
        <v>45950</v>
      </c>
      <c r="C631" s="15">
        <f>WEEKNUM(Orders[[#This Row],[OrderDate]])</f>
        <v>43</v>
      </c>
      <c r="D631" s="15" t="str">
        <f>TEXT(Orders[[#This Row],[OrderDate]],"mmmm")</f>
        <v>October</v>
      </c>
      <c r="E631" s="4" t="s">
        <v>184</v>
      </c>
      <c r="F631" s="4" t="s">
        <v>28</v>
      </c>
      <c r="G631" s="4">
        <v>8</v>
      </c>
      <c r="H631" s="12">
        <v>2430.6</v>
      </c>
      <c r="I631" s="13">
        <v>2066.0099999999998</v>
      </c>
      <c r="J631" s="13">
        <f>Orders[[#This Row],[Quantity]]*Orders[[#This Row],[Selling Price]]</f>
        <v>19444.8</v>
      </c>
      <c r="K631" s="13">
        <f>Orders[[#This Row],[Quantity]]*Orders[[#This Row],[Cost Price]]</f>
        <v>16528.079999999998</v>
      </c>
      <c r="L631" s="13">
        <f>Orders[[#This Row],[Revenue]]-Orders[[#This Row],[Expenses]]</f>
        <v>2916.7200000000012</v>
      </c>
      <c r="M631" t="s">
        <v>2202</v>
      </c>
      <c r="N631" t="str">
        <f>_xlfn.XLOOKUP(Orders[[#This Row],[CustomerID]],Customers[CustomerID],Customers[CustomerName])</f>
        <v>Ngozi Obi</v>
      </c>
      <c r="O631" t="str">
        <f>_xlfn.XLOOKUP(Orders[[#This Row],[CustomerID]],Customers[CustomerID],Customers[City])</f>
        <v>Washington</v>
      </c>
      <c r="P631" t="str">
        <f>_xlfn.XLOOKUP(Orders[[#This Row],[CustomerID]],Customers[CustomerID],Customers[Gender])</f>
        <v>Female</v>
      </c>
      <c r="Q631">
        <f>_xlfn.XLOOKUP(Orders[[#This Row],[CustomerID]],Customers[CustomerID],Customers[CustomerAge])</f>
        <v>32</v>
      </c>
      <c r="R631" t="str">
        <f>IF(Orders[[#This Row],[CustomerAge]]&gt;=35, "Older", "Young")</f>
        <v>Young</v>
      </c>
      <c r="S631" t="str">
        <f>_xlfn.XLOOKUP(Orders[[#This Row],[ProductID]],Products[ProductID],Products[ProductName])</f>
        <v>Sneakers</v>
      </c>
      <c r="T631" t="str">
        <f>_xlfn.XLOOKUP(Orders[[#This Row],[ProductID]],Products[ProductID],Products[Category])</f>
        <v>Sports</v>
      </c>
    </row>
    <row r="632" spans="1:20" x14ac:dyDescent="0.25">
      <c r="A632" s="4" t="s">
        <v>819</v>
      </c>
      <c r="B632" s="5">
        <v>46013</v>
      </c>
      <c r="C632" s="15">
        <f>WEEKNUM(Orders[[#This Row],[OrderDate]])</f>
        <v>52</v>
      </c>
      <c r="D632" s="15" t="str">
        <f>TEXT(Orders[[#This Row],[OrderDate]],"mmmm")</f>
        <v>December</v>
      </c>
      <c r="E632" s="4" t="s">
        <v>320</v>
      </c>
      <c r="F632" s="4" t="s">
        <v>28</v>
      </c>
      <c r="G632" s="4">
        <v>3</v>
      </c>
      <c r="H632" s="12">
        <v>10751</v>
      </c>
      <c r="I632" s="13">
        <v>9138.35</v>
      </c>
      <c r="J632" s="13">
        <f>Orders[[#This Row],[Quantity]]*Orders[[#This Row],[Selling Price]]</f>
        <v>32253</v>
      </c>
      <c r="K632" s="13">
        <f>Orders[[#This Row],[Quantity]]*Orders[[#This Row],[Cost Price]]</f>
        <v>27415.050000000003</v>
      </c>
      <c r="L632" s="13">
        <f>Orders[[#This Row],[Revenue]]-Orders[[#This Row],[Expenses]]</f>
        <v>4837.9499999999971</v>
      </c>
      <c r="M632" t="s">
        <v>2195</v>
      </c>
      <c r="N632" t="str">
        <f>_xlfn.XLOOKUP(Orders[[#This Row],[CustomerID]],Customers[CustomerID],Customers[CustomerName])</f>
        <v>Temi Okonkwo</v>
      </c>
      <c r="O632" t="str">
        <f>_xlfn.XLOOKUP(Orders[[#This Row],[CustomerID]],Customers[CustomerID],Customers[City])</f>
        <v>Texas</v>
      </c>
      <c r="P632" t="str">
        <f>_xlfn.XLOOKUP(Orders[[#This Row],[CustomerID]],Customers[CustomerID],Customers[Gender])</f>
        <v>Female</v>
      </c>
      <c r="Q632">
        <f>_xlfn.XLOOKUP(Orders[[#This Row],[CustomerID]],Customers[CustomerID],Customers[CustomerAge])</f>
        <v>31</v>
      </c>
      <c r="R632" t="str">
        <f>IF(Orders[[#This Row],[CustomerAge]]&gt;=35, "Older", "Young")</f>
        <v>Young</v>
      </c>
      <c r="S632" t="str">
        <f>_xlfn.XLOOKUP(Orders[[#This Row],[ProductID]],Products[ProductID],Products[ProductName])</f>
        <v>Sneakers</v>
      </c>
      <c r="T632" t="str">
        <f>_xlfn.XLOOKUP(Orders[[#This Row],[ProductID]],Products[ProductID],Products[Category])</f>
        <v>Sports</v>
      </c>
    </row>
    <row r="633" spans="1:20" x14ac:dyDescent="0.25">
      <c r="A633" s="4" t="s">
        <v>820</v>
      </c>
      <c r="B633" s="5">
        <v>45989</v>
      </c>
      <c r="C633" s="15">
        <f>WEEKNUM(Orders[[#This Row],[OrderDate]])</f>
        <v>48</v>
      </c>
      <c r="D633" s="15" t="str">
        <f>TEXT(Orders[[#This Row],[OrderDate]],"mmmm")</f>
        <v>November</v>
      </c>
      <c r="E633" s="4" t="s">
        <v>113</v>
      </c>
      <c r="F633" s="4" t="s">
        <v>63</v>
      </c>
      <c r="G633" s="4">
        <v>2</v>
      </c>
      <c r="H633" s="12">
        <v>17552.599999999999</v>
      </c>
      <c r="I633" s="13">
        <v>14919.71</v>
      </c>
      <c r="J633" s="13">
        <f>Orders[[#This Row],[Quantity]]*Orders[[#This Row],[Selling Price]]</f>
        <v>35105.199999999997</v>
      </c>
      <c r="K633" s="13">
        <f>Orders[[#This Row],[Quantity]]*Orders[[#This Row],[Cost Price]]</f>
        <v>29839.42</v>
      </c>
      <c r="L633" s="13">
        <f>Orders[[#This Row],[Revenue]]-Orders[[#This Row],[Expenses]]</f>
        <v>5265.7799999999988</v>
      </c>
      <c r="M633" t="s">
        <v>2214</v>
      </c>
      <c r="N633" t="str">
        <f>_xlfn.XLOOKUP(Orders[[#This Row],[CustomerID]],Customers[CustomerID],Customers[CustomerName])</f>
        <v>Uche Igwe</v>
      </c>
      <c r="O633" t="str">
        <f>_xlfn.XLOOKUP(Orders[[#This Row],[CustomerID]],Customers[CustomerID],Customers[City])</f>
        <v>Texas</v>
      </c>
      <c r="P633" t="str">
        <f>_xlfn.XLOOKUP(Orders[[#This Row],[CustomerID]],Customers[CustomerID],Customers[Gender])</f>
        <v>Male</v>
      </c>
      <c r="Q633">
        <f>_xlfn.XLOOKUP(Orders[[#This Row],[CustomerID]],Customers[CustomerID],Customers[CustomerAge])</f>
        <v>35</v>
      </c>
      <c r="R633" t="str">
        <f>IF(Orders[[#This Row],[CustomerAge]]&gt;=35, "Older", "Young")</f>
        <v>Older</v>
      </c>
      <c r="S633" t="str">
        <f>_xlfn.XLOOKUP(Orders[[#This Row],[ProductID]],Products[ProductID],Products[ProductName])</f>
        <v>Tennis Bat</v>
      </c>
      <c r="T633" t="str">
        <f>_xlfn.XLOOKUP(Orders[[#This Row],[ProductID]],Products[ProductID],Products[Category])</f>
        <v>Sports</v>
      </c>
    </row>
    <row r="634" spans="1:20" x14ac:dyDescent="0.25">
      <c r="A634" s="4" t="s">
        <v>821</v>
      </c>
      <c r="B634" s="5">
        <v>46008</v>
      </c>
      <c r="C634" s="15">
        <f>WEEKNUM(Orders[[#This Row],[OrderDate]])</f>
        <v>51</v>
      </c>
      <c r="D634" s="15" t="str">
        <f>TEXT(Orders[[#This Row],[OrderDate]],"mmmm")</f>
        <v>December</v>
      </c>
      <c r="E634" s="4" t="s">
        <v>146</v>
      </c>
      <c r="F634" s="4" t="s">
        <v>20</v>
      </c>
      <c r="G634" s="4">
        <v>6</v>
      </c>
      <c r="H634" s="12">
        <v>5239.4000000000005</v>
      </c>
      <c r="I634" s="13">
        <v>4453.4900000000007</v>
      </c>
      <c r="J634" s="13">
        <f>Orders[[#This Row],[Quantity]]*Orders[[#This Row],[Selling Price]]</f>
        <v>31436.400000000001</v>
      </c>
      <c r="K634" s="13">
        <f>Orders[[#This Row],[Quantity]]*Orders[[#This Row],[Cost Price]]</f>
        <v>26720.940000000002</v>
      </c>
      <c r="L634" s="13">
        <f>Orders[[#This Row],[Revenue]]-Orders[[#This Row],[Expenses]]</f>
        <v>4715.4599999999991</v>
      </c>
      <c r="M634" t="s">
        <v>2209</v>
      </c>
      <c r="N634" t="str">
        <f>_xlfn.XLOOKUP(Orders[[#This Row],[CustomerID]],Customers[CustomerID],Customers[CustomerName])</f>
        <v>Mustafa Igwe</v>
      </c>
      <c r="O634" t="str">
        <f>_xlfn.XLOOKUP(Orders[[#This Row],[CustomerID]],Customers[CustomerID],Customers[City])</f>
        <v>Texas</v>
      </c>
      <c r="P634" t="str">
        <f>_xlfn.XLOOKUP(Orders[[#This Row],[CustomerID]],Customers[CustomerID],Customers[Gender])</f>
        <v>Male</v>
      </c>
      <c r="Q634">
        <f>_xlfn.XLOOKUP(Orders[[#This Row],[CustomerID]],Customers[CustomerID],Customers[CustomerAge])</f>
        <v>27</v>
      </c>
      <c r="R634" t="str">
        <f>IF(Orders[[#This Row],[CustomerAge]]&gt;=35, "Older", "Young")</f>
        <v>Young</v>
      </c>
      <c r="S634" t="str">
        <f>_xlfn.XLOOKUP(Orders[[#This Row],[ProductID]],Products[ProductID],Products[ProductName])</f>
        <v>Gym Bag</v>
      </c>
      <c r="T634" t="str">
        <f>_xlfn.XLOOKUP(Orders[[#This Row],[ProductID]],Products[ProductID],Products[Category])</f>
        <v>Gym</v>
      </c>
    </row>
    <row r="635" spans="1:20" x14ac:dyDescent="0.25">
      <c r="A635" s="4" t="s">
        <v>822</v>
      </c>
      <c r="B635" s="5">
        <v>45978</v>
      </c>
      <c r="C635" s="15">
        <f>WEEKNUM(Orders[[#This Row],[OrderDate]])</f>
        <v>47</v>
      </c>
      <c r="D635" s="15" t="str">
        <f>TEXT(Orders[[#This Row],[OrderDate]],"mmmm")</f>
        <v>November</v>
      </c>
      <c r="E635" s="4" t="s">
        <v>521</v>
      </c>
      <c r="F635" s="4" t="s">
        <v>28</v>
      </c>
      <c r="G635" s="4">
        <v>6</v>
      </c>
      <c r="H635" s="12">
        <v>19322</v>
      </c>
      <c r="I635" s="13">
        <v>16423.7</v>
      </c>
      <c r="J635" s="13">
        <f>Orders[[#This Row],[Quantity]]*Orders[[#This Row],[Selling Price]]</f>
        <v>115932</v>
      </c>
      <c r="K635" s="13">
        <f>Orders[[#This Row],[Quantity]]*Orders[[#This Row],[Cost Price]]</f>
        <v>98542.200000000012</v>
      </c>
      <c r="L635" s="13">
        <f>Orders[[#This Row],[Revenue]]-Orders[[#This Row],[Expenses]]</f>
        <v>17389.799999999988</v>
      </c>
      <c r="M635" t="s">
        <v>2201</v>
      </c>
      <c r="N635" t="str">
        <f>_xlfn.XLOOKUP(Orders[[#This Row],[CustomerID]],Customers[CustomerID],Customers[CustomerName])</f>
        <v>Ronke Eze</v>
      </c>
      <c r="O635" t="str">
        <f>_xlfn.XLOOKUP(Orders[[#This Row],[CustomerID]],Customers[CustomerID],Customers[City])</f>
        <v>Illinois</v>
      </c>
      <c r="P635" t="str">
        <f>_xlfn.XLOOKUP(Orders[[#This Row],[CustomerID]],Customers[CustomerID],Customers[Gender])</f>
        <v>Female</v>
      </c>
      <c r="Q635">
        <f>_xlfn.XLOOKUP(Orders[[#This Row],[CustomerID]],Customers[CustomerID],Customers[CustomerAge])</f>
        <v>25</v>
      </c>
      <c r="R635" t="str">
        <f>IF(Orders[[#This Row],[CustomerAge]]&gt;=35, "Older", "Young")</f>
        <v>Young</v>
      </c>
      <c r="S635" t="str">
        <f>_xlfn.XLOOKUP(Orders[[#This Row],[ProductID]],Products[ProductID],Products[ProductName])</f>
        <v>Sneakers</v>
      </c>
      <c r="T635" t="str">
        <f>_xlfn.XLOOKUP(Orders[[#This Row],[ProductID]],Products[ProductID],Products[Category])</f>
        <v>Sports</v>
      </c>
    </row>
    <row r="636" spans="1:20" x14ac:dyDescent="0.25">
      <c r="A636" s="4" t="s">
        <v>823</v>
      </c>
      <c r="B636" s="5">
        <v>45997</v>
      </c>
      <c r="C636" s="15">
        <f>WEEKNUM(Orders[[#This Row],[OrderDate]])</f>
        <v>49</v>
      </c>
      <c r="D636" s="15" t="str">
        <f>TEXT(Orders[[#This Row],[OrderDate]],"mmmm")</f>
        <v>December</v>
      </c>
      <c r="E636" s="4" t="s">
        <v>17</v>
      </c>
      <c r="F636" s="4" t="s">
        <v>34</v>
      </c>
      <c r="G636" s="4">
        <v>6</v>
      </c>
      <c r="H636" s="12">
        <v>17910.400000000001</v>
      </c>
      <c r="I636" s="13">
        <v>15223.840000000002</v>
      </c>
      <c r="J636" s="13">
        <f>Orders[[#This Row],[Quantity]]*Orders[[#This Row],[Selling Price]]</f>
        <v>107462.40000000001</v>
      </c>
      <c r="K636" s="13">
        <f>Orders[[#This Row],[Quantity]]*Orders[[#This Row],[Cost Price]]</f>
        <v>91343.040000000008</v>
      </c>
      <c r="L636" s="13">
        <f>Orders[[#This Row],[Revenue]]-Orders[[#This Row],[Expenses]]</f>
        <v>16119.36</v>
      </c>
      <c r="M636" t="s">
        <v>2213</v>
      </c>
      <c r="N636" t="str">
        <f>_xlfn.XLOOKUP(Orders[[#This Row],[CustomerID]],Customers[CustomerID],Customers[CustomerName])</f>
        <v>Bisi Adeyemi</v>
      </c>
      <c r="O636" t="str">
        <f>_xlfn.XLOOKUP(Orders[[#This Row],[CustomerID]],Customers[CustomerID],Customers[City])</f>
        <v>Illinois</v>
      </c>
      <c r="P636" t="str">
        <f>_xlfn.XLOOKUP(Orders[[#This Row],[CustomerID]],Customers[CustomerID],Customers[Gender])</f>
        <v>Female</v>
      </c>
      <c r="Q636">
        <f>_xlfn.XLOOKUP(Orders[[#This Row],[CustomerID]],Customers[CustomerID],Customers[CustomerAge])</f>
        <v>48</v>
      </c>
      <c r="R636" t="str">
        <f>IF(Orders[[#This Row],[CustomerAge]]&gt;=35, "Older", "Young")</f>
        <v>Older</v>
      </c>
      <c r="S636" t="str">
        <f>_xlfn.XLOOKUP(Orders[[#This Row],[ProductID]],Products[ProductID],Products[ProductName])</f>
        <v>Gold Bracelets</v>
      </c>
      <c r="T636" t="str">
        <f>_xlfn.XLOOKUP(Orders[[#This Row],[ProductID]],Products[ProductID],Products[Category])</f>
        <v>Accessories</v>
      </c>
    </row>
    <row r="637" spans="1:20" x14ac:dyDescent="0.25">
      <c r="A637" s="4" t="s">
        <v>824</v>
      </c>
      <c r="B637" s="5">
        <v>46001</v>
      </c>
      <c r="C637" s="15">
        <f>WEEKNUM(Orders[[#This Row],[OrderDate]])</f>
        <v>50</v>
      </c>
      <c r="D637" s="15" t="str">
        <f>TEXT(Orders[[#This Row],[OrderDate]],"mmmm")</f>
        <v>December</v>
      </c>
      <c r="E637" s="4" t="s">
        <v>210</v>
      </c>
      <c r="F637" s="4" t="s">
        <v>127</v>
      </c>
      <c r="G637" s="4">
        <v>5</v>
      </c>
      <c r="H637" s="12">
        <v>18209.100000000002</v>
      </c>
      <c r="I637" s="13">
        <v>15477.735000000002</v>
      </c>
      <c r="J637" s="13">
        <f>Orders[[#This Row],[Quantity]]*Orders[[#This Row],[Selling Price]]</f>
        <v>91045.500000000015</v>
      </c>
      <c r="K637" s="13">
        <f>Orders[[#This Row],[Quantity]]*Orders[[#This Row],[Cost Price]]</f>
        <v>77388.675000000017</v>
      </c>
      <c r="L637" s="13">
        <f>Orders[[#This Row],[Revenue]]-Orders[[#This Row],[Expenses]]</f>
        <v>13656.824999999997</v>
      </c>
      <c r="M637" t="s">
        <v>2204</v>
      </c>
      <c r="N637" t="str">
        <f>_xlfn.XLOOKUP(Orders[[#This Row],[CustomerID]],Customers[CustomerID],Customers[CustomerName])</f>
        <v>Zainab Bello</v>
      </c>
      <c r="O637" t="str">
        <f>_xlfn.XLOOKUP(Orders[[#This Row],[CustomerID]],Customers[CustomerID],Customers[City])</f>
        <v>Illinois</v>
      </c>
      <c r="P637" t="str">
        <f>_xlfn.XLOOKUP(Orders[[#This Row],[CustomerID]],Customers[CustomerID],Customers[Gender])</f>
        <v>Female</v>
      </c>
      <c r="Q637">
        <f>_xlfn.XLOOKUP(Orders[[#This Row],[CustomerID]],Customers[CustomerID],Customers[CustomerAge])</f>
        <v>27</v>
      </c>
      <c r="R637" t="str">
        <f>IF(Orders[[#This Row],[CustomerAge]]&gt;=35, "Older", "Young")</f>
        <v>Young</v>
      </c>
      <c r="S637" t="str">
        <f>_xlfn.XLOOKUP(Orders[[#This Row],[ProductID]],Products[ProductID],Products[ProductName])</f>
        <v>Tops</v>
      </c>
      <c r="T637" t="str">
        <f>_xlfn.XLOOKUP(Orders[[#This Row],[ProductID]],Products[ProductID],Products[Category])</f>
        <v>Clothing</v>
      </c>
    </row>
    <row r="638" spans="1:20" x14ac:dyDescent="0.25">
      <c r="A638" s="4" t="s">
        <v>825</v>
      </c>
      <c r="B638" s="5">
        <v>45971</v>
      </c>
      <c r="C638" s="15">
        <f>WEEKNUM(Orders[[#This Row],[OrderDate]])</f>
        <v>46</v>
      </c>
      <c r="D638" s="15" t="str">
        <f>TEXT(Orders[[#This Row],[OrderDate]],"mmmm")</f>
        <v>November</v>
      </c>
      <c r="E638" s="4" t="s">
        <v>146</v>
      </c>
      <c r="F638" s="4" t="s">
        <v>23</v>
      </c>
      <c r="G638" s="4">
        <v>1</v>
      </c>
      <c r="H638" s="12">
        <v>8403.6</v>
      </c>
      <c r="I638" s="13">
        <v>7143.06</v>
      </c>
      <c r="J638" s="13">
        <f>Orders[[#This Row],[Quantity]]*Orders[[#This Row],[Selling Price]]</f>
        <v>8403.6</v>
      </c>
      <c r="K638" s="13">
        <f>Orders[[#This Row],[Quantity]]*Orders[[#This Row],[Cost Price]]</f>
        <v>7143.06</v>
      </c>
      <c r="L638" s="13">
        <f>Orders[[#This Row],[Revenue]]-Orders[[#This Row],[Expenses]]</f>
        <v>1260.54</v>
      </c>
      <c r="M638" t="s">
        <v>2202</v>
      </c>
      <c r="N638" t="str">
        <f>_xlfn.XLOOKUP(Orders[[#This Row],[CustomerID]],Customers[CustomerID],Customers[CustomerName])</f>
        <v>Mustafa Igwe</v>
      </c>
      <c r="O638" t="str">
        <f>_xlfn.XLOOKUP(Orders[[#This Row],[CustomerID]],Customers[CustomerID],Customers[City])</f>
        <v>Texas</v>
      </c>
      <c r="P638" t="str">
        <f>_xlfn.XLOOKUP(Orders[[#This Row],[CustomerID]],Customers[CustomerID],Customers[Gender])</f>
        <v>Male</v>
      </c>
      <c r="Q638">
        <f>_xlfn.XLOOKUP(Orders[[#This Row],[CustomerID]],Customers[CustomerID],Customers[CustomerAge])</f>
        <v>27</v>
      </c>
      <c r="R638" t="str">
        <f>IF(Orders[[#This Row],[CustomerAge]]&gt;=35, "Older", "Young")</f>
        <v>Young</v>
      </c>
      <c r="S638" t="str">
        <f>_xlfn.XLOOKUP(Orders[[#This Row],[ProductID]],Products[ProductID],Products[ProductName])</f>
        <v>Gym Gloves</v>
      </c>
      <c r="T638" t="str">
        <f>_xlfn.XLOOKUP(Orders[[#This Row],[ProductID]],Products[ProductID],Products[Category])</f>
        <v>Gym</v>
      </c>
    </row>
    <row r="639" spans="1:20" x14ac:dyDescent="0.25">
      <c r="A639" s="4" t="s">
        <v>826</v>
      </c>
      <c r="B639" s="5">
        <v>45967</v>
      </c>
      <c r="C639" s="15">
        <f>WEEKNUM(Orders[[#This Row],[OrderDate]])</f>
        <v>45</v>
      </c>
      <c r="D639" s="15" t="str">
        <f>TEXT(Orders[[#This Row],[OrderDate]],"mmmm")</f>
        <v>November</v>
      </c>
      <c r="E639" s="4" t="s">
        <v>307</v>
      </c>
      <c r="F639" s="4" t="s">
        <v>120</v>
      </c>
      <c r="G639" s="4">
        <v>2</v>
      </c>
      <c r="H639" s="12">
        <v>19378</v>
      </c>
      <c r="I639" s="13">
        <v>16471.3</v>
      </c>
      <c r="J639" s="13">
        <f>Orders[[#This Row],[Quantity]]*Orders[[#This Row],[Selling Price]]</f>
        <v>38756</v>
      </c>
      <c r="K639" s="13">
        <f>Orders[[#This Row],[Quantity]]*Orders[[#This Row],[Cost Price]]</f>
        <v>32942.6</v>
      </c>
      <c r="L639" s="13">
        <f>Orders[[#This Row],[Revenue]]-Orders[[#This Row],[Expenses]]</f>
        <v>5813.4000000000015</v>
      </c>
      <c r="M639" t="s">
        <v>2192</v>
      </c>
      <c r="N639" t="str">
        <f>_xlfn.XLOOKUP(Orders[[#This Row],[CustomerID]],Customers[CustomerID],Customers[CustomerName])</f>
        <v>Adanma Bello</v>
      </c>
      <c r="O639" t="str">
        <f>_xlfn.XLOOKUP(Orders[[#This Row],[CustomerID]],Customers[CustomerID],Customers[City])</f>
        <v>Illinois</v>
      </c>
      <c r="P639" t="str">
        <f>_xlfn.XLOOKUP(Orders[[#This Row],[CustomerID]],Customers[CustomerID],Customers[Gender])</f>
        <v>Female</v>
      </c>
      <c r="Q639">
        <f>_xlfn.XLOOKUP(Orders[[#This Row],[CustomerID]],Customers[CustomerID],Customers[CustomerAge])</f>
        <v>51</v>
      </c>
      <c r="R639" t="str">
        <f>IF(Orders[[#This Row],[CustomerAge]]&gt;=35, "Older", "Young")</f>
        <v>Older</v>
      </c>
      <c r="S639" t="str">
        <f>_xlfn.XLOOKUP(Orders[[#This Row],[ProductID]],Products[ProductID],Products[ProductName])</f>
        <v>Chess</v>
      </c>
      <c r="T639" t="str">
        <f>_xlfn.XLOOKUP(Orders[[#This Row],[ProductID]],Products[ProductID],Products[Category])</f>
        <v>Games</v>
      </c>
    </row>
    <row r="640" spans="1:20" x14ac:dyDescent="0.25">
      <c r="A640" s="4" t="s">
        <v>827</v>
      </c>
      <c r="B640" s="5">
        <v>46007</v>
      </c>
      <c r="C640" s="15">
        <f>WEEKNUM(Orders[[#This Row],[OrderDate]])</f>
        <v>51</v>
      </c>
      <c r="D640" s="15" t="str">
        <f>TEXT(Orders[[#This Row],[OrderDate]],"mmmm")</f>
        <v>December</v>
      </c>
      <c r="E640" s="4" t="s">
        <v>386</v>
      </c>
      <c r="F640" s="4" t="s">
        <v>46</v>
      </c>
      <c r="G640" s="4">
        <v>7</v>
      </c>
      <c r="H640" s="12">
        <v>1378.8999999999999</v>
      </c>
      <c r="I640" s="13">
        <v>1172.0649999999998</v>
      </c>
      <c r="J640" s="13">
        <f>Orders[[#This Row],[Quantity]]*Orders[[#This Row],[Selling Price]]</f>
        <v>9652.2999999999993</v>
      </c>
      <c r="K640" s="13">
        <f>Orders[[#This Row],[Quantity]]*Orders[[#This Row],[Cost Price]]</f>
        <v>8204.4549999999981</v>
      </c>
      <c r="L640" s="13">
        <f>Orders[[#This Row],[Revenue]]-Orders[[#This Row],[Expenses]]</f>
        <v>1447.8450000000012</v>
      </c>
      <c r="M640" t="s">
        <v>2193</v>
      </c>
      <c r="N640" t="str">
        <f>_xlfn.XLOOKUP(Orders[[#This Row],[CustomerID]],Customers[CustomerID],Customers[CustomerName])</f>
        <v>Chinedu Eze</v>
      </c>
      <c r="O640" t="str">
        <f>_xlfn.XLOOKUP(Orders[[#This Row],[CustomerID]],Customers[CustomerID],Customers[City])</f>
        <v>Washington</v>
      </c>
      <c r="P640" t="str">
        <f>_xlfn.XLOOKUP(Orders[[#This Row],[CustomerID]],Customers[CustomerID],Customers[Gender])</f>
        <v>Male</v>
      </c>
      <c r="Q640">
        <f>_xlfn.XLOOKUP(Orders[[#This Row],[CustomerID]],Customers[CustomerID],Customers[CustomerAge])</f>
        <v>32</v>
      </c>
      <c r="R640" t="str">
        <f>IF(Orders[[#This Row],[CustomerAge]]&gt;=35, "Older", "Young")</f>
        <v>Young</v>
      </c>
      <c r="S640" t="str">
        <f>_xlfn.XLOOKUP(Orders[[#This Row],[ProductID]],Products[ProductID],Products[ProductName])</f>
        <v>Turtle Neck</v>
      </c>
      <c r="T640" t="str">
        <f>_xlfn.XLOOKUP(Orders[[#This Row],[ProductID]],Products[ProductID],Products[Category])</f>
        <v>Clothing</v>
      </c>
    </row>
    <row r="641" spans="1:20" x14ac:dyDescent="0.25">
      <c r="A641" s="4" t="s">
        <v>828</v>
      </c>
      <c r="B641" s="5">
        <v>45962</v>
      </c>
      <c r="C641" s="15">
        <f>WEEKNUM(Orders[[#This Row],[OrderDate]])</f>
        <v>44</v>
      </c>
      <c r="D641" s="15" t="str">
        <f>TEXT(Orders[[#This Row],[OrderDate]],"mmmm")</f>
        <v>November</v>
      </c>
      <c r="E641" s="4" t="s">
        <v>161</v>
      </c>
      <c r="F641" s="4" t="s">
        <v>168</v>
      </c>
      <c r="G641" s="4">
        <v>9</v>
      </c>
      <c r="H641" s="12">
        <v>11660</v>
      </c>
      <c r="I641" s="13">
        <v>9911</v>
      </c>
      <c r="J641" s="13">
        <f>Orders[[#This Row],[Quantity]]*Orders[[#This Row],[Selling Price]]</f>
        <v>104940</v>
      </c>
      <c r="K641" s="13">
        <f>Orders[[#This Row],[Quantity]]*Orders[[#This Row],[Cost Price]]</f>
        <v>89199</v>
      </c>
      <c r="L641" s="13">
        <f>Orders[[#This Row],[Revenue]]-Orders[[#This Row],[Expenses]]</f>
        <v>15741</v>
      </c>
      <c r="M641" t="s">
        <v>2195</v>
      </c>
      <c r="N641" t="str">
        <f>_xlfn.XLOOKUP(Orders[[#This Row],[CustomerID]],Customers[CustomerID],Customers[CustomerName])</f>
        <v>Okon Adeyemi</v>
      </c>
      <c r="O641" t="str">
        <f>_xlfn.XLOOKUP(Orders[[#This Row],[CustomerID]],Customers[CustomerID],Customers[City])</f>
        <v>Georgia</v>
      </c>
      <c r="P641" t="str">
        <f>_xlfn.XLOOKUP(Orders[[#This Row],[CustomerID]],Customers[CustomerID],Customers[Gender])</f>
        <v>Male</v>
      </c>
      <c r="Q641">
        <f>_xlfn.XLOOKUP(Orders[[#This Row],[CustomerID]],Customers[CustomerID],Customers[CustomerAge])</f>
        <v>31</v>
      </c>
      <c r="R641" t="str">
        <f>IF(Orders[[#This Row],[CustomerAge]]&gt;=35, "Older", "Young")</f>
        <v>Young</v>
      </c>
      <c r="S641" t="str">
        <f>_xlfn.XLOOKUP(Orders[[#This Row],[ProductID]],Products[ProductID],Products[ProductName])</f>
        <v>Dumb Bells</v>
      </c>
      <c r="T641" t="str">
        <f>_xlfn.XLOOKUP(Orders[[#This Row],[ProductID]],Products[ProductID],Products[Category])</f>
        <v>Gym</v>
      </c>
    </row>
    <row r="642" spans="1:20" x14ac:dyDescent="0.25">
      <c r="A642" s="4" t="s">
        <v>829</v>
      </c>
      <c r="B642" s="5">
        <v>46004</v>
      </c>
      <c r="C642" s="15">
        <f>WEEKNUM(Orders[[#This Row],[OrderDate]])</f>
        <v>50</v>
      </c>
      <c r="D642" s="15" t="str">
        <f>TEXT(Orders[[#This Row],[OrderDate]],"mmmm")</f>
        <v>December</v>
      </c>
      <c r="E642" s="4" t="s">
        <v>374</v>
      </c>
      <c r="F642" s="4" t="s">
        <v>84</v>
      </c>
      <c r="G642" s="4">
        <v>2</v>
      </c>
      <c r="H642" s="12">
        <v>1350.6</v>
      </c>
      <c r="I642" s="13">
        <v>1148.01</v>
      </c>
      <c r="J642" s="13">
        <f>Orders[[#This Row],[Quantity]]*Orders[[#This Row],[Selling Price]]</f>
        <v>2701.2</v>
      </c>
      <c r="K642" s="13">
        <f>Orders[[#This Row],[Quantity]]*Orders[[#This Row],[Cost Price]]</f>
        <v>2296.02</v>
      </c>
      <c r="L642" s="13">
        <f>Orders[[#This Row],[Revenue]]-Orders[[#This Row],[Expenses]]</f>
        <v>405.17999999999984</v>
      </c>
      <c r="M642" t="s">
        <v>2193</v>
      </c>
      <c r="N642" t="str">
        <f>_xlfn.XLOOKUP(Orders[[#This Row],[CustomerID]],Customers[CustomerID],Customers[CustomerName])</f>
        <v>Uche Okonkwo</v>
      </c>
      <c r="O642" t="str">
        <f>_xlfn.XLOOKUP(Orders[[#This Row],[CustomerID]],Customers[CustomerID],Customers[City])</f>
        <v>Texas</v>
      </c>
      <c r="P642" t="str">
        <f>_xlfn.XLOOKUP(Orders[[#This Row],[CustomerID]],Customers[CustomerID],Customers[Gender])</f>
        <v>Male</v>
      </c>
      <c r="Q642">
        <f>_xlfn.XLOOKUP(Orders[[#This Row],[CustomerID]],Customers[CustomerID],Customers[CustomerAge])</f>
        <v>27</v>
      </c>
      <c r="R642" t="str">
        <f>IF(Orders[[#This Row],[CustomerAge]]&gt;=35, "Older", "Young")</f>
        <v>Young</v>
      </c>
      <c r="S642" t="str">
        <f>_xlfn.XLOOKUP(Orders[[#This Row],[ProductID]],Products[ProductID],Products[ProductName])</f>
        <v>Gym Wears</v>
      </c>
      <c r="T642" t="str">
        <f>_xlfn.XLOOKUP(Orders[[#This Row],[ProductID]],Products[ProductID],Products[Category])</f>
        <v>Clothing</v>
      </c>
    </row>
    <row r="643" spans="1:20" x14ac:dyDescent="0.25">
      <c r="A643" s="4" t="s">
        <v>830</v>
      </c>
      <c r="B643" s="5">
        <v>45938</v>
      </c>
      <c r="C643" s="15">
        <f>WEEKNUM(Orders[[#This Row],[OrderDate]])</f>
        <v>41</v>
      </c>
      <c r="D643" s="15" t="str">
        <f>TEXT(Orders[[#This Row],[OrderDate]],"mmmm")</f>
        <v>October</v>
      </c>
      <c r="E643" s="4" t="s">
        <v>514</v>
      </c>
      <c r="F643" s="4" t="s">
        <v>76</v>
      </c>
      <c r="G643" s="4">
        <v>8</v>
      </c>
      <c r="H643" s="12">
        <v>18209.599999999999</v>
      </c>
      <c r="I643" s="13">
        <v>15478.16</v>
      </c>
      <c r="J643" s="13">
        <f>Orders[[#This Row],[Quantity]]*Orders[[#This Row],[Selling Price]]</f>
        <v>145676.79999999999</v>
      </c>
      <c r="K643" s="13">
        <f>Orders[[#This Row],[Quantity]]*Orders[[#This Row],[Cost Price]]</f>
        <v>123825.28</v>
      </c>
      <c r="L643" s="13">
        <f>Orders[[#This Row],[Revenue]]-Orders[[#This Row],[Expenses]]</f>
        <v>21851.51999999999</v>
      </c>
      <c r="M643" t="s">
        <v>2220</v>
      </c>
      <c r="N643" t="str">
        <f>_xlfn.XLOOKUP(Orders[[#This Row],[CustomerID]],Customers[CustomerID],Customers[CustomerName])</f>
        <v>Ibrahim Okonkwo</v>
      </c>
      <c r="O643" t="str">
        <f>_xlfn.XLOOKUP(Orders[[#This Row],[CustomerID]],Customers[CustomerID],Customers[City])</f>
        <v>Florida</v>
      </c>
      <c r="P643" t="str">
        <f>_xlfn.XLOOKUP(Orders[[#This Row],[CustomerID]],Customers[CustomerID],Customers[Gender])</f>
        <v>Male</v>
      </c>
      <c r="Q643">
        <f>_xlfn.XLOOKUP(Orders[[#This Row],[CustomerID]],Customers[CustomerID],Customers[CustomerAge])</f>
        <v>28</v>
      </c>
      <c r="R643" t="str">
        <f>IF(Orders[[#This Row],[CustomerAge]]&gt;=35, "Older", "Young")</f>
        <v>Young</v>
      </c>
      <c r="S643" t="str">
        <f>_xlfn.XLOOKUP(Orders[[#This Row],[ProductID]],Products[ProductID],Products[ProductName])</f>
        <v>Blender</v>
      </c>
      <c r="T643" t="str">
        <f>_xlfn.XLOOKUP(Orders[[#This Row],[ProductID]],Products[ProductID],Products[Category])</f>
        <v>Electronics</v>
      </c>
    </row>
    <row r="644" spans="1:20" x14ac:dyDescent="0.25">
      <c r="A644" s="4" t="s">
        <v>831</v>
      </c>
      <c r="B644" s="5">
        <v>45973</v>
      </c>
      <c r="C644" s="15">
        <f>WEEKNUM(Orders[[#This Row],[OrderDate]])</f>
        <v>46</v>
      </c>
      <c r="D644" s="15" t="str">
        <f>TEXT(Orders[[#This Row],[OrderDate]],"mmmm")</f>
        <v>November</v>
      </c>
      <c r="E644" s="4" t="s">
        <v>176</v>
      </c>
      <c r="F644" s="4" t="s">
        <v>34</v>
      </c>
      <c r="G644" s="4">
        <v>4</v>
      </c>
      <c r="H644" s="12">
        <v>7502.7999999999993</v>
      </c>
      <c r="I644" s="13">
        <v>6377.3799999999992</v>
      </c>
      <c r="J644" s="13">
        <f>Orders[[#This Row],[Quantity]]*Orders[[#This Row],[Selling Price]]</f>
        <v>30011.199999999997</v>
      </c>
      <c r="K644" s="13">
        <f>Orders[[#This Row],[Quantity]]*Orders[[#This Row],[Cost Price]]</f>
        <v>25509.519999999997</v>
      </c>
      <c r="L644" s="13">
        <f>Orders[[#This Row],[Revenue]]-Orders[[#This Row],[Expenses]]</f>
        <v>4501.68</v>
      </c>
      <c r="M644" t="s">
        <v>2208</v>
      </c>
      <c r="N644" t="str">
        <f>_xlfn.XLOOKUP(Orders[[#This Row],[CustomerID]],Customers[CustomerID],Customers[CustomerName])</f>
        <v>Okon Eze</v>
      </c>
      <c r="O644" t="str">
        <f>_xlfn.XLOOKUP(Orders[[#This Row],[CustomerID]],Customers[CustomerID],Customers[City])</f>
        <v>Florida</v>
      </c>
      <c r="P644" t="str">
        <f>_xlfn.XLOOKUP(Orders[[#This Row],[CustomerID]],Customers[CustomerID],Customers[Gender])</f>
        <v>Male</v>
      </c>
      <c r="Q644">
        <f>_xlfn.XLOOKUP(Orders[[#This Row],[CustomerID]],Customers[CustomerID],Customers[CustomerAge])</f>
        <v>26</v>
      </c>
      <c r="R644" t="str">
        <f>IF(Orders[[#This Row],[CustomerAge]]&gt;=35, "Older", "Young")</f>
        <v>Young</v>
      </c>
      <c r="S644" t="str">
        <f>_xlfn.XLOOKUP(Orders[[#This Row],[ProductID]],Products[ProductID],Products[ProductName])</f>
        <v>Gold Bracelets</v>
      </c>
      <c r="T644" t="str">
        <f>_xlfn.XLOOKUP(Orders[[#This Row],[ProductID]],Products[ProductID],Products[Category])</f>
        <v>Accessories</v>
      </c>
    </row>
    <row r="645" spans="1:20" x14ac:dyDescent="0.25">
      <c r="A645" s="4" t="s">
        <v>832</v>
      </c>
      <c r="B645" s="5">
        <v>45962</v>
      </c>
      <c r="C645" s="15">
        <f>WEEKNUM(Orders[[#This Row],[OrderDate]])</f>
        <v>44</v>
      </c>
      <c r="D645" s="15" t="str">
        <f>TEXT(Orders[[#This Row],[OrderDate]],"mmmm")</f>
        <v>November</v>
      </c>
      <c r="E645" s="4" t="s">
        <v>833</v>
      </c>
      <c r="F645" s="4" t="s">
        <v>81</v>
      </c>
      <c r="G645" s="4">
        <v>2</v>
      </c>
      <c r="H645" s="12">
        <v>15249</v>
      </c>
      <c r="I645" s="13">
        <v>12961.65</v>
      </c>
      <c r="J645" s="13">
        <f>Orders[[#This Row],[Quantity]]*Orders[[#This Row],[Selling Price]]</f>
        <v>30498</v>
      </c>
      <c r="K645" s="13">
        <f>Orders[[#This Row],[Quantity]]*Orders[[#This Row],[Cost Price]]</f>
        <v>25923.3</v>
      </c>
      <c r="L645" s="13">
        <f>Orders[[#This Row],[Revenue]]-Orders[[#This Row],[Expenses]]</f>
        <v>4574.7000000000007</v>
      </c>
      <c r="M645" t="s">
        <v>2196</v>
      </c>
      <c r="N645" t="str">
        <f>_xlfn.XLOOKUP(Orders[[#This Row],[CustomerID]],Customers[CustomerID],Customers[CustomerName])</f>
        <v>Abiola Adeyemi</v>
      </c>
      <c r="O645" t="str">
        <f>_xlfn.XLOOKUP(Orders[[#This Row],[CustomerID]],Customers[CustomerID],Customers[City])</f>
        <v>Washington</v>
      </c>
      <c r="P645" t="str">
        <f>_xlfn.XLOOKUP(Orders[[#This Row],[CustomerID]],Customers[CustomerID],Customers[Gender])</f>
        <v>Male</v>
      </c>
      <c r="Q645">
        <f>_xlfn.XLOOKUP(Orders[[#This Row],[CustomerID]],Customers[CustomerID],Customers[CustomerAge])</f>
        <v>53</v>
      </c>
      <c r="R645" t="str">
        <f>IF(Orders[[#This Row],[CustomerAge]]&gt;=35, "Older", "Young")</f>
        <v>Older</v>
      </c>
      <c r="S645" t="str">
        <f>_xlfn.XLOOKUP(Orders[[#This Row],[ProductID]],Products[ProductID],Products[ProductName])</f>
        <v>Trousers</v>
      </c>
      <c r="T645" t="str">
        <f>_xlfn.XLOOKUP(Orders[[#This Row],[ProductID]],Products[ProductID],Products[Category])</f>
        <v>Clothing</v>
      </c>
    </row>
    <row r="646" spans="1:20" x14ac:dyDescent="0.25">
      <c r="A646" s="4" t="s">
        <v>834</v>
      </c>
      <c r="B646" s="5">
        <v>45939</v>
      </c>
      <c r="C646" s="15">
        <f>WEEKNUM(Orders[[#This Row],[OrderDate]])</f>
        <v>41</v>
      </c>
      <c r="D646" s="15" t="str">
        <f>TEXT(Orders[[#This Row],[OrderDate]],"mmmm")</f>
        <v>October</v>
      </c>
      <c r="E646" s="4" t="s">
        <v>116</v>
      </c>
      <c r="F646" s="4" t="s">
        <v>23</v>
      </c>
      <c r="G646" s="4">
        <v>6</v>
      </c>
      <c r="H646" s="12">
        <v>17607.099999999999</v>
      </c>
      <c r="I646" s="13">
        <v>14966.035</v>
      </c>
      <c r="J646" s="13">
        <f>Orders[[#This Row],[Quantity]]*Orders[[#This Row],[Selling Price]]</f>
        <v>105642.59999999999</v>
      </c>
      <c r="K646" s="13">
        <f>Orders[[#This Row],[Quantity]]*Orders[[#This Row],[Cost Price]]</f>
        <v>89796.209999999992</v>
      </c>
      <c r="L646" s="13">
        <f>Orders[[#This Row],[Revenue]]-Orders[[#This Row],[Expenses]]</f>
        <v>15846.39</v>
      </c>
      <c r="M646" t="s">
        <v>2203</v>
      </c>
      <c r="N646" t="str">
        <f>_xlfn.XLOOKUP(Orders[[#This Row],[CustomerID]],Customers[CustomerID],Customers[CustomerName])</f>
        <v>Uche Bello</v>
      </c>
      <c r="O646" t="str">
        <f>_xlfn.XLOOKUP(Orders[[#This Row],[CustomerID]],Customers[CustomerID],Customers[City])</f>
        <v>Texas</v>
      </c>
      <c r="P646" t="str">
        <f>_xlfn.XLOOKUP(Orders[[#This Row],[CustomerID]],Customers[CustomerID],Customers[Gender])</f>
        <v>Male</v>
      </c>
      <c r="Q646">
        <f>_xlfn.XLOOKUP(Orders[[#This Row],[CustomerID]],Customers[CustomerID],Customers[CustomerAge])</f>
        <v>21</v>
      </c>
      <c r="R646" t="str">
        <f>IF(Orders[[#This Row],[CustomerAge]]&gt;=35, "Older", "Young")</f>
        <v>Young</v>
      </c>
      <c r="S646" t="str">
        <f>_xlfn.XLOOKUP(Orders[[#This Row],[ProductID]],Products[ProductID],Products[ProductName])</f>
        <v>Gym Gloves</v>
      </c>
      <c r="T646" t="str">
        <f>_xlfn.XLOOKUP(Orders[[#This Row],[ProductID]],Products[ProductID],Products[Category])</f>
        <v>Gym</v>
      </c>
    </row>
    <row r="647" spans="1:20" x14ac:dyDescent="0.25">
      <c r="A647" s="4" t="s">
        <v>835</v>
      </c>
      <c r="B647" s="5">
        <v>45937</v>
      </c>
      <c r="C647" s="15">
        <f>WEEKNUM(Orders[[#This Row],[OrderDate]])</f>
        <v>41</v>
      </c>
      <c r="D647" s="15" t="str">
        <f>TEXT(Orders[[#This Row],[OrderDate]],"mmmm")</f>
        <v>October</v>
      </c>
      <c r="E647" s="4" t="s">
        <v>80</v>
      </c>
      <c r="F647" s="4" t="s">
        <v>15</v>
      </c>
      <c r="G647" s="4">
        <v>8</v>
      </c>
      <c r="H647" s="12">
        <v>15002.3</v>
      </c>
      <c r="I647" s="13">
        <v>12751.955</v>
      </c>
      <c r="J647" s="13">
        <f>Orders[[#This Row],[Quantity]]*Orders[[#This Row],[Selling Price]]</f>
        <v>120018.4</v>
      </c>
      <c r="K647" s="13">
        <f>Orders[[#This Row],[Quantity]]*Orders[[#This Row],[Cost Price]]</f>
        <v>102015.64</v>
      </c>
      <c r="L647" s="13">
        <f>Orders[[#This Row],[Revenue]]-Orders[[#This Row],[Expenses]]</f>
        <v>18002.759999999995</v>
      </c>
      <c r="M647" t="s">
        <v>2199</v>
      </c>
      <c r="N647" t="str">
        <f>_xlfn.XLOOKUP(Orders[[#This Row],[CustomerID]],Customers[CustomerID],Customers[CustomerName])</f>
        <v>Sani Ojo</v>
      </c>
      <c r="O647" t="str">
        <f>_xlfn.XLOOKUP(Orders[[#This Row],[CustomerID]],Customers[CustomerID],Customers[City])</f>
        <v>Texas</v>
      </c>
      <c r="P647" t="str">
        <f>_xlfn.XLOOKUP(Orders[[#This Row],[CustomerID]],Customers[CustomerID],Customers[Gender])</f>
        <v>Male</v>
      </c>
      <c r="Q647">
        <f>_xlfn.XLOOKUP(Orders[[#This Row],[CustomerID]],Customers[CustomerID],Customers[CustomerAge])</f>
        <v>35</v>
      </c>
      <c r="R647" t="str">
        <f>IF(Orders[[#This Row],[CustomerAge]]&gt;=35, "Older", "Young")</f>
        <v>Older</v>
      </c>
      <c r="S647" t="str">
        <f>_xlfn.XLOOKUP(Orders[[#This Row],[ProductID]],Products[ProductID],Products[ProductName])</f>
        <v>Monopoly</v>
      </c>
      <c r="T647" t="str">
        <f>_xlfn.XLOOKUP(Orders[[#This Row],[ProductID]],Products[ProductID],Products[Category])</f>
        <v>Games</v>
      </c>
    </row>
    <row r="648" spans="1:20" x14ac:dyDescent="0.25">
      <c r="A648" s="4" t="s">
        <v>836</v>
      </c>
      <c r="B648" s="5">
        <v>45953</v>
      </c>
      <c r="C648" s="15">
        <f>WEEKNUM(Orders[[#This Row],[OrderDate]])</f>
        <v>43</v>
      </c>
      <c r="D648" s="15" t="str">
        <f>TEXT(Orders[[#This Row],[OrderDate]],"mmmm")</f>
        <v>October</v>
      </c>
      <c r="E648" s="4" t="s">
        <v>514</v>
      </c>
      <c r="F648" s="4" t="s">
        <v>84</v>
      </c>
      <c r="G648" s="4">
        <v>10</v>
      </c>
      <c r="H648" s="12">
        <v>16921</v>
      </c>
      <c r="I648" s="13">
        <v>14382.85</v>
      </c>
      <c r="J648" s="13">
        <f>Orders[[#This Row],[Quantity]]*Orders[[#This Row],[Selling Price]]</f>
        <v>169210</v>
      </c>
      <c r="K648" s="13">
        <f>Orders[[#This Row],[Quantity]]*Orders[[#This Row],[Cost Price]]</f>
        <v>143828.5</v>
      </c>
      <c r="L648" s="13">
        <f>Orders[[#This Row],[Revenue]]-Orders[[#This Row],[Expenses]]</f>
        <v>25381.5</v>
      </c>
      <c r="M648" t="s">
        <v>2219</v>
      </c>
      <c r="N648" t="str">
        <f>_xlfn.XLOOKUP(Orders[[#This Row],[CustomerID]],Customers[CustomerID],Customers[CustomerName])</f>
        <v>Ibrahim Okonkwo</v>
      </c>
      <c r="O648" t="str">
        <f>_xlfn.XLOOKUP(Orders[[#This Row],[CustomerID]],Customers[CustomerID],Customers[City])</f>
        <v>Florida</v>
      </c>
      <c r="P648" t="str">
        <f>_xlfn.XLOOKUP(Orders[[#This Row],[CustomerID]],Customers[CustomerID],Customers[Gender])</f>
        <v>Male</v>
      </c>
      <c r="Q648">
        <f>_xlfn.XLOOKUP(Orders[[#This Row],[CustomerID]],Customers[CustomerID],Customers[CustomerAge])</f>
        <v>28</v>
      </c>
      <c r="R648" t="str">
        <f>IF(Orders[[#This Row],[CustomerAge]]&gt;=35, "Older", "Young")</f>
        <v>Young</v>
      </c>
      <c r="S648" t="str">
        <f>_xlfn.XLOOKUP(Orders[[#This Row],[ProductID]],Products[ProductID],Products[ProductName])</f>
        <v>Gym Wears</v>
      </c>
      <c r="T648" t="str">
        <f>_xlfn.XLOOKUP(Orders[[#This Row],[ProductID]],Products[ProductID],Products[Category])</f>
        <v>Clothing</v>
      </c>
    </row>
    <row r="649" spans="1:20" x14ac:dyDescent="0.25">
      <c r="A649" s="4" t="s">
        <v>837</v>
      </c>
      <c r="B649" s="5">
        <v>45933</v>
      </c>
      <c r="C649" s="15">
        <f>WEEKNUM(Orders[[#This Row],[OrderDate]])</f>
        <v>40</v>
      </c>
      <c r="D649" s="15" t="str">
        <f>TEXT(Orders[[#This Row],[OrderDate]],"mmmm")</f>
        <v>October</v>
      </c>
      <c r="E649" s="4" t="s">
        <v>198</v>
      </c>
      <c r="F649" s="4" t="s">
        <v>31</v>
      </c>
      <c r="G649" s="4">
        <v>10</v>
      </c>
      <c r="H649" s="12">
        <v>16861.400000000001</v>
      </c>
      <c r="I649" s="13">
        <v>14332.190000000002</v>
      </c>
      <c r="J649" s="13">
        <f>Orders[[#This Row],[Quantity]]*Orders[[#This Row],[Selling Price]]</f>
        <v>168614</v>
      </c>
      <c r="K649" s="13">
        <f>Orders[[#This Row],[Quantity]]*Orders[[#This Row],[Cost Price]]</f>
        <v>143321.90000000002</v>
      </c>
      <c r="L649" s="13">
        <f>Orders[[#This Row],[Revenue]]-Orders[[#This Row],[Expenses]]</f>
        <v>25292.099999999977</v>
      </c>
      <c r="M649" t="s">
        <v>2211</v>
      </c>
      <c r="N649" t="str">
        <f>_xlfn.XLOOKUP(Orders[[#This Row],[CustomerID]],Customers[CustomerID],Customers[CustomerName])</f>
        <v>Blessing Danladi</v>
      </c>
      <c r="O649" t="str">
        <f>_xlfn.XLOOKUP(Orders[[#This Row],[CustomerID]],Customers[CustomerID],Customers[City])</f>
        <v>Texas</v>
      </c>
      <c r="P649" t="str">
        <f>_xlfn.XLOOKUP(Orders[[#This Row],[CustomerID]],Customers[CustomerID],Customers[Gender])</f>
        <v>Female</v>
      </c>
      <c r="Q649">
        <f>_xlfn.XLOOKUP(Orders[[#This Row],[CustomerID]],Customers[CustomerID],Customers[CustomerAge])</f>
        <v>19</v>
      </c>
      <c r="R649" t="str">
        <f>IF(Orders[[#This Row],[CustomerAge]]&gt;=35, "Older", "Young")</f>
        <v>Young</v>
      </c>
      <c r="S649" t="str">
        <f>_xlfn.XLOOKUP(Orders[[#This Row],[ProductID]],Products[ProductID],Products[ProductName])</f>
        <v>Kids Games</v>
      </c>
      <c r="T649" t="str">
        <f>_xlfn.XLOOKUP(Orders[[#This Row],[ProductID]],Products[ProductID],Products[Category])</f>
        <v>Games</v>
      </c>
    </row>
    <row r="650" spans="1:20" x14ac:dyDescent="0.25">
      <c r="A650" s="4" t="s">
        <v>838</v>
      </c>
      <c r="B650" s="5">
        <v>45984</v>
      </c>
      <c r="C650" s="15">
        <f>WEEKNUM(Orders[[#This Row],[OrderDate]])</f>
        <v>48</v>
      </c>
      <c r="D650" s="15" t="str">
        <f>TEXT(Orders[[#This Row],[OrderDate]],"mmmm")</f>
        <v>November</v>
      </c>
      <c r="E650" s="4" t="s">
        <v>388</v>
      </c>
      <c r="F650" s="4" t="s">
        <v>111</v>
      </c>
      <c r="G650" s="4">
        <v>4</v>
      </c>
      <c r="H650" s="12">
        <v>12416.800000000001</v>
      </c>
      <c r="I650" s="13">
        <v>10554.28</v>
      </c>
      <c r="J650" s="13">
        <f>Orders[[#This Row],[Quantity]]*Orders[[#This Row],[Selling Price]]</f>
        <v>49667.200000000004</v>
      </c>
      <c r="K650" s="13">
        <f>Orders[[#This Row],[Quantity]]*Orders[[#This Row],[Cost Price]]</f>
        <v>42217.120000000003</v>
      </c>
      <c r="L650" s="13">
        <f>Orders[[#This Row],[Revenue]]-Orders[[#This Row],[Expenses]]</f>
        <v>7450.0800000000017</v>
      </c>
      <c r="M650" t="s">
        <v>2206</v>
      </c>
      <c r="N650" t="str">
        <f>_xlfn.XLOOKUP(Orders[[#This Row],[CustomerID]],Customers[CustomerID],Customers[CustomerName])</f>
        <v>Folasade Okonkwo</v>
      </c>
      <c r="O650" t="str">
        <f>_xlfn.XLOOKUP(Orders[[#This Row],[CustomerID]],Customers[CustomerID],Customers[City])</f>
        <v>Washington</v>
      </c>
      <c r="P650" t="str">
        <f>_xlfn.XLOOKUP(Orders[[#This Row],[CustomerID]],Customers[CustomerID],Customers[Gender])</f>
        <v>Female</v>
      </c>
      <c r="Q650">
        <f>_xlfn.XLOOKUP(Orders[[#This Row],[CustomerID]],Customers[CustomerID],Customers[CustomerAge])</f>
        <v>52</v>
      </c>
      <c r="R650" t="str">
        <f>IF(Orders[[#This Row],[CustomerAge]]&gt;=35, "Older", "Young")</f>
        <v>Older</v>
      </c>
      <c r="S650" t="str">
        <f>_xlfn.XLOOKUP(Orders[[#This Row],[ProductID]],Products[ProductID],Products[ProductName])</f>
        <v>Refrigerator</v>
      </c>
      <c r="T650" t="str">
        <f>_xlfn.XLOOKUP(Orders[[#This Row],[ProductID]],Products[ProductID],Products[Category])</f>
        <v>Electronics</v>
      </c>
    </row>
    <row r="651" spans="1:20" x14ac:dyDescent="0.25">
      <c r="A651" s="4" t="s">
        <v>839</v>
      </c>
      <c r="B651" s="5">
        <v>46010</v>
      </c>
      <c r="C651" s="15">
        <f>WEEKNUM(Orders[[#This Row],[OrderDate]])</f>
        <v>51</v>
      </c>
      <c r="D651" s="15" t="str">
        <f>TEXT(Orders[[#This Row],[OrderDate]],"mmmm")</f>
        <v>December</v>
      </c>
      <c r="E651" s="4" t="s">
        <v>214</v>
      </c>
      <c r="F651" s="4" t="s">
        <v>232</v>
      </c>
      <c r="G651" s="4">
        <v>8</v>
      </c>
      <c r="H651" s="12">
        <v>9369</v>
      </c>
      <c r="I651" s="13">
        <v>7963.65</v>
      </c>
      <c r="J651" s="13">
        <f>Orders[[#This Row],[Quantity]]*Orders[[#This Row],[Selling Price]]</f>
        <v>74952</v>
      </c>
      <c r="K651" s="13">
        <f>Orders[[#This Row],[Quantity]]*Orders[[#This Row],[Cost Price]]</f>
        <v>63709.2</v>
      </c>
      <c r="L651" s="13">
        <f>Orders[[#This Row],[Revenue]]-Orders[[#This Row],[Expenses]]</f>
        <v>11242.800000000003</v>
      </c>
      <c r="M651" t="s">
        <v>2217</v>
      </c>
      <c r="N651" t="str">
        <f>_xlfn.XLOOKUP(Orders[[#This Row],[CustomerID]],Customers[CustomerID],Customers[CustomerName])</f>
        <v>Adanma Okonkwo</v>
      </c>
      <c r="O651" t="str">
        <f>_xlfn.XLOOKUP(Orders[[#This Row],[CustomerID]],Customers[CustomerID],Customers[City])</f>
        <v>California</v>
      </c>
      <c r="P651" t="str">
        <f>_xlfn.XLOOKUP(Orders[[#This Row],[CustomerID]],Customers[CustomerID],Customers[Gender])</f>
        <v>Female</v>
      </c>
      <c r="Q651">
        <f>_xlfn.XLOOKUP(Orders[[#This Row],[CustomerID]],Customers[CustomerID],Customers[CustomerAge])</f>
        <v>20</v>
      </c>
      <c r="R651" t="str">
        <f>IF(Orders[[#This Row],[CustomerAge]]&gt;=35, "Older", "Young")</f>
        <v>Young</v>
      </c>
      <c r="S651" t="str">
        <f>_xlfn.XLOOKUP(Orders[[#This Row],[ProductID]],Products[ProductID],Products[ProductName])</f>
        <v>Ankara</v>
      </c>
      <c r="T651" t="str">
        <f>_xlfn.XLOOKUP(Orders[[#This Row],[ProductID]],Products[ProductID],Products[Category])</f>
        <v>Clothing</v>
      </c>
    </row>
    <row r="652" spans="1:20" x14ac:dyDescent="0.25">
      <c r="A652" s="4" t="s">
        <v>840</v>
      </c>
      <c r="B652" s="5">
        <v>45964</v>
      </c>
      <c r="C652" s="15">
        <f>WEEKNUM(Orders[[#This Row],[OrderDate]])</f>
        <v>45</v>
      </c>
      <c r="D652" s="15" t="str">
        <f>TEXT(Orders[[#This Row],[OrderDate]],"mmmm")</f>
        <v>November</v>
      </c>
      <c r="E652" s="4" t="s">
        <v>552</v>
      </c>
      <c r="F652" s="4" t="s">
        <v>46</v>
      </c>
      <c r="G652" s="4">
        <v>10</v>
      </c>
      <c r="H652" s="12">
        <v>8678.7000000000007</v>
      </c>
      <c r="I652" s="13">
        <v>7376.8950000000004</v>
      </c>
      <c r="J652" s="13">
        <f>Orders[[#This Row],[Quantity]]*Orders[[#This Row],[Selling Price]]</f>
        <v>86787</v>
      </c>
      <c r="K652" s="13">
        <f>Orders[[#This Row],[Quantity]]*Orders[[#This Row],[Cost Price]]</f>
        <v>73768.950000000012</v>
      </c>
      <c r="L652" s="13">
        <f>Orders[[#This Row],[Revenue]]-Orders[[#This Row],[Expenses]]</f>
        <v>13018.049999999988</v>
      </c>
      <c r="M652" t="s">
        <v>2195</v>
      </c>
      <c r="N652" t="str">
        <f>_xlfn.XLOOKUP(Orders[[#This Row],[CustomerID]],Customers[CustomerID],Customers[CustomerName])</f>
        <v>Chioma Eze</v>
      </c>
      <c r="O652" t="str">
        <f>_xlfn.XLOOKUP(Orders[[#This Row],[CustomerID]],Customers[CustomerID],Customers[City])</f>
        <v>Georgia</v>
      </c>
      <c r="P652" t="str">
        <f>_xlfn.XLOOKUP(Orders[[#This Row],[CustomerID]],Customers[CustomerID],Customers[Gender])</f>
        <v>Female</v>
      </c>
      <c r="Q652">
        <f>_xlfn.XLOOKUP(Orders[[#This Row],[CustomerID]],Customers[CustomerID],Customers[CustomerAge])</f>
        <v>40</v>
      </c>
      <c r="R652" t="str">
        <f>IF(Orders[[#This Row],[CustomerAge]]&gt;=35, "Older", "Young")</f>
        <v>Older</v>
      </c>
      <c r="S652" t="str">
        <f>_xlfn.XLOOKUP(Orders[[#This Row],[ProductID]],Products[ProductID],Products[ProductName])</f>
        <v>Turtle Neck</v>
      </c>
      <c r="T652" t="str">
        <f>_xlfn.XLOOKUP(Orders[[#This Row],[ProductID]],Products[ProductID],Products[Category])</f>
        <v>Clothing</v>
      </c>
    </row>
    <row r="653" spans="1:20" x14ac:dyDescent="0.25">
      <c r="A653" s="4" t="s">
        <v>841</v>
      </c>
      <c r="B653" s="5">
        <v>45958</v>
      </c>
      <c r="C653" s="15">
        <f>WEEKNUM(Orders[[#This Row],[OrderDate]])</f>
        <v>44</v>
      </c>
      <c r="D653" s="15" t="str">
        <f>TEXT(Orders[[#This Row],[OrderDate]],"mmmm")</f>
        <v>October</v>
      </c>
      <c r="E653" s="4" t="s">
        <v>50</v>
      </c>
      <c r="F653" s="4" t="s">
        <v>253</v>
      </c>
      <c r="G653" s="4">
        <v>7</v>
      </c>
      <c r="H653" s="12">
        <v>16886.8</v>
      </c>
      <c r="I653" s="13">
        <v>14353.779999999999</v>
      </c>
      <c r="J653" s="13">
        <f>Orders[[#This Row],[Quantity]]*Orders[[#This Row],[Selling Price]]</f>
        <v>118207.59999999999</v>
      </c>
      <c r="K653" s="13">
        <f>Orders[[#This Row],[Quantity]]*Orders[[#This Row],[Cost Price]]</f>
        <v>100476.45999999999</v>
      </c>
      <c r="L653" s="13">
        <f>Orders[[#This Row],[Revenue]]-Orders[[#This Row],[Expenses]]</f>
        <v>17731.14</v>
      </c>
      <c r="M653" t="s">
        <v>2217</v>
      </c>
      <c r="N653" t="str">
        <f>_xlfn.XLOOKUP(Orders[[#This Row],[CustomerID]],Customers[CustomerID],Customers[CustomerName])</f>
        <v>Funke Danladi</v>
      </c>
      <c r="O653" t="str">
        <f>_xlfn.XLOOKUP(Orders[[#This Row],[CustomerID]],Customers[CustomerID],Customers[City])</f>
        <v>California</v>
      </c>
      <c r="P653" t="str">
        <f>_xlfn.XLOOKUP(Orders[[#This Row],[CustomerID]],Customers[CustomerID],Customers[Gender])</f>
        <v>Female</v>
      </c>
      <c r="Q653">
        <f>_xlfn.XLOOKUP(Orders[[#This Row],[CustomerID]],Customers[CustomerID],Customers[CustomerAge])</f>
        <v>31</v>
      </c>
      <c r="R653" t="str">
        <f>IF(Orders[[#This Row],[CustomerAge]]&gt;=35, "Older", "Young")</f>
        <v>Young</v>
      </c>
      <c r="S653" t="str">
        <f>_xlfn.XLOOKUP(Orders[[#This Row],[ProductID]],Products[ProductID],Products[ProductName])</f>
        <v>Nose Rings</v>
      </c>
      <c r="T653" t="str">
        <f>_xlfn.XLOOKUP(Orders[[#This Row],[ProductID]],Products[ProductID],Products[Category])</f>
        <v>Accessories</v>
      </c>
    </row>
    <row r="654" spans="1:20" x14ac:dyDescent="0.25">
      <c r="A654" s="4" t="s">
        <v>842</v>
      </c>
      <c r="B654" s="5">
        <v>45990</v>
      </c>
      <c r="C654" s="15">
        <f>WEEKNUM(Orders[[#This Row],[OrderDate]])</f>
        <v>48</v>
      </c>
      <c r="D654" s="15" t="str">
        <f>TEXT(Orders[[#This Row],[OrderDate]],"mmmm")</f>
        <v>November</v>
      </c>
      <c r="E654" s="4" t="s">
        <v>293</v>
      </c>
      <c r="F654" s="4" t="s">
        <v>57</v>
      </c>
      <c r="G654" s="4">
        <v>5</v>
      </c>
      <c r="H654" s="12">
        <v>8675.4</v>
      </c>
      <c r="I654" s="13">
        <v>7374.09</v>
      </c>
      <c r="J654" s="13">
        <f>Orders[[#This Row],[Quantity]]*Orders[[#This Row],[Selling Price]]</f>
        <v>43377</v>
      </c>
      <c r="K654" s="13">
        <f>Orders[[#This Row],[Quantity]]*Orders[[#This Row],[Cost Price]]</f>
        <v>36870.449999999997</v>
      </c>
      <c r="L654" s="13">
        <f>Orders[[#This Row],[Revenue]]-Orders[[#This Row],[Expenses]]</f>
        <v>6506.5500000000029</v>
      </c>
      <c r="M654" t="s">
        <v>2192</v>
      </c>
      <c r="N654" t="str">
        <f>_xlfn.XLOOKUP(Orders[[#This Row],[CustomerID]],Customers[CustomerID],Customers[CustomerName])</f>
        <v>Tunde Eze</v>
      </c>
      <c r="O654" t="str">
        <f>_xlfn.XLOOKUP(Orders[[#This Row],[CustomerID]],Customers[CustomerID],Customers[City])</f>
        <v>Florida</v>
      </c>
      <c r="P654" t="str">
        <f>_xlfn.XLOOKUP(Orders[[#This Row],[CustomerID]],Customers[CustomerID],Customers[Gender])</f>
        <v>Male</v>
      </c>
      <c r="Q654">
        <f>_xlfn.XLOOKUP(Orders[[#This Row],[CustomerID]],Customers[CustomerID],Customers[CustomerAge])</f>
        <v>46</v>
      </c>
      <c r="R654" t="str">
        <f>IF(Orders[[#This Row],[CustomerAge]]&gt;=35, "Older", "Young")</f>
        <v>Older</v>
      </c>
      <c r="S654" t="str">
        <f>_xlfn.XLOOKUP(Orders[[#This Row],[ProductID]],Products[ProductID],Products[ProductName])</f>
        <v>Badminton Racket</v>
      </c>
      <c r="T654" t="str">
        <f>_xlfn.XLOOKUP(Orders[[#This Row],[ProductID]],Products[ProductID],Products[Category])</f>
        <v>Sports</v>
      </c>
    </row>
    <row r="655" spans="1:20" x14ac:dyDescent="0.25">
      <c r="A655" s="4" t="s">
        <v>843</v>
      </c>
      <c r="B655" s="5">
        <v>45991</v>
      </c>
      <c r="C655" s="15">
        <f>WEEKNUM(Orders[[#This Row],[OrderDate]])</f>
        <v>49</v>
      </c>
      <c r="D655" s="15" t="str">
        <f>TEXT(Orders[[#This Row],[OrderDate]],"mmmm")</f>
        <v>November</v>
      </c>
      <c r="E655" s="4" t="s">
        <v>201</v>
      </c>
      <c r="F655" s="4" t="s">
        <v>168</v>
      </c>
      <c r="G655" s="4">
        <v>8</v>
      </c>
      <c r="H655" s="12">
        <v>15951.800000000001</v>
      </c>
      <c r="I655" s="13">
        <v>13559.03</v>
      </c>
      <c r="J655" s="13">
        <f>Orders[[#This Row],[Quantity]]*Orders[[#This Row],[Selling Price]]</f>
        <v>127614.40000000001</v>
      </c>
      <c r="K655" s="13">
        <f>Orders[[#This Row],[Quantity]]*Orders[[#This Row],[Cost Price]]</f>
        <v>108472.24</v>
      </c>
      <c r="L655" s="13">
        <f>Orders[[#This Row],[Revenue]]-Orders[[#This Row],[Expenses]]</f>
        <v>19142.160000000003</v>
      </c>
      <c r="M655" t="s">
        <v>2218</v>
      </c>
      <c r="N655" t="str">
        <f>_xlfn.XLOOKUP(Orders[[#This Row],[CustomerID]],Customers[CustomerID],Customers[CustomerName])</f>
        <v>Sani Igwe</v>
      </c>
      <c r="O655" t="str">
        <f>_xlfn.XLOOKUP(Orders[[#This Row],[CustomerID]],Customers[CustomerID],Customers[City])</f>
        <v>Georgia</v>
      </c>
      <c r="P655" t="str">
        <f>_xlfn.XLOOKUP(Orders[[#This Row],[CustomerID]],Customers[CustomerID],Customers[Gender])</f>
        <v>Male</v>
      </c>
      <c r="Q655">
        <f>_xlfn.XLOOKUP(Orders[[#This Row],[CustomerID]],Customers[CustomerID],Customers[CustomerAge])</f>
        <v>20</v>
      </c>
      <c r="R655" t="str">
        <f>IF(Orders[[#This Row],[CustomerAge]]&gt;=35, "Older", "Young")</f>
        <v>Young</v>
      </c>
      <c r="S655" t="str">
        <f>_xlfn.XLOOKUP(Orders[[#This Row],[ProductID]],Products[ProductID],Products[ProductName])</f>
        <v>Dumb Bells</v>
      </c>
      <c r="T655" t="str">
        <f>_xlfn.XLOOKUP(Orders[[#This Row],[ProductID]],Products[ProductID],Products[Category])</f>
        <v>Gym</v>
      </c>
    </row>
    <row r="656" spans="1:20" x14ac:dyDescent="0.25">
      <c r="A656" s="4" t="s">
        <v>844</v>
      </c>
      <c r="B656" s="5">
        <v>46002</v>
      </c>
      <c r="C656" s="15">
        <f>WEEKNUM(Orders[[#This Row],[OrderDate]])</f>
        <v>50</v>
      </c>
      <c r="D656" s="15" t="str">
        <f>TEXT(Orders[[#This Row],[OrderDate]],"mmmm")</f>
        <v>December</v>
      </c>
      <c r="E656" s="4" t="s">
        <v>317</v>
      </c>
      <c r="F656" s="4" t="s">
        <v>9</v>
      </c>
      <c r="G656" s="4">
        <v>5</v>
      </c>
      <c r="H656" s="12">
        <v>8252.9</v>
      </c>
      <c r="I656" s="13">
        <v>7014.9650000000001</v>
      </c>
      <c r="J656" s="13">
        <f>Orders[[#This Row],[Quantity]]*Orders[[#This Row],[Selling Price]]</f>
        <v>41264.5</v>
      </c>
      <c r="K656" s="13">
        <f>Orders[[#This Row],[Quantity]]*Orders[[#This Row],[Cost Price]]</f>
        <v>35074.824999999997</v>
      </c>
      <c r="L656" s="13">
        <f>Orders[[#This Row],[Revenue]]-Orders[[#This Row],[Expenses]]</f>
        <v>6189.6750000000029</v>
      </c>
      <c r="M656" t="s">
        <v>2195</v>
      </c>
      <c r="N656" t="str">
        <f>_xlfn.XLOOKUP(Orders[[#This Row],[CustomerID]],Customers[CustomerID],Customers[CustomerName])</f>
        <v>Folasade Danladi</v>
      </c>
      <c r="O656" t="str">
        <f>_xlfn.XLOOKUP(Orders[[#This Row],[CustomerID]],Customers[CustomerID],Customers[City])</f>
        <v>Texas</v>
      </c>
      <c r="P656" t="str">
        <f>_xlfn.XLOOKUP(Orders[[#This Row],[CustomerID]],Customers[CustomerID],Customers[Gender])</f>
        <v>Female</v>
      </c>
      <c r="Q656">
        <f>_xlfn.XLOOKUP(Orders[[#This Row],[CustomerID]],Customers[CustomerID],Customers[CustomerAge])</f>
        <v>28</v>
      </c>
      <c r="R656" t="str">
        <f>IF(Orders[[#This Row],[CustomerAge]]&gt;=35, "Older", "Young")</f>
        <v>Young</v>
      </c>
      <c r="S656" t="str">
        <f>_xlfn.XLOOKUP(Orders[[#This Row],[ProductID]],Products[ProductID],Products[ProductName])</f>
        <v>Beaded Earrings And Necklaces</v>
      </c>
      <c r="T656" t="str">
        <f>_xlfn.XLOOKUP(Orders[[#This Row],[ProductID]],Products[ProductID],Products[Category])</f>
        <v>Accessories</v>
      </c>
    </row>
    <row r="657" spans="1:20" x14ac:dyDescent="0.25">
      <c r="A657" s="4" t="s">
        <v>845</v>
      </c>
      <c r="B657" s="5">
        <v>46021</v>
      </c>
      <c r="C657" s="15">
        <f>WEEKNUM(Orders[[#This Row],[OrderDate]])</f>
        <v>53</v>
      </c>
      <c r="D657" s="15" t="str">
        <f>TEXT(Orders[[#This Row],[OrderDate]],"mmmm")</f>
        <v>December</v>
      </c>
      <c r="E657" s="4" t="s">
        <v>416</v>
      </c>
      <c r="F657" s="4" t="s">
        <v>34</v>
      </c>
      <c r="G657" s="4">
        <v>4</v>
      </c>
      <c r="H657" s="12">
        <v>12371.400000000001</v>
      </c>
      <c r="I657" s="13">
        <v>10515.690000000002</v>
      </c>
      <c r="J657" s="13">
        <f>Orders[[#This Row],[Quantity]]*Orders[[#This Row],[Selling Price]]</f>
        <v>49485.600000000006</v>
      </c>
      <c r="K657" s="13">
        <f>Orders[[#This Row],[Quantity]]*Orders[[#This Row],[Cost Price]]</f>
        <v>42062.760000000009</v>
      </c>
      <c r="L657" s="13">
        <f>Orders[[#This Row],[Revenue]]-Orders[[#This Row],[Expenses]]</f>
        <v>7422.8399999999965</v>
      </c>
      <c r="M657" t="s">
        <v>2204</v>
      </c>
      <c r="N657" t="str">
        <f>_xlfn.XLOOKUP(Orders[[#This Row],[CustomerID]],Customers[CustomerID],Customers[CustomerName])</f>
        <v>Chinedu Igwe</v>
      </c>
      <c r="O657" t="str">
        <f>_xlfn.XLOOKUP(Orders[[#This Row],[CustomerID]],Customers[CustomerID],Customers[City])</f>
        <v>Texas</v>
      </c>
      <c r="P657" t="str">
        <f>_xlfn.XLOOKUP(Orders[[#This Row],[CustomerID]],Customers[CustomerID],Customers[Gender])</f>
        <v>Male</v>
      </c>
      <c r="Q657">
        <f>_xlfn.XLOOKUP(Orders[[#This Row],[CustomerID]],Customers[CustomerID],Customers[CustomerAge])</f>
        <v>26</v>
      </c>
      <c r="R657" t="str">
        <f>IF(Orders[[#This Row],[CustomerAge]]&gt;=35, "Older", "Young")</f>
        <v>Young</v>
      </c>
      <c r="S657" t="str">
        <f>_xlfn.XLOOKUP(Orders[[#This Row],[ProductID]],Products[ProductID],Products[ProductName])</f>
        <v>Gold Bracelets</v>
      </c>
      <c r="T657" t="str">
        <f>_xlfn.XLOOKUP(Orders[[#This Row],[ProductID]],Products[ProductID],Products[Category])</f>
        <v>Accessories</v>
      </c>
    </row>
    <row r="658" spans="1:20" x14ac:dyDescent="0.25">
      <c r="A658" s="4" t="s">
        <v>846</v>
      </c>
      <c r="B658" s="5">
        <v>46012</v>
      </c>
      <c r="C658" s="15">
        <f>WEEKNUM(Orders[[#This Row],[OrderDate]])</f>
        <v>52</v>
      </c>
      <c r="D658" s="15" t="str">
        <f>TEXT(Orders[[#This Row],[OrderDate]],"mmmm")</f>
        <v>December</v>
      </c>
      <c r="E658" s="4" t="s">
        <v>322</v>
      </c>
      <c r="F658" s="4" t="s">
        <v>120</v>
      </c>
      <c r="G658" s="4">
        <v>6</v>
      </c>
      <c r="H658" s="12">
        <v>17298.099999999999</v>
      </c>
      <c r="I658" s="13">
        <v>14703.384999999998</v>
      </c>
      <c r="J658" s="13">
        <f>Orders[[#This Row],[Quantity]]*Orders[[#This Row],[Selling Price]]</f>
        <v>103788.59999999999</v>
      </c>
      <c r="K658" s="13">
        <f>Orders[[#This Row],[Quantity]]*Orders[[#This Row],[Cost Price]]</f>
        <v>88220.31</v>
      </c>
      <c r="L658" s="13">
        <f>Orders[[#This Row],[Revenue]]-Orders[[#This Row],[Expenses]]</f>
        <v>15568.289999999994</v>
      </c>
      <c r="M658" t="s">
        <v>2217</v>
      </c>
      <c r="N658" t="str">
        <f>_xlfn.XLOOKUP(Orders[[#This Row],[CustomerID]],Customers[CustomerID],Customers[CustomerName])</f>
        <v>Ngozi Bello</v>
      </c>
      <c r="O658" t="str">
        <f>_xlfn.XLOOKUP(Orders[[#This Row],[CustomerID]],Customers[CustomerID],Customers[City])</f>
        <v>Washington</v>
      </c>
      <c r="P658" t="str">
        <f>_xlfn.XLOOKUP(Orders[[#This Row],[CustomerID]],Customers[CustomerID],Customers[Gender])</f>
        <v>Female</v>
      </c>
      <c r="Q658">
        <f>_xlfn.XLOOKUP(Orders[[#This Row],[CustomerID]],Customers[CustomerID],Customers[CustomerAge])</f>
        <v>32</v>
      </c>
      <c r="R658" t="str">
        <f>IF(Orders[[#This Row],[CustomerAge]]&gt;=35, "Older", "Young")</f>
        <v>Young</v>
      </c>
      <c r="S658" t="str">
        <f>_xlfn.XLOOKUP(Orders[[#This Row],[ProductID]],Products[ProductID],Products[ProductName])</f>
        <v>Chess</v>
      </c>
      <c r="T658" t="str">
        <f>_xlfn.XLOOKUP(Orders[[#This Row],[ProductID]],Products[ProductID],Products[Category])</f>
        <v>Games</v>
      </c>
    </row>
    <row r="659" spans="1:20" x14ac:dyDescent="0.25">
      <c r="A659" s="4" t="s">
        <v>847</v>
      </c>
      <c r="B659" s="5">
        <v>46007</v>
      </c>
      <c r="C659" s="15">
        <f>WEEKNUM(Orders[[#This Row],[OrderDate]])</f>
        <v>51</v>
      </c>
      <c r="D659" s="15" t="str">
        <f>TEXT(Orders[[#This Row],[OrderDate]],"mmmm")</f>
        <v>December</v>
      </c>
      <c r="E659" s="4" t="s">
        <v>426</v>
      </c>
      <c r="F659" s="4" t="s">
        <v>37</v>
      </c>
      <c r="G659" s="4">
        <v>4</v>
      </c>
      <c r="H659" s="12">
        <v>591.4</v>
      </c>
      <c r="I659" s="13">
        <v>502.69</v>
      </c>
      <c r="J659" s="13">
        <f>Orders[[#This Row],[Quantity]]*Orders[[#This Row],[Selling Price]]</f>
        <v>2365.6</v>
      </c>
      <c r="K659" s="13">
        <f>Orders[[#This Row],[Quantity]]*Orders[[#This Row],[Cost Price]]</f>
        <v>2010.76</v>
      </c>
      <c r="L659" s="13">
        <f>Orders[[#This Row],[Revenue]]-Orders[[#This Row],[Expenses]]</f>
        <v>354.83999999999992</v>
      </c>
      <c r="M659" t="s">
        <v>2194</v>
      </c>
      <c r="N659" t="str">
        <f>_xlfn.XLOOKUP(Orders[[#This Row],[CustomerID]],Customers[CustomerID],Customers[CustomerName])</f>
        <v>Chinedu Ojo</v>
      </c>
      <c r="O659" t="str">
        <f>_xlfn.XLOOKUP(Orders[[#This Row],[CustomerID]],Customers[CustomerID],Customers[City])</f>
        <v>Washington</v>
      </c>
      <c r="P659" t="str">
        <f>_xlfn.XLOOKUP(Orders[[#This Row],[CustomerID]],Customers[CustomerID],Customers[Gender])</f>
        <v>Male</v>
      </c>
      <c r="Q659">
        <f>_xlfn.XLOOKUP(Orders[[#This Row],[CustomerID]],Customers[CustomerID],Customers[CustomerAge])</f>
        <v>18</v>
      </c>
      <c r="R659" t="str">
        <f>IF(Orders[[#This Row],[CustomerAge]]&gt;=35, "Older", "Young")</f>
        <v>Young</v>
      </c>
      <c r="S659" t="str">
        <f>_xlfn.XLOOKUP(Orders[[#This Row],[ProductID]],Products[ProductID],Products[ProductName])</f>
        <v>Iron</v>
      </c>
      <c r="T659" t="str">
        <f>_xlfn.XLOOKUP(Orders[[#This Row],[ProductID]],Products[ProductID],Products[Category])</f>
        <v>Electronics</v>
      </c>
    </row>
    <row r="660" spans="1:20" x14ac:dyDescent="0.25">
      <c r="A660" s="4" t="s">
        <v>848</v>
      </c>
      <c r="B660" s="5">
        <v>45988</v>
      </c>
      <c r="C660" s="15">
        <f>WEEKNUM(Orders[[#This Row],[OrderDate]])</f>
        <v>48</v>
      </c>
      <c r="D660" s="15" t="str">
        <f>TEXT(Orders[[#This Row],[OrderDate]],"mmmm")</f>
        <v>November</v>
      </c>
      <c r="E660" s="4" t="s">
        <v>264</v>
      </c>
      <c r="F660" s="4" t="s">
        <v>28</v>
      </c>
      <c r="G660" s="4">
        <v>9</v>
      </c>
      <c r="H660" s="12">
        <v>19831.900000000001</v>
      </c>
      <c r="I660" s="13">
        <v>16857.115000000002</v>
      </c>
      <c r="J660" s="13">
        <f>Orders[[#This Row],[Quantity]]*Orders[[#This Row],[Selling Price]]</f>
        <v>178487.1</v>
      </c>
      <c r="K660" s="13">
        <f>Orders[[#This Row],[Quantity]]*Orders[[#This Row],[Cost Price]]</f>
        <v>151714.035</v>
      </c>
      <c r="L660" s="13">
        <f>Orders[[#This Row],[Revenue]]-Orders[[#This Row],[Expenses]]</f>
        <v>26773.065000000002</v>
      </c>
      <c r="M660" t="s">
        <v>2204</v>
      </c>
      <c r="N660" t="str">
        <f>_xlfn.XLOOKUP(Orders[[#This Row],[CustomerID]],Customers[CustomerID],Customers[CustomerName])</f>
        <v>Ronke Adeyemi</v>
      </c>
      <c r="O660" t="str">
        <f>_xlfn.XLOOKUP(Orders[[#This Row],[CustomerID]],Customers[CustomerID],Customers[City])</f>
        <v>Georgia</v>
      </c>
      <c r="P660" t="str">
        <f>_xlfn.XLOOKUP(Orders[[#This Row],[CustomerID]],Customers[CustomerID],Customers[Gender])</f>
        <v>Female</v>
      </c>
      <c r="Q660">
        <f>_xlfn.XLOOKUP(Orders[[#This Row],[CustomerID]],Customers[CustomerID],Customers[CustomerAge])</f>
        <v>19</v>
      </c>
      <c r="R660" t="str">
        <f>IF(Orders[[#This Row],[CustomerAge]]&gt;=35, "Older", "Young")</f>
        <v>Young</v>
      </c>
      <c r="S660" t="str">
        <f>_xlfn.XLOOKUP(Orders[[#This Row],[ProductID]],Products[ProductID],Products[ProductName])</f>
        <v>Sneakers</v>
      </c>
      <c r="T660" t="str">
        <f>_xlfn.XLOOKUP(Orders[[#This Row],[ProductID]],Products[ProductID],Products[Category])</f>
        <v>Sports</v>
      </c>
    </row>
    <row r="661" spans="1:20" x14ac:dyDescent="0.25">
      <c r="A661" s="4" t="s">
        <v>849</v>
      </c>
      <c r="B661" s="5">
        <v>46020</v>
      </c>
      <c r="C661" s="15">
        <f>WEEKNUM(Orders[[#This Row],[OrderDate]])</f>
        <v>53</v>
      </c>
      <c r="D661" s="15" t="str">
        <f>TEXT(Orders[[#This Row],[OrderDate]],"mmmm")</f>
        <v>December</v>
      </c>
      <c r="E661" s="4" t="s">
        <v>78</v>
      </c>
      <c r="F661" s="4" t="s">
        <v>37</v>
      </c>
      <c r="G661" s="4">
        <v>4</v>
      </c>
      <c r="H661" s="12">
        <v>11840.2</v>
      </c>
      <c r="I661" s="13">
        <v>10064.17</v>
      </c>
      <c r="J661" s="13">
        <f>Orders[[#This Row],[Quantity]]*Orders[[#This Row],[Selling Price]]</f>
        <v>47360.800000000003</v>
      </c>
      <c r="K661" s="13">
        <f>Orders[[#This Row],[Quantity]]*Orders[[#This Row],[Cost Price]]</f>
        <v>40256.68</v>
      </c>
      <c r="L661" s="13">
        <f>Orders[[#This Row],[Revenue]]-Orders[[#This Row],[Expenses]]</f>
        <v>7104.1200000000026</v>
      </c>
      <c r="M661" t="s">
        <v>2212</v>
      </c>
      <c r="N661" t="str">
        <f>_xlfn.XLOOKUP(Orders[[#This Row],[CustomerID]],Customers[CustomerID],Customers[CustomerName])</f>
        <v>Chinedu Obi</v>
      </c>
      <c r="O661" t="str">
        <f>_xlfn.XLOOKUP(Orders[[#This Row],[CustomerID]],Customers[CustomerID],Customers[City])</f>
        <v>Washington</v>
      </c>
      <c r="P661" t="str">
        <f>_xlfn.XLOOKUP(Orders[[#This Row],[CustomerID]],Customers[CustomerID],Customers[Gender])</f>
        <v>Male</v>
      </c>
      <c r="Q661">
        <f>_xlfn.XLOOKUP(Orders[[#This Row],[CustomerID]],Customers[CustomerID],Customers[CustomerAge])</f>
        <v>38</v>
      </c>
      <c r="R661" t="str">
        <f>IF(Orders[[#This Row],[CustomerAge]]&gt;=35, "Older", "Young")</f>
        <v>Older</v>
      </c>
      <c r="S661" t="str">
        <f>_xlfn.XLOOKUP(Orders[[#This Row],[ProductID]],Products[ProductID],Products[ProductName])</f>
        <v>Iron</v>
      </c>
      <c r="T661" t="str">
        <f>_xlfn.XLOOKUP(Orders[[#This Row],[ProductID]],Products[ProductID],Products[Category])</f>
        <v>Electronics</v>
      </c>
    </row>
    <row r="662" spans="1:20" x14ac:dyDescent="0.25">
      <c r="A662" s="4" t="s">
        <v>850</v>
      </c>
      <c r="B662" s="5">
        <v>45983</v>
      </c>
      <c r="C662" s="15">
        <f>WEEKNUM(Orders[[#This Row],[OrderDate]])</f>
        <v>47</v>
      </c>
      <c r="D662" s="15" t="str">
        <f>TEXT(Orders[[#This Row],[OrderDate]],"mmmm")</f>
        <v>November</v>
      </c>
      <c r="E662" s="4" t="s">
        <v>546</v>
      </c>
      <c r="F662" s="4" t="s">
        <v>25</v>
      </c>
      <c r="G662" s="4">
        <v>1</v>
      </c>
      <c r="H662" s="12">
        <v>19481.7</v>
      </c>
      <c r="I662" s="13">
        <v>16559.445</v>
      </c>
      <c r="J662" s="13">
        <f>Orders[[#This Row],[Quantity]]*Orders[[#This Row],[Selling Price]]</f>
        <v>19481.7</v>
      </c>
      <c r="K662" s="13">
        <f>Orders[[#This Row],[Quantity]]*Orders[[#This Row],[Cost Price]]</f>
        <v>16559.445</v>
      </c>
      <c r="L662" s="13">
        <f>Orders[[#This Row],[Revenue]]-Orders[[#This Row],[Expenses]]</f>
        <v>2922.255000000001</v>
      </c>
      <c r="M662" t="s">
        <v>2202</v>
      </c>
      <c r="N662" t="str">
        <f>_xlfn.XLOOKUP(Orders[[#This Row],[CustomerID]],Customers[CustomerID],Customers[CustomerName])</f>
        <v>Bisi Eze</v>
      </c>
      <c r="O662" t="str">
        <f>_xlfn.XLOOKUP(Orders[[#This Row],[CustomerID]],Customers[CustomerID],Customers[City])</f>
        <v>Texas</v>
      </c>
      <c r="P662" t="str">
        <f>_xlfn.XLOOKUP(Orders[[#This Row],[CustomerID]],Customers[CustomerID],Customers[Gender])</f>
        <v>Female</v>
      </c>
      <c r="Q662">
        <f>_xlfn.XLOOKUP(Orders[[#This Row],[CustomerID]],Customers[CustomerID],Customers[CustomerAge])</f>
        <v>32</v>
      </c>
      <c r="R662" t="str">
        <f>IF(Orders[[#This Row],[CustomerAge]]&gt;=35, "Older", "Young")</f>
        <v>Young</v>
      </c>
      <c r="S662" t="str">
        <f>_xlfn.XLOOKUP(Orders[[#This Row],[ProductID]],Products[ProductID],Products[ProductName])</f>
        <v>Gold Rings</v>
      </c>
      <c r="T662" t="str">
        <f>_xlfn.XLOOKUP(Orders[[#This Row],[ProductID]],Products[ProductID],Products[Category])</f>
        <v>Accessories</v>
      </c>
    </row>
    <row r="663" spans="1:20" x14ac:dyDescent="0.25">
      <c r="A663" s="4" t="s">
        <v>851</v>
      </c>
      <c r="B663" s="5">
        <v>45972</v>
      </c>
      <c r="C663" s="15">
        <f>WEEKNUM(Orders[[#This Row],[OrderDate]])</f>
        <v>46</v>
      </c>
      <c r="D663" s="15" t="str">
        <f>TEXT(Orders[[#This Row],[OrderDate]],"mmmm")</f>
        <v>November</v>
      </c>
      <c r="E663" s="4" t="s">
        <v>298</v>
      </c>
      <c r="F663" s="4" t="s">
        <v>25</v>
      </c>
      <c r="G663" s="4">
        <v>10</v>
      </c>
      <c r="H663" s="12">
        <v>3917.1</v>
      </c>
      <c r="I663" s="13">
        <v>3329.5349999999999</v>
      </c>
      <c r="J663" s="13">
        <f>Orders[[#This Row],[Quantity]]*Orders[[#This Row],[Selling Price]]</f>
        <v>39171</v>
      </c>
      <c r="K663" s="13">
        <f>Orders[[#This Row],[Quantity]]*Orders[[#This Row],[Cost Price]]</f>
        <v>33295.35</v>
      </c>
      <c r="L663" s="13">
        <f>Orders[[#This Row],[Revenue]]-Orders[[#This Row],[Expenses]]</f>
        <v>5875.6500000000015</v>
      </c>
      <c r="M663" t="s">
        <v>2199</v>
      </c>
      <c r="N663" t="str">
        <f>_xlfn.XLOOKUP(Orders[[#This Row],[CustomerID]],Customers[CustomerID],Customers[CustomerName])</f>
        <v>Amina Obi</v>
      </c>
      <c r="O663" t="str">
        <f>_xlfn.XLOOKUP(Orders[[#This Row],[CustomerID]],Customers[CustomerID],Customers[City])</f>
        <v>Florida</v>
      </c>
      <c r="P663" t="str">
        <f>_xlfn.XLOOKUP(Orders[[#This Row],[CustomerID]],Customers[CustomerID],Customers[Gender])</f>
        <v>Female</v>
      </c>
      <c r="Q663">
        <f>_xlfn.XLOOKUP(Orders[[#This Row],[CustomerID]],Customers[CustomerID],Customers[CustomerAge])</f>
        <v>19</v>
      </c>
      <c r="R663" t="str">
        <f>IF(Orders[[#This Row],[CustomerAge]]&gt;=35, "Older", "Young")</f>
        <v>Young</v>
      </c>
      <c r="S663" t="str">
        <f>_xlfn.XLOOKUP(Orders[[#This Row],[ProductID]],Products[ProductID],Products[ProductName])</f>
        <v>Gold Rings</v>
      </c>
      <c r="T663" t="str">
        <f>_xlfn.XLOOKUP(Orders[[#This Row],[ProductID]],Products[ProductID],Products[Category])</f>
        <v>Accessories</v>
      </c>
    </row>
    <row r="664" spans="1:20" x14ac:dyDescent="0.25">
      <c r="A664" s="4" t="s">
        <v>852</v>
      </c>
      <c r="B664" s="5">
        <v>46014</v>
      </c>
      <c r="C664" s="15">
        <f>WEEKNUM(Orders[[#This Row],[OrderDate]])</f>
        <v>52</v>
      </c>
      <c r="D664" s="15" t="str">
        <f>TEXT(Orders[[#This Row],[OrderDate]],"mmmm")</f>
        <v>December</v>
      </c>
      <c r="E664" s="4" t="s">
        <v>340</v>
      </c>
      <c r="F664" s="4" t="s">
        <v>92</v>
      </c>
      <c r="G664" s="4">
        <v>6</v>
      </c>
      <c r="H664" s="12">
        <v>6163.7</v>
      </c>
      <c r="I664" s="13">
        <v>5239.1449999999995</v>
      </c>
      <c r="J664" s="13">
        <f>Orders[[#This Row],[Quantity]]*Orders[[#This Row],[Selling Price]]</f>
        <v>36982.199999999997</v>
      </c>
      <c r="K664" s="13">
        <f>Orders[[#This Row],[Quantity]]*Orders[[#This Row],[Cost Price]]</f>
        <v>31434.869999999995</v>
      </c>
      <c r="L664" s="13">
        <f>Orders[[#This Row],[Revenue]]-Orders[[#This Row],[Expenses]]</f>
        <v>5547.3300000000017</v>
      </c>
      <c r="M664" t="s">
        <v>2215</v>
      </c>
      <c r="N664" t="str">
        <f>_xlfn.XLOOKUP(Orders[[#This Row],[CustomerID]],Customers[CustomerID],Customers[CustomerName])</f>
        <v>Uche Abubakar</v>
      </c>
      <c r="O664" t="str">
        <f>_xlfn.XLOOKUP(Orders[[#This Row],[CustomerID]],Customers[CustomerID],Customers[City])</f>
        <v>Illinois</v>
      </c>
      <c r="P664" t="str">
        <f>_xlfn.XLOOKUP(Orders[[#This Row],[CustomerID]],Customers[CustomerID],Customers[Gender])</f>
        <v>Male</v>
      </c>
      <c r="Q664">
        <f>_xlfn.XLOOKUP(Orders[[#This Row],[CustomerID]],Customers[CustomerID],Customers[CustomerAge])</f>
        <v>18</v>
      </c>
      <c r="R664" t="str">
        <f>IF(Orders[[#This Row],[CustomerAge]]&gt;=35, "Older", "Young")</f>
        <v>Young</v>
      </c>
      <c r="S664" t="str">
        <f>_xlfn.XLOOKUP(Orders[[#This Row],[ProductID]],Products[ProductID],Products[ProductName])</f>
        <v>Chest Expander</v>
      </c>
      <c r="T664" t="str">
        <f>_xlfn.XLOOKUP(Orders[[#This Row],[ProductID]],Products[ProductID],Products[Category])</f>
        <v>Gym</v>
      </c>
    </row>
    <row r="665" spans="1:20" x14ac:dyDescent="0.25">
      <c r="A665" s="4" t="s">
        <v>853</v>
      </c>
      <c r="B665" s="5">
        <v>45932</v>
      </c>
      <c r="C665" s="15">
        <f>WEEKNUM(Orders[[#This Row],[OrderDate]])</f>
        <v>40</v>
      </c>
      <c r="D665" s="15" t="str">
        <f>TEXT(Orders[[#This Row],[OrderDate]],"mmmm")</f>
        <v>October</v>
      </c>
      <c r="E665" s="4" t="s">
        <v>502</v>
      </c>
      <c r="F665" s="4" t="s">
        <v>111</v>
      </c>
      <c r="G665" s="4">
        <v>1</v>
      </c>
      <c r="H665" s="12">
        <v>17743</v>
      </c>
      <c r="I665" s="13">
        <v>15081.55</v>
      </c>
      <c r="J665" s="13">
        <f>Orders[[#This Row],[Quantity]]*Orders[[#This Row],[Selling Price]]</f>
        <v>17743</v>
      </c>
      <c r="K665" s="13">
        <f>Orders[[#This Row],[Quantity]]*Orders[[#This Row],[Cost Price]]</f>
        <v>15081.55</v>
      </c>
      <c r="L665" s="13">
        <f>Orders[[#This Row],[Revenue]]-Orders[[#This Row],[Expenses]]</f>
        <v>2661.4500000000007</v>
      </c>
      <c r="M665" t="s">
        <v>2196</v>
      </c>
      <c r="N665" t="str">
        <f>_xlfn.XLOOKUP(Orders[[#This Row],[CustomerID]],Customers[CustomerID],Customers[CustomerName])</f>
        <v>Obi Eze</v>
      </c>
      <c r="O665" t="str">
        <f>_xlfn.XLOOKUP(Orders[[#This Row],[CustomerID]],Customers[CustomerID],Customers[City])</f>
        <v>Texas</v>
      </c>
      <c r="P665" t="str">
        <f>_xlfn.XLOOKUP(Orders[[#This Row],[CustomerID]],Customers[CustomerID],Customers[Gender])</f>
        <v>Male</v>
      </c>
      <c r="Q665">
        <f>_xlfn.XLOOKUP(Orders[[#This Row],[CustomerID]],Customers[CustomerID],Customers[CustomerAge])</f>
        <v>24</v>
      </c>
      <c r="R665" t="str">
        <f>IF(Orders[[#This Row],[CustomerAge]]&gt;=35, "Older", "Young")</f>
        <v>Young</v>
      </c>
      <c r="S665" t="str">
        <f>_xlfn.XLOOKUP(Orders[[#This Row],[ProductID]],Products[ProductID],Products[ProductName])</f>
        <v>Refrigerator</v>
      </c>
      <c r="T665" t="str">
        <f>_xlfn.XLOOKUP(Orders[[#This Row],[ProductID]],Products[ProductID],Products[Category])</f>
        <v>Electronics</v>
      </c>
    </row>
    <row r="666" spans="1:20" x14ac:dyDescent="0.25">
      <c r="A666" s="4" t="s">
        <v>854</v>
      </c>
      <c r="B666" s="5">
        <v>45936</v>
      </c>
      <c r="C666" s="15">
        <f>WEEKNUM(Orders[[#This Row],[OrderDate]])</f>
        <v>41</v>
      </c>
      <c r="D666" s="15" t="str">
        <f>TEXT(Orders[[#This Row],[OrderDate]],"mmmm")</f>
        <v>October</v>
      </c>
      <c r="E666" s="4" t="s">
        <v>176</v>
      </c>
      <c r="F666" s="4" t="s">
        <v>92</v>
      </c>
      <c r="G666" s="4">
        <v>4</v>
      </c>
      <c r="H666" s="12">
        <v>10721.300000000001</v>
      </c>
      <c r="I666" s="13">
        <v>9113.1050000000014</v>
      </c>
      <c r="J666" s="13">
        <f>Orders[[#This Row],[Quantity]]*Orders[[#This Row],[Selling Price]]</f>
        <v>42885.200000000004</v>
      </c>
      <c r="K666" s="13">
        <f>Orders[[#This Row],[Quantity]]*Orders[[#This Row],[Cost Price]]</f>
        <v>36452.420000000006</v>
      </c>
      <c r="L666" s="13">
        <f>Orders[[#This Row],[Revenue]]-Orders[[#This Row],[Expenses]]</f>
        <v>6432.7799999999988</v>
      </c>
      <c r="M666" t="s">
        <v>2213</v>
      </c>
      <c r="N666" t="str">
        <f>_xlfn.XLOOKUP(Orders[[#This Row],[CustomerID]],Customers[CustomerID],Customers[CustomerName])</f>
        <v>Okon Eze</v>
      </c>
      <c r="O666" t="str">
        <f>_xlfn.XLOOKUP(Orders[[#This Row],[CustomerID]],Customers[CustomerID],Customers[City])</f>
        <v>Florida</v>
      </c>
      <c r="P666" t="str">
        <f>_xlfn.XLOOKUP(Orders[[#This Row],[CustomerID]],Customers[CustomerID],Customers[Gender])</f>
        <v>Male</v>
      </c>
      <c r="Q666">
        <f>_xlfn.XLOOKUP(Orders[[#This Row],[CustomerID]],Customers[CustomerID],Customers[CustomerAge])</f>
        <v>26</v>
      </c>
      <c r="R666" t="str">
        <f>IF(Orders[[#This Row],[CustomerAge]]&gt;=35, "Older", "Young")</f>
        <v>Young</v>
      </c>
      <c r="S666" t="str">
        <f>_xlfn.XLOOKUP(Orders[[#This Row],[ProductID]],Products[ProductID],Products[ProductName])</f>
        <v>Chest Expander</v>
      </c>
      <c r="T666" t="str">
        <f>_xlfn.XLOOKUP(Orders[[#This Row],[ProductID]],Products[ProductID],Products[Category])</f>
        <v>Gym</v>
      </c>
    </row>
    <row r="667" spans="1:20" x14ac:dyDescent="0.25">
      <c r="A667" s="4" t="s">
        <v>855</v>
      </c>
      <c r="B667" s="5">
        <v>45950</v>
      </c>
      <c r="C667" s="15">
        <f>WEEKNUM(Orders[[#This Row],[OrderDate]])</f>
        <v>43</v>
      </c>
      <c r="D667" s="15" t="str">
        <f>TEXT(Orders[[#This Row],[OrderDate]],"mmmm")</f>
        <v>October</v>
      </c>
      <c r="E667" s="4" t="s">
        <v>59</v>
      </c>
      <c r="F667" s="4" t="s">
        <v>208</v>
      </c>
      <c r="G667" s="4">
        <v>2</v>
      </c>
      <c r="H667" s="12">
        <v>16148.5</v>
      </c>
      <c r="I667" s="13">
        <v>13726.225</v>
      </c>
      <c r="J667" s="13">
        <f>Orders[[#This Row],[Quantity]]*Orders[[#This Row],[Selling Price]]</f>
        <v>32297</v>
      </c>
      <c r="K667" s="13">
        <f>Orders[[#This Row],[Quantity]]*Orders[[#This Row],[Cost Price]]</f>
        <v>27452.45</v>
      </c>
      <c r="L667" s="13">
        <f>Orders[[#This Row],[Revenue]]-Orders[[#This Row],[Expenses]]</f>
        <v>4844.5499999999993</v>
      </c>
      <c r="M667" t="s">
        <v>2209</v>
      </c>
      <c r="N667" t="str">
        <f>_xlfn.XLOOKUP(Orders[[#This Row],[CustomerID]],Customers[CustomerID],Customers[CustomerName])</f>
        <v>Adanma Danladi</v>
      </c>
      <c r="O667" t="str">
        <f>_xlfn.XLOOKUP(Orders[[#This Row],[CustomerID]],Customers[CustomerID],Customers[City])</f>
        <v>Texas</v>
      </c>
      <c r="P667" t="str">
        <f>_xlfn.XLOOKUP(Orders[[#This Row],[CustomerID]],Customers[CustomerID],Customers[Gender])</f>
        <v>Female</v>
      </c>
      <c r="Q667">
        <f>_xlfn.XLOOKUP(Orders[[#This Row],[CustomerID]],Customers[CustomerID],Customers[CustomerAge])</f>
        <v>24</v>
      </c>
      <c r="R667" t="str">
        <f>IF(Orders[[#This Row],[CustomerAge]]&gt;=35, "Older", "Young")</f>
        <v>Young</v>
      </c>
      <c r="S667" t="str">
        <f>_xlfn.XLOOKUP(Orders[[#This Row],[ProductID]],Products[ProductID],Products[ProductName])</f>
        <v>Skipping Rope</v>
      </c>
      <c r="T667" t="str">
        <f>_xlfn.XLOOKUP(Orders[[#This Row],[ProductID]],Products[ProductID],Products[Category])</f>
        <v>Sports</v>
      </c>
    </row>
    <row r="668" spans="1:20" x14ac:dyDescent="0.25">
      <c r="A668" s="4" t="s">
        <v>856</v>
      </c>
      <c r="B668" s="5">
        <v>45978</v>
      </c>
      <c r="C668" s="15">
        <f>WEEKNUM(Orders[[#This Row],[OrderDate]])</f>
        <v>47</v>
      </c>
      <c r="D668" s="15" t="str">
        <f>TEXT(Orders[[#This Row],[OrderDate]],"mmmm")</f>
        <v>November</v>
      </c>
      <c r="E668" s="4" t="s">
        <v>182</v>
      </c>
      <c r="F668" s="4" t="s">
        <v>34</v>
      </c>
      <c r="G668" s="4">
        <v>6</v>
      </c>
      <c r="H668" s="12">
        <v>11803.099999999999</v>
      </c>
      <c r="I668" s="13">
        <v>10032.634999999998</v>
      </c>
      <c r="J668" s="13">
        <f>Orders[[#This Row],[Quantity]]*Orders[[#This Row],[Selling Price]]</f>
        <v>70818.599999999991</v>
      </c>
      <c r="K668" s="13">
        <f>Orders[[#This Row],[Quantity]]*Orders[[#This Row],[Cost Price]]</f>
        <v>60195.80999999999</v>
      </c>
      <c r="L668" s="13">
        <f>Orders[[#This Row],[Revenue]]-Orders[[#This Row],[Expenses]]</f>
        <v>10622.79</v>
      </c>
      <c r="M668" t="s">
        <v>2211</v>
      </c>
      <c r="N668" t="str">
        <f>_xlfn.XLOOKUP(Orders[[#This Row],[CustomerID]],Customers[CustomerID],Customers[CustomerName])</f>
        <v>Abiola Okonkwo</v>
      </c>
      <c r="O668" t="str">
        <f>_xlfn.XLOOKUP(Orders[[#This Row],[CustomerID]],Customers[CustomerID],Customers[City])</f>
        <v>Georgia</v>
      </c>
      <c r="P668" t="str">
        <f>_xlfn.XLOOKUP(Orders[[#This Row],[CustomerID]],Customers[CustomerID],Customers[Gender])</f>
        <v>Male</v>
      </c>
      <c r="Q668">
        <f>_xlfn.XLOOKUP(Orders[[#This Row],[CustomerID]],Customers[CustomerID],Customers[CustomerAge])</f>
        <v>39</v>
      </c>
      <c r="R668" t="str">
        <f>IF(Orders[[#This Row],[CustomerAge]]&gt;=35, "Older", "Young")</f>
        <v>Older</v>
      </c>
      <c r="S668" t="str">
        <f>_xlfn.XLOOKUP(Orders[[#This Row],[ProductID]],Products[ProductID],Products[ProductName])</f>
        <v>Gold Bracelets</v>
      </c>
      <c r="T668" t="str">
        <f>_xlfn.XLOOKUP(Orders[[#This Row],[ProductID]],Products[ProductID],Products[Category])</f>
        <v>Accessories</v>
      </c>
    </row>
    <row r="669" spans="1:20" x14ac:dyDescent="0.25">
      <c r="A669" s="4" t="s">
        <v>857</v>
      </c>
      <c r="B669" s="5">
        <v>46003</v>
      </c>
      <c r="C669" s="15">
        <f>WEEKNUM(Orders[[#This Row],[OrderDate]])</f>
        <v>50</v>
      </c>
      <c r="D669" s="15" t="str">
        <f>TEXT(Orders[[#This Row],[OrderDate]],"mmmm")</f>
        <v>December</v>
      </c>
      <c r="E669" s="4" t="s">
        <v>103</v>
      </c>
      <c r="F669" s="4" t="s">
        <v>46</v>
      </c>
      <c r="G669" s="4">
        <v>7</v>
      </c>
      <c r="H669" s="12">
        <v>3453.8</v>
      </c>
      <c r="I669" s="13">
        <v>2935.73</v>
      </c>
      <c r="J669" s="13">
        <f>Orders[[#This Row],[Quantity]]*Orders[[#This Row],[Selling Price]]</f>
        <v>24176.600000000002</v>
      </c>
      <c r="K669" s="13">
        <f>Orders[[#This Row],[Quantity]]*Orders[[#This Row],[Cost Price]]</f>
        <v>20550.11</v>
      </c>
      <c r="L669" s="13">
        <f>Orders[[#This Row],[Revenue]]-Orders[[#This Row],[Expenses]]</f>
        <v>3626.4900000000016</v>
      </c>
      <c r="M669" t="s">
        <v>2204</v>
      </c>
      <c r="N669" t="str">
        <f>_xlfn.XLOOKUP(Orders[[#This Row],[CustomerID]],Customers[CustomerID],Customers[CustomerName])</f>
        <v>Chioma Adeyemi</v>
      </c>
      <c r="O669" t="str">
        <f>_xlfn.XLOOKUP(Orders[[#This Row],[CustomerID]],Customers[CustomerID],Customers[City])</f>
        <v>Georgia</v>
      </c>
      <c r="P669" t="str">
        <f>_xlfn.XLOOKUP(Orders[[#This Row],[CustomerID]],Customers[CustomerID],Customers[Gender])</f>
        <v>Female</v>
      </c>
      <c r="Q669">
        <f>_xlfn.XLOOKUP(Orders[[#This Row],[CustomerID]],Customers[CustomerID],Customers[CustomerAge])</f>
        <v>31</v>
      </c>
      <c r="R669" t="str">
        <f>IF(Orders[[#This Row],[CustomerAge]]&gt;=35, "Older", "Young")</f>
        <v>Young</v>
      </c>
      <c r="S669" t="str">
        <f>_xlfn.XLOOKUP(Orders[[#This Row],[ProductID]],Products[ProductID],Products[ProductName])</f>
        <v>Turtle Neck</v>
      </c>
      <c r="T669" t="str">
        <f>_xlfn.XLOOKUP(Orders[[#This Row],[ProductID]],Products[ProductID],Products[Category])</f>
        <v>Clothing</v>
      </c>
    </row>
    <row r="670" spans="1:20" x14ac:dyDescent="0.25">
      <c r="A670" s="4" t="s">
        <v>858</v>
      </c>
      <c r="B670" s="5">
        <v>46009</v>
      </c>
      <c r="C670" s="15">
        <f>WEEKNUM(Orders[[#This Row],[OrderDate]])</f>
        <v>51</v>
      </c>
      <c r="D670" s="15" t="str">
        <f>TEXT(Orders[[#This Row],[OrderDate]],"mmmm")</f>
        <v>December</v>
      </c>
      <c r="E670" s="4" t="s">
        <v>136</v>
      </c>
      <c r="F670" s="4" t="s">
        <v>70</v>
      </c>
      <c r="G670" s="4">
        <v>5</v>
      </c>
      <c r="H670" s="12">
        <v>4514.8999999999996</v>
      </c>
      <c r="I670" s="13">
        <v>3837.665</v>
      </c>
      <c r="J670" s="13">
        <f>Orders[[#This Row],[Quantity]]*Orders[[#This Row],[Selling Price]]</f>
        <v>22574.5</v>
      </c>
      <c r="K670" s="13">
        <f>Orders[[#This Row],[Quantity]]*Orders[[#This Row],[Cost Price]]</f>
        <v>19188.325000000001</v>
      </c>
      <c r="L670" s="13">
        <f>Orders[[#This Row],[Revenue]]-Orders[[#This Row],[Expenses]]</f>
        <v>3386.1749999999993</v>
      </c>
      <c r="M670" t="s">
        <v>2200</v>
      </c>
      <c r="N670" t="str">
        <f>_xlfn.XLOOKUP(Orders[[#This Row],[CustomerID]],Customers[CustomerID],Customers[CustomerName])</f>
        <v>Chinedu Obi</v>
      </c>
      <c r="O670" t="str">
        <f>_xlfn.XLOOKUP(Orders[[#This Row],[CustomerID]],Customers[CustomerID],Customers[City])</f>
        <v>California</v>
      </c>
      <c r="P670" t="str">
        <f>_xlfn.XLOOKUP(Orders[[#This Row],[CustomerID]],Customers[CustomerID],Customers[Gender])</f>
        <v>Male</v>
      </c>
      <c r="Q670">
        <f>_xlfn.XLOOKUP(Orders[[#This Row],[CustomerID]],Customers[CustomerID],Customers[CustomerAge])</f>
        <v>27</v>
      </c>
      <c r="R670" t="str">
        <f>IF(Orders[[#This Row],[CustomerAge]]&gt;=35, "Older", "Young")</f>
        <v>Young</v>
      </c>
      <c r="S670" t="str">
        <f>_xlfn.XLOOKUP(Orders[[#This Row],[ProductID]],Products[ProductID],Products[ProductName])</f>
        <v>Yoga Mat</v>
      </c>
      <c r="T670" t="str">
        <f>_xlfn.XLOOKUP(Orders[[#This Row],[ProductID]],Products[ProductID],Products[Category])</f>
        <v>Gym</v>
      </c>
    </row>
    <row r="671" spans="1:20" x14ac:dyDescent="0.25">
      <c r="A671" s="4" t="s">
        <v>859</v>
      </c>
      <c r="B671" s="5">
        <v>46016</v>
      </c>
      <c r="C671" s="15">
        <f>WEEKNUM(Orders[[#This Row],[OrderDate]])</f>
        <v>52</v>
      </c>
      <c r="D671" s="15" t="str">
        <f>TEXT(Orders[[#This Row],[OrderDate]],"mmmm")</f>
        <v>December</v>
      </c>
      <c r="E671" s="4" t="s">
        <v>48</v>
      </c>
      <c r="F671" s="4" t="s">
        <v>57</v>
      </c>
      <c r="G671" s="4">
        <v>4</v>
      </c>
      <c r="H671" s="12">
        <v>12378.900000000001</v>
      </c>
      <c r="I671" s="13">
        <v>10522.065000000002</v>
      </c>
      <c r="J671" s="13">
        <f>Orders[[#This Row],[Quantity]]*Orders[[#This Row],[Selling Price]]</f>
        <v>49515.600000000006</v>
      </c>
      <c r="K671" s="13">
        <f>Orders[[#This Row],[Quantity]]*Orders[[#This Row],[Cost Price]]</f>
        <v>42088.260000000009</v>
      </c>
      <c r="L671" s="13">
        <f>Orders[[#This Row],[Revenue]]-Orders[[#This Row],[Expenses]]</f>
        <v>7427.3399999999965</v>
      </c>
      <c r="M671" t="s">
        <v>2215</v>
      </c>
      <c r="N671" t="str">
        <f>_xlfn.XLOOKUP(Orders[[#This Row],[CustomerID]],Customers[CustomerID],Customers[CustomerName])</f>
        <v>Mustafa Obi</v>
      </c>
      <c r="O671" t="str">
        <f>_xlfn.XLOOKUP(Orders[[#This Row],[CustomerID]],Customers[CustomerID],Customers[City])</f>
        <v>California</v>
      </c>
      <c r="P671" t="str">
        <f>_xlfn.XLOOKUP(Orders[[#This Row],[CustomerID]],Customers[CustomerID],Customers[Gender])</f>
        <v>Male</v>
      </c>
      <c r="Q671">
        <f>_xlfn.XLOOKUP(Orders[[#This Row],[CustomerID]],Customers[CustomerID],Customers[CustomerAge])</f>
        <v>23</v>
      </c>
      <c r="R671" t="str">
        <f>IF(Orders[[#This Row],[CustomerAge]]&gt;=35, "Older", "Young")</f>
        <v>Young</v>
      </c>
      <c r="S671" t="str">
        <f>_xlfn.XLOOKUP(Orders[[#This Row],[ProductID]],Products[ProductID],Products[ProductName])</f>
        <v>Badminton Racket</v>
      </c>
      <c r="T671" t="str">
        <f>_xlfn.XLOOKUP(Orders[[#This Row],[ProductID]],Products[ProductID],Products[Category])</f>
        <v>Sports</v>
      </c>
    </row>
    <row r="672" spans="1:20" x14ac:dyDescent="0.25">
      <c r="A672" s="4" t="s">
        <v>860</v>
      </c>
      <c r="B672" s="5">
        <v>46010</v>
      </c>
      <c r="C672" s="15">
        <f>WEEKNUM(Orders[[#This Row],[OrderDate]])</f>
        <v>51</v>
      </c>
      <c r="D672" s="15" t="str">
        <f>TEXT(Orders[[#This Row],[OrderDate]],"mmmm")</f>
        <v>December</v>
      </c>
      <c r="E672" s="4" t="s">
        <v>386</v>
      </c>
      <c r="F672" s="4" t="s">
        <v>168</v>
      </c>
      <c r="G672" s="4">
        <v>7</v>
      </c>
      <c r="H672" s="12">
        <v>11008.5</v>
      </c>
      <c r="I672" s="13">
        <v>9357.2250000000004</v>
      </c>
      <c r="J672" s="13">
        <f>Orders[[#This Row],[Quantity]]*Orders[[#This Row],[Selling Price]]</f>
        <v>77059.5</v>
      </c>
      <c r="K672" s="13">
        <f>Orders[[#This Row],[Quantity]]*Orders[[#This Row],[Cost Price]]</f>
        <v>65500.575000000004</v>
      </c>
      <c r="L672" s="13">
        <f>Orders[[#This Row],[Revenue]]-Orders[[#This Row],[Expenses]]</f>
        <v>11558.924999999996</v>
      </c>
      <c r="M672" t="s">
        <v>2196</v>
      </c>
      <c r="N672" t="str">
        <f>_xlfn.XLOOKUP(Orders[[#This Row],[CustomerID]],Customers[CustomerID],Customers[CustomerName])</f>
        <v>Chinedu Eze</v>
      </c>
      <c r="O672" t="str">
        <f>_xlfn.XLOOKUP(Orders[[#This Row],[CustomerID]],Customers[CustomerID],Customers[City])</f>
        <v>Washington</v>
      </c>
      <c r="P672" t="str">
        <f>_xlfn.XLOOKUP(Orders[[#This Row],[CustomerID]],Customers[CustomerID],Customers[Gender])</f>
        <v>Male</v>
      </c>
      <c r="Q672">
        <f>_xlfn.XLOOKUP(Orders[[#This Row],[CustomerID]],Customers[CustomerID],Customers[CustomerAge])</f>
        <v>32</v>
      </c>
      <c r="R672" t="str">
        <f>IF(Orders[[#This Row],[CustomerAge]]&gt;=35, "Older", "Young")</f>
        <v>Young</v>
      </c>
      <c r="S672" t="str">
        <f>_xlfn.XLOOKUP(Orders[[#This Row],[ProductID]],Products[ProductID],Products[ProductName])</f>
        <v>Dumb Bells</v>
      </c>
      <c r="T672" t="str">
        <f>_xlfn.XLOOKUP(Orders[[#This Row],[ProductID]],Products[ProductID],Products[Category])</f>
        <v>Gym</v>
      </c>
    </row>
    <row r="673" spans="1:20" x14ac:dyDescent="0.25">
      <c r="A673" s="4" t="s">
        <v>861</v>
      </c>
      <c r="B673" s="5">
        <v>46001</v>
      </c>
      <c r="C673" s="15">
        <f>WEEKNUM(Orders[[#This Row],[OrderDate]])</f>
        <v>50</v>
      </c>
      <c r="D673" s="15" t="str">
        <f>TEXT(Orders[[#This Row],[OrderDate]],"mmmm")</f>
        <v>December</v>
      </c>
      <c r="E673" s="4" t="s">
        <v>546</v>
      </c>
      <c r="F673" s="4" t="s">
        <v>28</v>
      </c>
      <c r="G673" s="4">
        <v>2</v>
      </c>
      <c r="H673" s="12">
        <v>19678.5</v>
      </c>
      <c r="I673" s="13">
        <v>16726.724999999999</v>
      </c>
      <c r="J673" s="13">
        <f>Orders[[#This Row],[Quantity]]*Orders[[#This Row],[Selling Price]]</f>
        <v>39357</v>
      </c>
      <c r="K673" s="13">
        <f>Orders[[#This Row],[Quantity]]*Orders[[#This Row],[Cost Price]]</f>
        <v>33453.449999999997</v>
      </c>
      <c r="L673" s="13">
        <f>Orders[[#This Row],[Revenue]]-Orders[[#This Row],[Expenses]]</f>
        <v>5903.5500000000029</v>
      </c>
      <c r="M673" t="s">
        <v>2213</v>
      </c>
      <c r="N673" t="str">
        <f>_xlfn.XLOOKUP(Orders[[#This Row],[CustomerID]],Customers[CustomerID],Customers[CustomerName])</f>
        <v>Bisi Eze</v>
      </c>
      <c r="O673" t="str">
        <f>_xlfn.XLOOKUP(Orders[[#This Row],[CustomerID]],Customers[CustomerID],Customers[City])</f>
        <v>Texas</v>
      </c>
      <c r="P673" t="str">
        <f>_xlfn.XLOOKUP(Orders[[#This Row],[CustomerID]],Customers[CustomerID],Customers[Gender])</f>
        <v>Female</v>
      </c>
      <c r="Q673">
        <f>_xlfn.XLOOKUP(Orders[[#This Row],[CustomerID]],Customers[CustomerID],Customers[CustomerAge])</f>
        <v>32</v>
      </c>
      <c r="R673" t="str">
        <f>IF(Orders[[#This Row],[CustomerAge]]&gt;=35, "Older", "Young")</f>
        <v>Young</v>
      </c>
      <c r="S673" t="str">
        <f>_xlfn.XLOOKUP(Orders[[#This Row],[ProductID]],Products[ProductID],Products[ProductName])</f>
        <v>Sneakers</v>
      </c>
      <c r="T673" t="str">
        <f>_xlfn.XLOOKUP(Orders[[#This Row],[ProductID]],Products[ProductID],Products[Category])</f>
        <v>Sports</v>
      </c>
    </row>
    <row r="674" spans="1:20" x14ac:dyDescent="0.25">
      <c r="A674" s="4" t="s">
        <v>862</v>
      </c>
      <c r="B674" s="5">
        <v>45992</v>
      </c>
      <c r="C674" s="15">
        <f>WEEKNUM(Orders[[#This Row],[OrderDate]])</f>
        <v>49</v>
      </c>
      <c r="D674" s="15" t="str">
        <f>TEXT(Orders[[#This Row],[OrderDate]],"mmmm")</f>
        <v>December</v>
      </c>
      <c r="E674" s="4" t="s">
        <v>324</v>
      </c>
      <c r="F674" s="4" t="s">
        <v>120</v>
      </c>
      <c r="G674" s="4">
        <v>9</v>
      </c>
      <c r="H674" s="12">
        <v>18398</v>
      </c>
      <c r="I674" s="13">
        <v>15638.3</v>
      </c>
      <c r="J674" s="13">
        <f>Orders[[#This Row],[Quantity]]*Orders[[#This Row],[Selling Price]]</f>
        <v>165582</v>
      </c>
      <c r="K674" s="13">
        <f>Orders[[#This Row],[Quantity]]*Orders[[#This Row],[Cost Price]]</f>
        <v>140744.69999999998</v>
      </c>
      <c r="L674" s="13">
        <f>Orders[[#This Row],[Revenue]]-Orders[[#This Row],[Expenses]]</f>
        <v>24837.300000000017</v>
      </c>
      <c r="M674" t="s">
        <v>2195</v>
      </c>
      <c r="N674" t="str">
        <f>_xlfn.XLOOKUP(Orders[[#This Row],[CustomerID]],Customers[CustomerID],Customers[CustomerName])</f>
        <v>Tunde Okonkwo</v>
      </c>
      <c r="O674" t="str">
        <f>_xlfn.XLOOKUP(Orders[[#This Row],[CustomerID]],Customers[CustomerID],Customers[City])</f>
        <v>Texas</v>
      </c>
      <c r="P674" t="str">
        <f>_xlfn.XLOOKUP(Orders[[#This Row],[CustomerID]],Customers[CustomerID],Customers[Gender])</f>
        <v>Male</v>
      </c>
      <c r="Q674">
        <f>_xlfn.XLOOKUP(Orders[[#This Row],[CustomerID]],Customers[CustomerID],Customers[CustomerAge])</f>
        <v>25</v>
      </c>
      <c r="R674" t="str">
        <f>IF(Orders[[#This Row],[CustomerAge]]&gt;=35, "Older", "Young")</f>
        <v>Young</v>
      </c>
      <c r="S674" t="str">
        <f>_xlfn.XLOOKUP(Orders[[#This Row],[ProductID]],Products[ProductID],Products[ProductName])</f>
        <v>Chess</v>
      </c>
      <c r="T674" t="str">
        <f>_xlfn.XLOOKUP(Orders[[#This Row],[ProductID]],Products[ProductID],Products[Category])</f>
        <v>Games</v>
      </c>
    </row>
    <row r="675" spans="1:20" x14ac:dyDescent="0.25">
      <c r="A675" s="4" t="s">
        <v>863</v>
      </c>
      <c r="B675" s="5">
        <v>45945</v>
      </c>
      <c r="C675" s="15">
        <f>WEEKNUM(Orders[[#This Row],[OrderDate]])</f>
        <v>42</v>
      </c>
      <c r="D675" s="15" t="str">
        <f>TEXT(Orders[[#This Row],[OrderDate]],"mmmm")</f>
        <v>October</v>
      </c>
      <c r="E675" s="4" t="s">
        <v>322</v>
      </c>
      <c r="F675" s="4" t="s">
        <v>34</v>
      </c>
      <c r="G675" s="4">
        <v>10</v>
      </c>
      <c r="H675" s="12">
        <v>14802.3</v>
      </c>
      <c r="I675" s="13">
        <v>12581.955</v>
      </c>
      <c r="J675" s="13">
        <f>Orders[[#This Row],[Quantity]]*Orders[[#This Row],[Selling Price]]</f>
        <v>148023</v>
      </c>
      <c r="K675" s="13">
        <f>Orders[[#This Row],[Quantity]]*Orders[[#This Row],[Cost Price]]</f>
        <v>125819.55</v>
      </c>
      <c r="L675" s="13">
        <f>Orders[[#This Row],[Revenue]]-Orders[[#This Row],[Expenses]]</f>
        <v>22203.449999999997</v>
      </c>
      <c r="M675" t="s">
        <v>2207</v>
      </c>
      <c r="N675" t="str">
        <f>_xlfn.XLOOKUP(Orders[[#This Row],[CustomerID]],Customers[CustomerID],Customers[CustomerName])</f>
        <v>Ngozi Bello</v>
      </c>
      <c r="O675" t="str">
        <f>_xlfn.XLOOKUP(Orders[[#This Row],[CustomerID]],Customers[CustomerID],Customers[City])</f>
        <v>Washington</v>
      </c>
      <c r="P675" t="str">
        <f>_xlfn.XLOOKUP(Orders[[#This Row],[CustomerID]],Customers[CustomerID],Customers[Gender])</f>
        <v>Female</v>
      </c>
      <c r="Q675">
        <f>_xlfn.XLOOKUP(Orders[[#This Row],[CustomerID]],Customers[CustomerID],Customers[CustomerAge])</f>
        <v>32</v>
      </c>
      <c r="R675" t="str">
        <f>IF(Orders[[#This Row],[CustomerAge]]&gt;=35, "Older", "Young")</f>
        <v>Young</v>
      </c>
      <c r="S675" t="str">
        <f>_xlfn.XLOOKUP(Orders[[#This Row],[ProductID]],Products[ProductID],Products[ProductName])</f>
        <v>Gold Bracelets</v>
      </c>
      <c r="T675" t="str">
        <f>_xlfn.XLOOKUP(Orders[[#This Row],[ProductID]],Products[ProductID],Products[Category])</f>
        <v>Accessories</v>
      </c>
    </row>
    <row r="676" spans="1:20" x14ac:dyDescent="0.25">
      <c r="A676" s="4" t="s">
        <v>864</v>
      </c>
      <c r="B676" s="5">
        <v>45969</v>
      </c>
      <c r="C676" s="15">
        <f>WEEKNUM(Orders[[#This Row],[OrderDate]])</f>
        <v>45</v>
      </c>
      <c r="D676" s="15" t="str">
        <f>TEXT(Orders[[#This Row],[OrderDate]],"mmmm")</f>
        <v>November</v>
      </c>
      <c r="E676" s="4" t="s">
        <v>833</v>
      </c>
      <c r="F676" s="4" t="s">
        <v>84</v>
      </c>
      <c r="G676" s="4">
        <v>10</v>
      </c>
      <c r="H676" s="12">
        <v>1758.6000000000001</v>
      </c>
      <c r="I676" s="13">
        <v>1494.8100000000002</v>
      </c>
      <c r="J676" s="13">
        <f>Orders[[#This Row],[Quantity]]*Orders[[#This Row],[Selling Price]]</f>
        <v>17586</v>
      </c>
      <c r="K676" s="13">
        <f>Orders[[#This Row],[Quantity]]*Orders[[#This Row],[Cost Price]]</f>
        <v>14948.100000000002</v>
      </c>
      <c r="L676" s="13">
        <f>Orders[[#This Row],[Revenue]]-Orders[[#This Row],[Expenses]]</f>
        <v>2637.8999999999978</v>
      </c>
      <c r="M676" t="s">
        <v>2213</v>
      </c>
      <c r="N676" t="str">
        <f>_xlfn.XLOOKUP(Orders[[#This Row],[CustomerID]],Customers[CustomerID],Customers[CustomerName])</f>
        <v>Abiola Adeyemi</v>
      </c>
      <c r="O676" t="str">
        <f>_xlfn.XLOOKUP(Orders[[#This Row],[CustomerID]],Customers[CustomerID],Customers[City])</f>
        <v>Washington</v>
      </c>
      <c r="P676" t="str">
        <f>_xlfn.XLOOKUP(Orders[[#This Row],[CustomerID]],Customers[CustomerID],Customers[Gender])</f>
        <v>Male</v>
      </c>
      <c r="Q676">
        <f>_xlfn.XLOOKUP(Orders[[#This Row],[CustomerID]],Customers[CustomerID],Customers[CustomerAge])</f>
        <v>53</v>
      </c>
      <c r="R676" t="str">
        <f>IF(Orders[[#This Row],[CustomerAge]]&gt;=35, "Older", "Young")</f>
        <v>Older</v>
      </c>
      <c r="S676" t="str">
        <f>_xlfn.XLOOKUP(Orders[[#This Row],[ProductID]],Products[ProductID],Products[ProductName])</f>
        <v>Gym Wears</v>
      </c>
      <c r="T676" t="str">
        <f>_xlfn.XLOOKUP(Orders[[#This Row],[ProductID]],Products[ProductID],Products[Category])</f>
        <v>Clothing</v>
      </c>
    </row>
    <row r="677" spans="1:20" x14ac:dyDescent="0.25">
      <c r="A677" s="4" t="s">
        <v>865</v>
      </c>
      <c r="B677" s="5">
        <v>46011</v>
      </c>
      <c r="C677" s="15">
        <f>WEEKNUM(Orders[[#This Row],[OrderDate]])</f>
        <v>51</v>
      </c>
      <c r="D677" s="15" t="str">
        <f>TEXT(Orders[[#This Row],[OrderDate]],"mmmm")</f>
        <v>December</v>
      </c>
      <c r="E677" s="4" t="s">
        <v>264</v>
      </c>
      <c r="F677" s="4" t="s">
        <v>57</v>
      </c>
      <c r="G677" s="4">
        <v>10</v>
      </c>
      <c r="H677" s="12">
        <v>6264.4000000000005</v>
      </c>
      <c r="I677" s="13">
        <v>5324.7400000000007</v>
      </c>
      <c r="J677" s="13">
        <f>Orders[[#This Row],[Quantity]]*Orders[[#This Row],[Selling Price]]</f>
        <v>62644.000000000007</v>
      </c>
      <c r="K677" s="13">
        <f>Orders[[#This Row],[Quantity]]*Orders[[#This Row],[Cost Price]]</f>
        <v>53247.400000000009</v>
      </c>
      <c r="L677" s="13">
        <f>Orders[[#This Row],[Revenue]]-Orders[[#This Row],[Expenses]]</f>
        <v>9396.5999999999985</v>
      </c>
      <c r="M677" t="s">
        <v>2195</v>
      </c>
      <c r="N677" t="str">
        <f>_xlfn.XLOOKUP(Orders[[#This Row],[CustomerID]],Customers[CustomerID],Customers[CustomerName])</f>
        <v>Ronke Adeyemi</v>
      </c>
      <c r="O677" t="str">
        <f>_xlfn.XLOOKUP(Orders[[#This Row],[CustomerID]],Customers[CustomerID],Customers[City])</f>
        <v>Georgia</v>
      </c>
      <c r="P677" t="str">
        <f>_xlfn.XLOOKUP(Orders[[#This Row],[CustomerID]],Customers[CustomerID],Customers[Gender])</f>
        <v>Female</v>
      </c>
      <c r="Q677">
        <f>_xlfn.XLOOKUP(Orders[[#This Row],[CustomerID]],Customers[CustomerID],Customers[CustomerAge])</f>
        <v>19</v>
      </c>
      <c r="R677" t="str">
        <f>IF(Orders[[#This Row],[CustomerAge]]&gt;=35, "Older", "Young")</f>
        <v>Young</v>
      </c>
      <c r="S677" t="str">
        <f>_xlfn.XLOOKUP(Orders[[#This Row],[ProductID]],Products[ProductID],Products[ProductName])</f>
        <v>Badminton Racket</v>
      </c>
      <c r="T677" t="str">
        <f>_xlfn.XLOOKUP(Orders[[#This Row],[ProductID]],Products[ProductID],Products[Category])</f>
        <v>Sports</v>
      </c>
    </row>
    <row r="678" spans="1:20" x14ac:dyDescent="0.25">
      <c r="A678" s="4" t="s">
        <v>866</v>
      </c>
      <c r="B678" s="5">
        <v>45961</v>
      </c>
      <c r="C678" s="15">
        <f>WEEKNUM(Orders[[#This Row],[OrderDate]])</f>
        <v>44</v>
      </c>
      <c r="D678" s="15" t="str">
        <f>TEXT(Orders[[#This Row],[OrderDate]],"mmmm")</f>
        <v>October</v>
      </c>
      <c r="E678" s="4" t="s">
        <v>260</v>
      </c>
      <c r="F678" s="4" t="s">
        <v>353</v>
      </c>
      <c r="G678" s="4">
        <v>5</v>
      </c>
      <c r="H678" s="12">
        <v>11355.8</v>
      </c>
      <c r="I678" s="13">
        <v>9652.43</v>
      </c>
      <c r="J678" s="13">
        <f>Orders[[#This Row],[Quantity]]*Orders[[#This Row],[Selling Price]]</f>
        <v>56779</v>
      </c>
      <c r="K678" s="13">
        <f>Orders[[#This Row],[Quantity]]*Orders[[#This Row],[Cost Price]]</f>
        <v>48262.15</v>
      </c>
      <c r="L678" s="13">
        <f>Orders[[#This Row],[Revenue]]-Orders[[#This Row],[Expenses]]</f>
        <v>8516.8499999999985</v>
      </c>
      <c r="M678" t="s">
        <v>2197</v>
      </c>
      <c r="N678" t="str">
        <f>_xlfn.XLOOKUP(Orders[[#This Row],[CustomerID]],Customers[CustomerID],Customers[CustomerName])</f>
        <v>Amina Obi</v>
      </c>
      <c r="O678" t="str">
        <f>_xlfn.XLOOKUP(Orders[[#This Row],[CustomerID]],Customers[CustomerID],Customers[City])</f>
        <v>Florida</v>
      </c>
      <c r="P678" t="str">
        <f>_xlfn.XLOOKUP(Orders[[#This Row],[CustomerID]],Customers[CustomerID],Customers[Gender])</f>
        <v>Female</v>
      </c>
      <c r="Q678">
        <f>_xlfn.XLOOKUP(Orders[[#This Row],[CustomerID]],Customers[CustomerID],Customers[CustomerAge])</f>
        <v>29</v>
      </c>
      <c r="R678" t="str">
        <f>IF(Orders[[#This Row],[CustomerAge]]&gt;=35, "Older", "Young")</f>
        <v>Young</v>
      </c>
      <c r="S678" t="str">
        <f>_xlfn.XLOOKUP(Orders[[#This Row],[ProductID]],Products[ProductID],Products[ProductName])</f>
        <v>Silver Earrings And Necklaces</v>
      </c>
      <c r="T678" t="str">
        <f>_xlfn.XLOOKUP(Orders[[#This Row],[ProductID]],Products[ProductID],Products[Category])</f>
        <v>Accessories</v>
      </c>
    </row>
    <row r="679" spans="1:20" x14ac:dyDescent="0.25">
      <c r="A679" s="4" t="s">
        <v>867</v>
      </c>
      <c r="B679" s="5">
        <v>46004</v>
      </c>
      <c r="C679" s="15">
        <f>WEEKNUM(Orders[[#This Row],[OrderDate]])</f>
        <v>50</v>
      </c>
      <c r="D679" s="15" t="str">
        <f>TEXT(Orders[[#This Row],[OrderDate]],"mmmm")</f>
        <v>December</v>
      </c>
      <c r="E679" s="4" t="s">
        <v>369</v>
      </c>
      <c r="F679" s="4" t="s">
        <v>15</v>
      </c>
      <c r="G679" s="4">
        <v>2</v>
      </c>
      <c r="H679" s="12">
        <v>14687.8</v>
      </c>
      <c r="I679" s="13">
        <v>12484.63</v>
      </c>
      <c r="J679" s="13">
        <f>Orders[[#This Row],[Quantity]]*Orders[[#This Row],[Selling Price]]</f>
        <v>29375.599999999999</v>
      </c>
      <c r="K679" s="13">
        <f>Orders[[#This Row],[Quantity]]*Orders[[#This Row],[Cost Price]]</f>
        <v>24969.26</v>
      </c>
      <c r="L679" s="13">
        <f>Orders[[#This Row],[Revenue]]-Orders[[#This Row],[Expenses]]</f>
        <v>4406.34</v>
      </c>
      <c r="M679" t="s">
        <v>2192</v>
      </c>
      <c r="N679" t="str">
        <f>_xlfn.XLOOKUP(Orders[[#This Row],[CustomerID]],Customers[CustomerID],Customers[CustomerName])</f>
        <v>Ibrahim Bello</v>
      </c>
      <c r="O679" t="str">
        <f>_xlfn.XLOOKUP(Orders[[#This Row],[CustomerID]],Customers[CustomerID],Customers[City])</f>
        <v>Washington</v>
      </c>
      <c r="P679" t="str">
        <f>_xlfn.XLOOKUP(Orders[[#This Row],[CustomerID]],Customers[CustomerID],Customers[Gender])</f>
        <v>Male</v>
      </c>
      <c r="Q679">
        <f>_xlfn.XLOOKUP(Orders[[#This Row],[CustomerID]],Customers[CustomerID],Customers[CustomerAge])</f>
        <v>40</v>
      </c>
      <c r="R679" t="str">
        <f>IF(Orders[[#This Row],[CustomerAge]]&gt;=35, "Older", "Young")</f>
        <v>Older</v>
      </c>
      <c r="S679" t="str">
        <f>_xlfn.XLOOKUP(Orders[[#This Row],[ProductID]],Products[ProductID],Products[ProductName])</f>
        <v>Monopoly</v>
      </c>
      <c r="T679" t="str">
        <f>_xlfn.XLOOKUP(Orders[[#This Row],[ProductID]],Products[ProductID],Products[Category])</f>
        <v>Games</v>
      </c>
    </row>
    <row r="680" spans="1:20" x14ac:dyDescent="0.25">
      <c r="A680" s="4" t="s">
        <v>868</v>
      </c>
      <c r="B680" s="5">
        <v>45961</v>
      </c>
      <c r="C680" s="15">
        <f>WEEKNUM(Orders[[#This Row],[OrderDate]])</f>
        <v>44</v>
      </c>
      <c r="D680" s="15" t="str">
        <f>TEXT(Orders[[#This Row],[OrderDate]],"mmmm")</f>
        <v>October</v>
      </c>
      <c r="E680" s="4" t="s">
        <v>212</v>
      </c>
      <c r="F680" s="4" t="s">
        <v>53</v>
      </c>
      <c r="G680" s="4">
        <v>2</v>
      </c>
      <c r="H680" s="12">
        <v>14619.300000000001</v>
      </c>
      <c r="I680" s="13">
        <v>12426.405000000001</v>
      </c>
      <c r="J680" s="13">
        <f>Orders[[#This Row],[Quantity]]*Orders[[#This Row],[Selling Price]]</f>
        <v>29238.600000000002</v>
      </c>
      <c r="K680" s="13">
        <f>Orders[[#This Row],[Quantity]]*Orders[[#This Row],[Cost Price]]</f>
        <v>24852.81</v>
      </c>
      <c r="L680" s="13">
        <f>Orders[[#This Row],[Revenue]]-Orders[[#This Row],[Expenses]]</f>
        <v>4385.7900000000009</v>
      </c>
      <c r="M680" t="s">
        <v>2197</v>
      </c>
      <c r="N680" t="str">
        <f>_xlfn.XLOOKUP(Orders[[#This Row],[CustomerID]],Customers[CustomerID],Customers[CustomerName])</f>
        <v>Ngozi Ojo</v>
      </c>
      <c r="O680" t="str">
        <f>_xlfn.XLOOKUP(Orders[[#This Row],[CustomerID]],Customers[CustomerID],Customers[City])</f>
        <v>Illinois</v>
      </c>
      <c r="P680" t="str">
        <f>_xlfn.XLOOKUP(Orders[[#This Row],[CustomerID]],Customers[CustomerID],Customers[Gender])</f>
        <v>Female</v>
      </c>
      <c r="Q680">
        <f>_xlfn.XLOOKUP(Orders[[#This Row],[CustomerID]],Customers[CustomerID],Customers[CustomerAge])</f>
        <v>53</v>
      </c>
      <c r="R680" t="str">
        <f>IF(Orders[[#This Row],[CustomerAge]]&gt;=35, "Older", "Young")</f>
        <v>Older</v>
      </c>
      <c r="S680" t="str">
        <f>_xlfn.XLOOKUP(Orders[[#This Row],[ProductID]],Products[ProductID],Products[ProductName])</f>
        <v>Silver Bangles</v>
      </c>
      <c r="T680" t="str">
        <f>_xlfn.XLOOKUP(Orders[[#This Row],[ProductID]],Products[ProductID],Products[Category])</f>
        <v>Accessories</v>
      </c>
    </row>
    <row r="681" spans="1:20" x14ac:dyDescent="0.25">
      <c r="A681" s="4" t="s">
        <v>869</v>
      </c>
      <c r="B681" s="5">
        <v>45932</v>
      </c>
      <c r="C681" s="15">
        <f>WEEKNUM(Orders[[#This Row],[OrderDate]])</f>
        <v>40</v>
      </c>
      <c r="D681" s="15" t="str">
        <f>TEXT(Orders[[#This Row],[OrderDate]],"mmmm")</f>
        <v>October</v>
      </c>
      <c r="E681" s="4" t="s">
        <v>62</v>
      </c>
      <c r="F681" s="4" t="s">
        <v>60</v>
      </c>
      <c r="G681" s="4">
        <v>9</v>
      </c>
      <c r="H681" s="12">
        <v>7515.2</v>
      </c>
      <c r="I681" s="13">
        <v>6387.92</v>
      </c>
      <c r="J681" s="13">
        <f>Orders[[#This Row],[Quantity]]*Orders[[#This Row],[Selling Price]]</f>
        <v>67636.800000000003</v>
      </c>
      <c r="K681" s="13">
        <f>Orders[[#This Row],[Quantity]]*Orders[[#This Row],[Cost Price]]</f>
        <v>57491.28</v>
      </c>
      <c r="L681" s="13">
        <f>Orders[[#This Row],[Revenue]]-Orders[[#This Row],[Expenses]]</f>
        <v>10145.520000000004</v>
      </c>
      <c r="M681" t="s">
        <v>2204</v>
      </c>
      <c r="N681" t="str">
        <f>_xlfn.XLOOKUP(Orders[[#This Row],[CustomerID]],Customers[CustomerID],Customers[CustomerName])</f>
        <v>Ronke Okonkwo</v>
      </c>
      <c r="O681" t="str">
        <f>_xlfn.XLOOKUP(Orders[[#This Row],[CustomerID]],Customers[CustomerID],Customers[City])</f>
        <v>Texas</v>
      </c>
      <c r="P681" t="str">
        <f>_xlfn.XLOOKUP(Orders[[#This Row],[CustomerID]],Customers[CustomerID],Customers[Gender])</f>
        <v>Female</v>
      </c>
      <c r="Q681">
        <f>_xlfn.XLOOKUP(Orders[[#This Row],[CustomerID]],Customers[CustomerID],Customers[CustomerAge])</f>
        <v>36</v>
      </c>
      <c r="R681" t="str">
        <f>IF(Orders[[#This Row],[CustomerAge]]&gt;=35, "Older", "Young")</f>
        <v>Older</v>
      </c>
      <c r="S681" t="str">
        <f>_xlfn.XLOOKUP(Orders[[#This Row],[ProductID]],Products[ProductID],Products[ProductName])</f>
        <v>Silver Rings</v>
      </c>
      <c r="T681" t="str">
        <f>_xlfn.XLOOKUP(Orders[[#This Row],[ProductID]],Products[ProductID],Products[Category])</f>
        <v>Accessories</v>
      </c>
    </row>
    <row r="682" spans="1:20" x14ac:dyDescent="0.25">
      <c r="A682" s="4" t="s">
        <v>870</v>
      </c>
      <c r="B682" s="5">
        <v>45943</v>
      </c>
      <c r="C682" s="15">
        <f>WEEKNUM(Orders[[#This Row],[OrderDate]])</f>
        <v>42</v>
      </c>
      <c r="D682" s="15" t="str">
        <f>TEXT(Orders[[#This Row],[OrderDate]],"mmmm")</f>
        <v>October</v>
      </c>
      <c r="E682" s="4" t="s">
        <v>596</v>
      </c>
      <c r="F682" s="4" t="s">
        <v>70</v>
      </c>
      <c r="G682" s="4">
        <v>8</v>
      </c>
      <c r="H682" s="12">
        <v>13915.599999999999</v>
      </c>
      <c r="I682" s="13">
        <v>11828.259999999998</v>
      </c>
      <c r="J682" s="13">
        <f>Orders[[#This Row],[Quantity]]*Orders[[#This Row],[Selling Price]]</f>
        <v>111324.79999999999</v>
      </c>
      <c r="K682" s="13">
        <f>Orders[[#This Row],[Quantity]]*Orders[[#This Row],[Cost Price]]</f>
        <v>94626.079999999987</v>
      </c>
      <c r="L682" s="13">
        <f>Orders[[#This Row],[Revenue]]-Orders[[#This Row],[Expenses]]</f>
        <v>16698.72</v>
      </c>
      <c r="M682" t="s">
        <v>2200</v>
      </c>
      <c r="N682" t="str">
        <f>_xlfn.XLOOKUP(Orders[[#This Row],[CustomerID]],Customers[CustomerID],Customers[CustomerName])</f>
        <v>Blessing Balogun</v>
      </c>
      <c r="O682" t="str">
        <f>_xlfn.XLOOKUP(Orders[[#This Row],[CustomerID]],Customers[CustomerID],Customers[City])</f>
        <v>Texas</v>
      </c>
      <c r="P682" t="str">
        <f>_xlfn.XLOOKUP(Orders[[#This Row],[CustomerID]],Customers[CustomerID],Customers[Gender])</f>
        <v>Female</v>
      </c>
      <c r="Q682">
        <f>_xlfn.XLOOKUP(Orders[[#This Row],[CustomerID]],Customers[CustomerID],Customers[CustomerAge])</f>
        <v>26</v>
      </c>
      <c r="R682" t="str">
        <f>IF(Orders[[#This Row],[CustomerAge]]&gt;=35, "Older", "Young")</f>
        <v>Young</v>
      </c>
      <c r="S682" t="str">
        <f>_xlfn.XLOOKUP(Orders[[#This Row],[ProductID]],Products[ProductID],Products[ProductName])</f>
        <v>Yoga Mat</v>
      </c>
      <c r="T682" t="str">
        <f>_xlfn.XLOOKUP(Orders[[#This Row],[ProductID]],Products[ProductID],Products[Category])</f>
        <v>Gym</v>
      </c>
    </row>
    <row r="683" spans="1:20" x14ac:dyDescent="0.25">
      <c r="A683" s="4" t="s">
        <v>871</v>
      </c>
      <c r="B683" s="5">
        <v>45936</v>
      </c>
      <c r="C683" s="15">
        <f>WEEKNUM(Orders[[#This Row],[OrderDate]])</f>
        <v>41</v>
      </c>
      <c r="D683" s="15" t="str">
        <f>TEXT(Orders[[#This Row],[OrderDate]],"mmmm")</f>
        <v>October</v>
      </c>
      <c r="E683" s="4" t="s">
        <v>62</v>
      </c>
      <c r="F683" s="4" t="s">
        <v>46</v>
      </c>
      <c r="G683" s="4">
        <v>3</v>
      </c>
      <c r="H683" s="12">
        <v>11260.3</v>
      </c>
      <c r="I683" s="13">
        <v>9571.2549999999992</v>
      </c>
      <c r="J683" s="13">
        <f>Orders[[#This Row],[Quantity]]*Orders[[#This Row],[Selling Price]]</f>
        <v>33780.899999999994</v>
      </c>
      <c r="K683" s="13">
        <f>Orders[[#This Row],[Quantity]]*Orders[[#This Row],[Cost Price]]</f>
        <v>28713.764999999999</v>
      </c>
      <c r="L683" s="13">
        <f>Orders[[#This Row],[Revenue]]-Orders[[#This Row],[Expenses]]</f>
        <v>5067.1349999999948</v>
      </c>
      <c r="M683" t="s">
        <v>2199</v>
      </c>
      <c r="N683" t="str">
        <f>_xlfn.XLOOKUP(Orders[[#This Row],[CustomerID]],Customers[CustomerID],Customers[CustomerName])</f>
        <v>Ronke Okonkwo</v>
      </c>
      <c r="O683" t="str">
        <f>_xlfn.XLOOKUP(Orders[[#This Row],[CustomerID]],Customers[CustomerID],Customers[City])</f>
        <v>Texas</v>
      </c>
      <c r="P683" t="str">
        <f>_xlfn.XLOOKUP(Orders[[#This Row],[CustomerID]],Customers[CustomerID],Customers[Gender])</f>
        <v>Female</v>
      </c>
      <c r="Q683">
        <f>_xlfn.XLOOKUP(Orders[[#This Row],[CustomerID]],Customers[CustomerID],Customers[CustomerAge])</f>
        <v>36</v>
      </c>
      <c r="R683" t="str">
        <f>IF(Orders[[#This Row],[CustomerAge]]&gt;=35, "Older", "Young")</f>
        <v>Older</v>
      </c>
      <c r="S683" t="str">
        <f>_xlfn.XLOOKUP(Orders[[#This Row],[ProductID]],Products[ProductID],Products[ProductName])</f>
        <v>Turtle Neck</v>
      </c>
      <c r="T683" t="str">
        <f>_xlfn.XLOOKUP(Orders[[#This Row],[ProductID]],Products[ProductID],Products[Category])</f>
        <v>Clothing</v>
      </c>
    </row>
    <row r="684" spans="1:20" x14ac:dyDescent="0.25">
      <c r="A684" s="4" t="s">
        <v>872</v>
      </c>
      <c r="B684" s="5">
        <v>45972</v>
      </c>
      <c r="C684" s="15">
        <f>WEEKNUM(Orders[[#This Row],[OrderDate]])</f>
        <v>46</v>
      </c>
      <c r="D684" s="15" t="str">
        <f>TEXT(Orders[[#This Row],[OrderDate]],"mmmm")</f>
        <v>November</v>
      </c>
      <c r="E684" s="4" t="s">
        <v>564</v>
      </c>
      <c r="F684" s="4" t="s">
        <v>31</v>
      </c>
      <c r="G684" s="4">
        <v>6</v>
      </c>
      <c r="H684" s="12">
        <v>15212.4</v>
      </c>
      <c r="I684" s="13">
        <v>12930.54</v>
      </c>
      <c r="J684" s="13">
        <f>Orders[[#This Row],[Quantity]]*Orders[[#This Row],[Selling Price]]</f>
        <v>91274.4</v>
      </c>
      <c r="K684" s="13">
        <f>Orders[[#This Row],[Quantity]]*Orders[[#This Row],[Cost Price]]</f>
        <v>77583.240000000005</v>
      </c>
      <c r="L684" s="13">
        <f>Orders[[#This Row],[Revenue]]-Orders[[#This Row],[Expenses]]</f>
        <v>13691.159999999989</v>
      </c>
      <c r="M684" t="s">
        <v>2196</v>
      </c>
      <c r="N684" t="str">
        <f>_xlfn.XLOOKUP(Orders[[#This Row],[CustomerID]],Customers[CustomerID],Customers[CustomerName])</f>
        <v>Blessing Eze</v>
      </c>
      <c r="O684" t="str">
        <f>_xlfn.XLOOKUP(Orders[[#This Row],[CustomerID]],Customers[CustomerID],Customers[City])</f>
        <v>Georgia</v>
      </c>
      <c r="P684" t="str">
        <f>_xlfn.XLOOKUP(Orders[[#This Row],[CustomerID]],Customers[CustomerID],Customers[Gender])</f>
        <v>Female</v>
      </c>
      <c r="Q684">
        <f>_xlfn.XLOOKUP(Orders[[#This Row],[CustomerID]],Customers[CustomerID],Customers[CustomerAge])</f>
        <v>19</v>
      </c>
      <c r="R684" t="str">
        <f>IF(Orders[[#This Row],[CustomerAge]]&gt;=35, "Older", "Young")</f>
        <v>Young</v>
      </c>
      <c r="S684" t="str">
        <f>_xlfn.XLOOKUP(Orders[[#This Row],[ProductID]],Products[ProductID],Products[ProductName])</f>
        <v>Kids Games</v>
      </c>
      <c r="T684" t="str">
        <f>_xlfn.XLOOKUP(Orders[[#This Row],[ProductID]],Products[ProductID],Products[Category])</f>
        <v>Games</v>
      </c>
    </row>
    <row r="685" spans="1:20" x14ac:dyDescent="0.25">
      <c r="A685" s="4" t="s">
        <v>873</v>
      </c>
      <c r="B685" s="5">
        <v>45945</v>
      </c>
      <c r="C685" s="15">
        <f>WEEKNUM(Orders[[#This Row],[OrderDate]])</f>
        <v>42</v>
      </c>
      <c r="D685" s="15" t="str">
        <f>TEXT(Orders[[#This Row],[OrderDate]],"mmmm")</f>
        <v>October</v>
      </c>
      <c r="E685" s="4" t="s">
        <v>39</v>
      </c>
      <c r="F685" s="4" t="s">
        <v>120</v>
      </c>
      <c r="G685" s="4">
        <v>8</v>
      </c>
      <c r="H685" s="12">
        <v>17543.800000000003</v>
      </c>
      <c r="I685" s="13">
        <v>14912.230000000003</v>
      </c>
      <c r="J685" s="13">
        <f>Orders[[#This Row],[Quantity]]*Orders[[#This Row],[Selling Price]]</f>
        <v>140350.40000000002</v>
      </c>
      <c r="K685" s="13">
        <f>Orders[[#This Row],[Quantity]]*Orders[[#This Row],[Cost Price]]</f>
        <v>119297.84000000003</v>
      </c>
      <c r="L685" s="13">
        <f>Orders[[#This Row],[Revenue]]-Orders[[#This Row],[Expenses]]</f>
        <v>21052.559999999998</v>
      </c>
      <c r="M685" t="s">
        <v>2198</v>
      </c>
      <c r="N685" t="str">
        <f>_xlfn.XLOOKUP(Orders[[#This Row],[CustomerID]],Customers[CustomerID],Customers[CustomerName])</f>
        <v>Efe Adeyemi</v>
      </c>
      <c r="O685" t="str">
        <f>_xlfn.XLOOKUP(Orders[[#This Row],[CustomerID]],Customers[CustomerID],Customers[City])</f>
        <v>Florida</v>
      </c>
      <c r="P685" t="str">
        <f>_xlfn.XLOOKUP(Orders[[#This Row],[CustomerID]],Customers[CustomerID],Customers[Gender])</f>
        <v>Female</v>
      </c>
      <c r="Q685">
        <f>_xlfn.XLOOKUP(Orders[[#This Row],[CustomerID]],Customers[CustomerID],Customers[CustomerAge])</f>
        <v>20</v>
      </c>
      <c r="R685" t="str">
        <f>IF(Orders[[#This Row],[CustomerAge]]&gt;=35, "Older", "Young")</f>
        <v>Young</v>
      </c>
      <c r="S685" t="str">
        <f>_xlfn.XLOOKUP(Orders[[#This Row],[ProductID]],Products[ProductID],Products[ProductName])</f>
        <v>Chess</v>
      </c>
      <c r="T685" t="str">
        <f>_xlfn.XLOOKUP(Orders[[#This Row],[ProductID]],Products[ProductID],Products[Category])</f>
        <v>Games</v>
      </c>
    </row>
    <row r="686" spans="1:20" x14ac:dyDescent="0.25">
      <c r="A686" s="4" t="s">
        <v>874</v>
      </c>
      <c r="B686" s="5">
        <v>45998</v>
      </c>
      <c r="C686" s="15">
        <f>WEEKNUM(Orders[[#This Row],[OrderDate]])</f>
        <v>50</v>
      </c>
      <c r="D686" s="15" t="str">
        <f>TEXT(Orders[[#This Row],[OrderDate]],"mmmm")</f>
        <v>December</v>
      </c>
      <c r="E686" s="4" t="s">
        <v>322</v>
      </c>
      <c r="F686" s="4" t="s">
        <v>34</v>
      </c>
      <c r="G686" s="4">
        <v>4</v>
      </c>
      <c r="H686" s="12">
        <v>18834.400000000001</v>
      </c>
      <c r="I686" s="13">
        <v>16009.240000000002</v>
      </c>
      <c r="J686" s="13">
        <f>Orders[[#This Row],[Quantity]]*Orders[[#This Row],[Selling Price]]</f>
        <v>75337.600000000006</v>
      </c>
      <c r="K686" s="13">
        <f>Orders[[#This Row],[Quantity]]*Orders[[#This Row],[Cost Price]]</f>
        <v>64036.960000000006</v>
      </c>
      <c r="L686" s="13">
        <f>Orders[[#This Row],[Revenue]]-Orders[[#This Row],[Expenses]]</f>
        <v>11300.64</v>
      </c>
      <c r="M686" t="s">
        <v>2194</v>
      </c>
      <c r="N686" t="str">
        <f>_xlfn.XLOOKUP(Orders[[#This Row],[CustomerID]],Customers[CustomerID],Customers[CustomerName])</f>
        <v>Ngozi Bello</v>
      </c>
      <c r="O686" t="str">
        <f>_xlfn.XLOOKUP(Orders[[#This Row],[CustomerID]],Customers[CustomerID],Customers[City])</f>
        <v>Washington</v>
      </c>
      <c r="P686" t="str">
        <f>_xlfn.XLOOKUP(Orders[[#This Row],[CustomerID]],Customers[CustomerID],Customers[Gender])</f>
        <v>Female</v>
      </c>
      <c r="Q686">
        <f>_xlfn.XLOOKUP(Orders[[#This Row],[CustomerID]],Customers[CustomerID],Customers[CustomerAge])</f>
        <v>32</v>
      </c>
      <c r="R686" t="str">
        <f>IF(Orders[[#This Row],[CustomerAge]]&gt;=35, "Older", "Young")</f>
        <v>Young</v>
      </c>
      <c r="S686" t="str">
        <f>_xlfn.XLOOKUP(Orders[[#This Row],[ProductID]],Products[ProductID],Products[ProductName])</f>
        <v>Gold Bracelets</v>
      </c>
      <c r="T686" t="str">
        <f>_xlfn.XLOOKUP(Orders[[#This Row],[ProductID]],Products[ProductID],Products[Category])</f>
        <v>Accessories</v>
      </c>
    </row>
    <row r="687" spans="1:20" x14ac:dyDescent="0.25">
      <c r="A687" s="4" t="s">
        <v>875</v>
      </c>
      <c r="B687" s="5">
        <v>45996</v>
      </c>
      <c r="C687" s="15">
        <f>WEEKNUM(Orders[[#This Row],[OrderDate]])</f>
        <v>49</v>
      </c>
      <c r="D687" s="15" t="str">
        <f>TEXT(Orders[[#This Row],[OrderDate]],"mmmm")</f>
        <v>December</v>
      </c>
      <c r="E687" s="4" t="s">
        <v>252</v>
      </c>
      <c r="F687" s="4" t="s">
        <v>37</v>
      </c>
      <c r="G687" s="4">
        <v>10</v>
      </c>
      <c r="H687" s="12">
        <v>6797.2000000000007</v>
      </c>
      <c r="I687" s="13">
        <v>5777.6200000000008</v>
      </c>
      <c r="J687" s="13">
        <f>Orders[[#This Row],[Quantity]]*Orders[[#This Row],[Selling Price]]</f>
        <v>67972</v>
      </c>
      <c r="K687" s="13">
        <f>Orders[[#This Row],[Quantity]]*Orders[[#This Row],[Cost Price]]</f>
        <v>57776.200000000012</v>
      </c>
      <c r="L687" s="13">
        <f>Orders[[#This Row],[Revenue]]-Orders[[#This Row],[Expenses]]</f>
        <v>10195.799999999988</v>
      </c>
      <c r="M687" t="s">
        <v>2216</v>
      </c>
      <c r="N687" t="str">
        <f>_xlfn.XLOOKUP(Orders[[#This Row],[CustomerID]],Customers[CustomerID],Customers[CustomerName])</f>
        <v>Chioma Adeyemi</v>
      </c>
      <c r="O687" t="str">
        <f>_xlfn.XLOOKUP(Orders[[#This Row],[CustomerID]],Customers[CustomerID],Customers[City])</f>
        <v>Texas</v>
      </c>
      <c r="P687" t="str">
        <f>_xlfn.XLOOKUP(Orders[[#This Row],[CustomerID]],Customers[CustomerID],Customers[Gender])</f>
        <v>Female</v>
      </c>
      <c r="Q687">
        <f>_xlfn.XLOOKUP(Orders[[#This Row],[CustomerID]],Customers[CustomerID],Customers[CustomerAge])</f>
        <v>20</v>
      </c>
      <c r="R687" t="str">
        <f>IF(Orders[[#This Row],[CustomerAge]]&gt;=35, "Older", "Young")</f>
        <v>Young</v>
      </c>
      <c r="S687" t="str">
        <f>_xlfn.XLOOKUP(Orders[[#This Row],[ProductID]],Products[ProductID],Products[ProductName])</f>
        <v>Iron</v>
      </c>
      <c r="T687" t="str">
        <f>_xlfn.XLOOKUP(Orders[[#This Row],[ProductID]],Products[ProductID],Products[Category])</f>
        <v>Electronics</v>
      </c>
    </row>
    <row r="688" spans="1:20" x14ac:dyDescent="0.25">
      <c r="A688" s="4" t="s">
        <v>876</v>
      </c>
      <c r="B688" s="5">
        <v>46013</v>
      </c>
      <c r="C688" s="15">
        <f>WEEKNUM(Orders[[#This Row],[OrderDate]])</f>
        <v>52</v>
      </c>
      <c r="D688" s="15" t="str">
        <f>TEXT(Orders[[#This Row],[OrderDate]],"mmmm")</f>
        <v>December</v>
      </c>
      <c r="E688" s="4" t="s">
        <v>264</v>
      </c>
      <c r="F688" s="4" t="s">
        <v>208</v>
      </c>
      <c r="G688" s="4">
        <v>6</v>
      </c>
      <c r="H688" s="12">
        <v>15894.7</v>
      </c>
      <c r="I688" s="13">
        <v>13510.495000000001</v>
      </c>
      <c r="J688" s="13">
        <f>Orders[[#This Row],[Quantity]]*Orders[[#This Row],[Selling Price]]</f>
        <v>95368.200000000012</v>
      </c>
      <c r="K688" s="13">
        <f>Orders[[#This Row],[Quantity]]*Orders[[#This Row],[Cost Price]]</f>
        <v>81062.97</v>
      </c>
      <c r="L688" s="13">
        <f>Orders[[#This Row],[Revenue]]-Orders[[#This Row],[Expenses]]</f>
        <v>14305.23000000001</v>
      </c>
      <c r="M688" t="s">
        <v>2220</v>
      </c>
      <c r="N688" t="str">
        <f>_xlfn.XLOOKUP(Orders[[#This Row],[CustomerID]],Customers[CustomerID],Customers[CustomerName])</f>
        <v>Ronke Adeyemi</v>
      </c>
      <c r="O688" t="str">
        <f>_xlfn.XLOOKUP(Orders[[#This Row],[CustomerID]],Customers[CustomerID],Customers[City])</f>
        <v>Georgia</v>
      </c>
      <c r="P688" t="str">
        <f>_xlfn.XLOOKUP(Orders[[#This Row],[CustomerID]],Customers[CustomerID],Customers[Gender])</f>
        <v>Female</v>
      </c>
      <c r="Q688">
        <f>_xlfn.XLOOKUP(Orders[[#This Row],[CustomerID]],Customers[CustomerID],Customers[CustomerAge])</f>
        <v>19</v>
      </c>
      <c r="R688" t="str">
        <f>IF(Orders[[#This Row],[CustomerAge]]&gt;=35, "Older", "Young")</f>
        <v>Young</v>
      </c>
      <c r="S688" t="str">
        <f>_xlfn.XLOOKUP(Orders[[#This Row],[ProductID]],Products[ProductID],Products[ProductName])</f>
        <v>Skipping Rope</v>
      </c>
      <c r="T688" t="str">
        <f>_xlfn.XLOOKUP(Orders[[#This Row],[ProductID]],Products[ProductID],Products[Category])</f>
        <v>Sports</v>
      </c>
    </row>
    <row r="689" spans="1:20" x14ac:dyDescent="0.25">
      <c r="A689" s="4" t="s">
        <v>877</v>
      </c>
      <c r="B689" s="5">
        <v>45983</v>
      </c>
      <c r="C689" s="15">
        <f>WEEKNUM(Orders[[#This Row],[OrderDate]])</f>
        <v>47</v>
      </c>
      <c r="D689" s="15" t="str">
        <f>TEXT(Orders[[#This Row],[OrderDate]],"mmmm")</f>
        <v>November</v>
      </c>
      <c r="E689" s="4" t="s">
        <v>237</v>
      </c>
      <c r="F689" s="4" t="s">
        <v>28</v>
      </c>
      <c r="G689" s="4">
        <v>4</v>
      </c>
      <c r="H689" s="12">
        <v>17387.8</v>
      </c>
      <c r="I689" s="13">
        <v>14779.63</v>
      </c>
      <c r="J689" s="13">
        <f>Orders[[#This Row],[Quantity]]*Orders[[#This Row],[Selling Price]]</f>
        <v>69551.199999999997</v>
      </c>
      <c r="K689" s="13">
        <f>Orders[[#This Row],[Quantity]]*Orders[[#This Row],[Cost Price]]</f>
        <v>59118.52</v>
      </c>
      <c r="L689" s="13">
        <f>Orders[[#This Row],[Revenue]]-Orders[[#This Row],[Expenses]]</f>
        <v>10432.68</v>
      </c>
      <c r="M689" t="s">
        <v>2203</v>
      </c>
      <c r="N689" t="str">
        <f>_xlfn.XLOOKUP(Orders[[#This Row],[CustomerID]],Customers[CustomerID],Customers[CustomerName])</f>
        <v>Ronke Danladi</v>
      </c>
      <c r="O689" t="str">
        <f>_xlfn.XLOOKUP(Orders[[#This Row],[CustomerID]],Customers[CustomerID],Customers[City])</f>
        <v>Florida</v>
      </c>
      <c r="P689" t="str">
        <f>_xlfn.XLOOKUP(Orders[[#This Row],[CustomerID]],Customers[CustomerID],Customers[Gender])</f>
        <v>Female</v>
      </c>
      <c r="Q689">
        <f>_xlfn.XLOOKUP(Orders[[#This Row],[CustomerID]],Customers[CustomerID],Customers[CustomerAge])</f>
        <v>25</v>
      </c>
      <c r="R689" t="str">
        <f>IF(Orders[[#This Row],[CustomerAge]]&gt;=35, "Older", "Young")</f>
        <v>Young</v>
      </c>
      <c r="S689" t="str">
        <f>_xlfn.XLOOKUP(Orders[[#This Row],[ProductID]],Products[ProductID],Products[ProductName])</f>
        <v>Sneakers</v>
      </c>
      <c r="T689" t="str">
        <f>_xlfn.XLOOKUP(Orders[[#This Row],[ProductID]],Products[ProductID],Products[Category])</f>
        <v>Sports</v>
      </c>
    </row>
    <row r="690" spans="1:20" x14ac:dyDescent="0.25">
      <c r="A690" s="4" t="s">
        <v>878</v>
      </c>
      <c r="B690" s="5">
        <v>46009</v>
      </c>
      <c r="C690" s="15">
        <f>WEEKNUM(Orders[[#This Row],[OrderDate]])</f>
        <v>51</v>
      </c>
      <c r="D690" s="15" t="str">
        <f>TEXT(Orders[[#This Row],[OrderDate]],"mmmm")</f>
        <v>December</v>
      </c>
      <c r="E690" s="4" t="s">
        <v>132</v>
      </c>
      <c r="F690" s="4" t="s">
        <v>28</v>
      </c>
      <c r="G690" s="4">
        <v>7</v>
      </c>
      <c r="H690" s="12">
        <v>16051.199999999999</v>
      </c>
      <c r="I690" s="13">
        <v>13643.519999999999</v>
      </c>
      <c r="J690" s="13">
        <f>Orders[[#This Row],[Quantity]]*Orders[[#This Row],[Selling Price]]</f>
        <v>112358.39999999999</v>
      </c>
      <c r="K690" s="13">
        <f>Orders[[#This Row],[Quantity]]*Orders[[#This Row],[Cost Price]]</f>
        <v>95504.639999999985</v>
      </c>
      <c r="L690" s="13">
        <f>Orders[[#This Row],[Revenue]]-Orders[[#This Row],[Expenses]]</f>
        <v>16853.760000000009</v>
      </c>
      <c r="M690" t="s">
        <v>2208</v>
      </c>
      <c r="N690" t="str">
        <f>_xlfn.XLOOKUP(Orders[[#This Row],[CustomerID]],Customers[CustomerID],Customers[CustomerName])</f>
        <v>Emeka Balogun</v>
      </c>
      <c r="O690" t="str">
        <f>_xlfn.XLOOKUP(Orders[[#This Row],[CustomerID]],Customers[CustomerID],Customers[City])</f>
        <v>Illinois</v>
      </c>
      <c r="P690" t="str">
        <f>_xlfn.XLOOKUP(Orders[[#This Row],[CustomerID]],Customers[CustomerID],Customers[Gender])</f>
        <v>Male</v>
      </c>
      <c r="Q690">
        <f>_xlfn.XLOOKUP(Orders[[#This Row],[CustomerID]],Customers[CustomerID],Customers[CustomerAge])</f>
        <v>36</v>
      </c>
      <c r="R690" t="str">
        <f>IF(Orders[[#This Row],[CustomerAge]]&gt;=35, "Older", "Young")</f>
        <v>Older</v>
      </c>
      <c r="S690" t="str">
        <f>_xlfn.XLOOKUP(Orders[[#This Row],[ProductID]],Products[ProductID],Products[ProductName])</f>
        <v>Sneakers</v>
      </c>
      <c r="T690" t="str">
        <f>_xlfn.XLOOKUP(Orders[[#This Row],[ProductID]],Products[ProductID],Products[Category])</f>
        <v>Sports</v>
      </c>
    </row>
    <row r="691" spans="1:20" x14ac:dyDescent="0.25">
      <c r="A691" s="4" t="s">
        <v>879</v>
      </c>
      <c r="B691" s="5">
        <v>46000</v>
      </c>
      <c r="C691" s="15">
        <f>WEEKNUM(Orders[[#This Row],[OrderDate]])</f>
        <v>50</v>
      </c>
      <c r="D691" s="15" t="str">
        <f>TEXT(Orders[[#This Row],[OrderDate]],"mmmm")</f>
        <v>December</v>
      </c>
      <c r="E691" s="4" t="s">
        <v>159</v>
      </c>
      <c r="F691" s="4" t="s">
        <v>168</v>
      </c>
      <c r="G691" s="4">
        <v>3</v>
      </c>
      <c r="H691" s="12">
        <v>9305</v>
      </c>
      <c r="I691" s="13">
        <v>7909.25</v>
      </c>
      <c r="J691" s="13">
        <f>Orders[[#This Row],[Quantity]]*Orders[[#This Row],[Selling Price]]</f>
        <v>27915</v>
      </c>
      <c r="K691" s="13">
        <f>Orders[[#This Row],[Quantity]]*Orders[[#This Row],[Cost Price]]</f>
        <v>23727.75</v>
      </c>
      <c r="L691" s="13">
        <f>Orders[[#This Row],[Revenue]]-Orders[[#This Row],[Expenses]]</f>
        <v>4187.25</v>
      </c>
      <c r="M691" t="s">
        <v>2220</v>
      </c>
      <c r="N691" t="str">
        <f>_xlfn.XLOOKUP(Orders[[#This Row],[CustomerID]],Customers[CustomerID],Customers[CustomerName])</f>
        <v>Ibrahim Okonkwo</v>
      </c>
      <c r="O691" t="str">
        <f>_xlfn.XLOOKUP(Orders[[#This Row],[CustomerID]],Customers[CustomerID],Customers[City])</f>
        <v>Florida</v>
      </c>
      <c r="P691" t="str">
        <f>_xlfn.XLOOKUP(Orders[[#This Row],[CustomerID]],Customers[CustomerID],Customers[Gender])</f>
        <v>Male</v>
      </c>
      <c r="Q691">
        <f>_xlfn.XLOOKUP(Orders[[#This Row],[CustomerID]],Customers[CustomerID],Customers[CustomerAge])</f>
        <v>49</v>
      </c>
      <c r="R691" t="str">
        <f>IF(Orders[[#This Row],[CustomerAge]]&gt;=35, "Older", "Young")</f>
        <v>Older</v>
      </c>
      <c r="S691" t="str">
        <f>_xlfn.XLOOKUP(Orders[[#This Row],[ProductID]],Products[ProductID],Products[ProductName])</f>
        <v>Dumb Bells</v>
      </c>
      <c r="T691" t="str">
        <f>_xlfn.XLOOKUP(Orders[[#This Row],[ProductID]],Products[ProductID],Products[Category])</f>
        <v>Gym</v>
      </c>
    </row>
    <row r="692" spans="1:20" x14ac:dyDescent="0.25">
      <c r="A692" s="4" t="s">
        <v>880</v>
      </c>
      <c r="B692" s="5">
        <v>45966</v>
      </c>
      <c r="C692" s="15">
        <f>WEEKNUM(Orders[[#This Row],[OrderDate]])</f>
        <v>45</v>
      </c>
      <c r="D692" s="15" t="str">
        <f>TEXT(Orders[[#This Row],[OrderDate]],"mmmm")</f>
        <v>November</v>
      </c>
      <c r="E692" s="4" t="s">
        <v>52</v>
      </c>
      <c r="F692" s="4" t="s">
        <v>127</v>
      </c>
      <c r="G692" s="4">
        <v>2</v>
      </c>
      <c r="H692" s="12">
        <v>2505.4</v>
      </c>
      <c r="I692" s="13">
        <v>2129.59</v>
      </c>
      <c r="J692" s="13">
        <f>Orders[[#This Row],[Quantity]]*Orders[[#This Row],[Selling Price]]</f>
        <v>5010.8</v>
      </c>
      <c r="K692" s="13">
        <f>Orders[[#This Row],[Quantity]]*Orders[[#This Row],[Cost Price]]</f>
        <v>4259.18</v>
      </c>
      <c r="L692" s="13">
        <f>Orders[[#This Row],[Revenue]]-Orders[[#This Row],[Expenses]]</f>
        <v>751.61999999999989</v>
      </c>
      <c r="M692" t="s">
        <v>2214</v>
      </c>
      <c r="N692" t="str">
        <f>_xlfn.XLOOKUP(Orders[[#This Row],[CustomerID]],Customers[CustomerID],Customers[CustomerName])</f>
        <v>Folasade Ojo</v>
      </c>
      <c r="O692" t="str">
        <f>_xlfn.XLOOKUP(Orders[[#This Row],[CustomerID]],Customers[CustomerID],Customers[City])</f>
        <v>Texas</v>
      </c>
      <c r="P692" t="str">
        <f>_xlfn.XLOOKUP(Orders[[#This Row],[CustomerID]],Customers[CustomerID],Customers[Gender])</f>
        <v>Female</v>
      </c>
      <c r="Q692">
        <f>_xlfn.XLOOKUP(Orders[[#This Row],[CustomerID]],Customers[CustomerID],Customers[CustomerAge])</f>
        <v>29</v>
      </c>
      <c r="R692" t="str">
        <f>IF(Orders[[#This Row],[CustomerAge]]&gt;=35, "Older", "Young")</f>
        <v>Young</v>
      </c>
      <c r="S692" t="str">
        <f>_xlfn.XLOOKUP(Orders[[#This Row],[ProductID]],Products[ProductID],Products[ProductName])</f>
        <v>Tops</v>
      </c>
      <c r="T692" t="str">
        <f>_xlfn.XLOOKUP(Orders[[#This Row],[ProductID]],Products[ProductID],Products[Category])</f>
        <v>Clothing</v>
      </c>
    </row>
    <row r="693" spans="1:20" x14ac:dyDescent="0.25">
      <c r="A693" s="4" t="s">
        <v>881</v>
      </c>
      <c r="B693" s="5">
        <v>46020</v>
      </c>
      <c r="C693" s="15">
        <f>WEEKNUM(Orders[[#This Row],[OrderDate]])</f>
        <v>53</v>
      </c>
      <c r="D693" s="15" t="str">
        <f>TEXT(Orders[[#This Row],[OrderDate]],"mmmm")</f>
        <v>December</v>
      </c>
      <c r="E693" s="4" t="s">
        <v>223</v>
      </c>
      <c r="F693" s="4" t="s">
        <v>84</v>
      </c>
      <c r="G693" s="4">
        <v>10</v>
      </c>
      <c r="H693" s="12">
        <v>6422.9</v>
      </c>
      <c r="I693" s="13">
        <v>5459.4650000000001</v>
      </c>
      <c r="J693" s="13">
        <f>Orders[[#This Row],[Quantity]]*Orders[[#This Row],[Selling Price]]</f>
        <v>64229</v>
      </c>
      <c r="K693" s="13">
        <f>Orders[[#This Row],[Quantity]]*Orders[[#This Row],[Cost Price]]</f>
        <v>54594.65</v>
      </c>
      <c r="L693" s="13">
        <f>Orders[[#This Row],[Revenue]]-Orders[[#This Row],[Expenses]]</f>
        <v>9634.3499999999985</v>
      </c>
      <c r="M693" t="s">
        <v>2217</v>
      </c>
      <c r="N693" t="str">
        <f>_xlfn.XLOOKUP(Orders[[#This Row],[CustomerID]],Customers[CustomerID],Customers[CustomerName])</f>
        <v>Blessing Danladi</v>
      </c>
      <c r="O693" t="str">
        <f>_xlfn.XLOOKUP(Orders[[#This Row],[CustomerID]],Customers[CustomerID],Customers[City])</f>
        <v>Washington</v>
      </c>
      <c r="P693" t="str">
        <f>_xlfn.XLOOKUP(Orders[[#This Row],[CustomerID]],Customers[CustomerID],Customers[Gender])</f>
        <v>Female</v>
      </c>
      <c r="Q693">
        <f>_xlfn.XLOOKUP(Orders[[#This Row],[CustomerID]],Customers[CustomerID],Customers[CustomerAge])</f>
        <v>20</v>
      </c>
      <c r="R693" t="str">
        <f>IF(Orders[[#This Row],[CustomerAge]]&gt;=35, "Older", "Young")</f>
        <v>Young</v>
      </c>
      <c r="S693" t="str">
        <f>_xlfn.XLOOKUP(Orders[[#This Row],[ProductID]],Products[ProductID],Products[ProductName])</f>
        <v>Gym Wears</v>
      </c>
      <c r="T693" t="str">
        <f>_xlfn.XLOOKUP(Orders[[#This Row],[ProductID]],Products[ProductID],Products[Category])</f>
        <v>Clothing</v>
      </c>
    </row>
    <row r="694" spans="1:20" x14ac:dyDescent="0.25">
      <c r="A694" s="4" t="s">
        <v>882</v>
      </c>
      <c r="B694" s="5">
        <v>46006</v>
      </c>
      <c r="C694" s="15">
        <f>WEEKNUM(Orders[[#This Row],[OrderDate]])</f>
        <v>51</v>
      </c>
      <c r="D694" s="15" t="str">
        <f>TEXT(Orders[[#This Row],[OrderDate]],"mmmm")</f>
        <v>December</v>
      </c>
      <c r="E694" s="4" t="s">
        <v>383</v>
      </c>
      <c r="F694" s="4" t="s">
        <v>81</v>
      </c>
      <c r="G694" s="4">
        <v>4</v>
      </c>
      <c r="H694" s="12">
        <v>674.2</v>
      </c>
      <c r="I694" s="13">
        <v>573.07000000000005</v>
      </c>
      <c r="J694" s="13">
        <f>Orders[[#This Row],[Quantity]]*Orders[[#This Row],[Selling Price]]</f>
        <v>2696.8</v>
      </c>
      <c r="K694" s="13">
        <f>Orders[[#This Row],[Quantity]]*Orders[[#This Row],[Cost Price]]</f>
        <v>2292.2800000000002</v>
      </c>
      <c r="L694" s="13">
        <f>Orders[[#This Row],[Revenue]]-Orders[[#This Row],[Expenses]]</f>
        <v>404.52</v>
      </c>
      <c r="M694" t="s">
        <v>2195</v>
      </c>
      <c r="N694" t="str">
        <f>_xlfn.XLOOKUP(Orders[[#This Row],[CustomerID]],Customers[CustomerID],Customers[CustomerName])</f>
        <v>Ibrahim Balogun</v>
      </c>
      <c r="O694" t="str">
        <f>_xlfn.XLOOKUP(Orders[[#This Row],[CustomerID]],Customers[CustomerID],Customers[City])</f>
        <v>Florida</v>
      </c>
      <c r="P694" t="str">
        <f>_xlfn.XLOOKUP(Orders[[#This Row],[CustomerID]],Customers[CustomerID],Customers[Gender])</f>
        <v>Male</v>
      </c>
      <c r="Q694">
        <f>_xlfn.XLOOKUP(Orders[[#This Row],[CustomerID]],Customers[CustomerID],Customers[CustomerAge])</f>
        <v>27</v>
      </c>
      <c r="R694" t="str">
        <f>IF(Orders[[#This Row],[CustomerAge]]&gt;=35, "Older", "Young")</f>
        <v>Young</v>
      </c>
      <c r="S694" t="str">
        <f>_xlfn.XLOOKUP(Orders[[#This Row],[ProductID]],Products[ProductID],Products[ProductName])</f>
        <v>Trousers</v>
      </c>
      <c r="T694" t="str">
        <f>_xlfn.XLOOKUP(Orders[[#This Row],[ProductID]],Products[ProductID],Products[Category])</f>
        <v>Clothing</v>
      </c>
    </row>
    <row r="695" spans="1:20" x14ac:dyDescent="0.25">
      <c r="A695" s="4" t="s">
        <v>883</v>
      </c>
      <c r="B695" s="5">
        <v>45951</v>
      </c>
      <c r="C695" s="15">
        <f>WEEKNUM(Orders[[#This Row],[OrderDate]])</f>
        <v>43</v>
      </c>
      <c r="D695" s="15" t="str">
        <f>TEXT(Orders[[#This Row],[OrderDate]],"mmmm")</f>
        <v>October</v>
      </c>
      <c r="E695" s="4" t="s">
        <v>73</v>
      </c>
      <c r="F695" s="4" t="s">
        <v>9</v>
      </c>
      <c r="G695" s="4">
        <v>1</v>
      </c>
      <c r="H695" s="12">
        <v>17370.899999999998</v>
      </c>
      <c r="I695" s="13">
        <v>14765.264999999998</v>
      </c>
      <c r="J695" s="13">
        <f>Orders[[#This Row],[Quantity]]*Orders[[#This Row],[Selling Price]]</f>
        <v>17370.899999999998</v>
      </c>
      <c r="K695" s="13">
        <f>Orders[[#This Row],[Quantity]]*Orders[[#This Row],[Cost Price]]</f>
        <v>14765.264999999998</v>
      </c>
      <c r="L695" s="13">
        <f>Orders[[#This Row],[Revenue]]-Orders[[#This Row],[Expenses]]</f>
        <v>2605.6350000000002</v>
      </c>
      <c r="M695" t="s">
        <v>2195</v>
      </c>
      <c r="N695" t="str">
        <f>_xlfn.XLOOKUP(Orders[[#This Row],[CustomerID]],Customers[CustomerID],Customers[CustomerName])</f>
        <v>Ronke Okonkwo</v>
      </c>
      <c r="O695" t="str">
        <f>_xlfn.XLOOKUP(Orders[[#This Row],[CustomerID]],Customers[CustomerID],Customers[City])</f>
        <v>California</v>
      </c>
      <c r="P695" t="str">
        <f>_xlfn.XLOOKUP(Orders[[#This Row],[CustomerID]],Customers[CustomerID],Customers[Gender])</f>
        <v>Female</v>
      </c>
      <c r="Q695">
        <f>_xlfn.XLOOKUP(Orders[[#This Row],[CustomerID]],Customers[CustomerID],Customers[CustomerAge])</f>
        <v>20</v>
      </c>
      <c r="R695" t="str">
        <f>IF(Orders[[#This Row],[CustomerAge]]&gt;=35, "Older", "Young")</f>
        <v>Young</v>
      </c>
      <c r="S695" t="str">
        <f>_xlfn.XLOOKUP(Orders[[#This Row],[ProductID]],Products[ProductID],Products[ProductName])</f>
        <v>Beaded Earrings And Necklaces</v>
      </c>
      <c r="T695" t="str">
        <f>_xlfn.XLOOKUP(Orders[[#This Row],[ProductID]],Products[ProductID],Products[Category])</f>
        <v>Accessories</v>
      </c>
    </row>
    <row r="696" spans="1:20" x14ac:dyDescent="0.25">
      <c r="A696" s="4" t="s">
        <v>884</v>
      </c>
      <c r="B696" s="5">
        <v>45949</v>
      </c>
      <c r="C696" s="15">
        <f>WEEKNUM(Orders[[#This Row],[OrderDate]])</f>
        <v>43</v>
      </c>
      <c r="D696" s="15" t="str">
        <f>TEXT(Orders[[#This Row],[OrderDate]],"mmmm")</f>
        <v>October</v>
      </c>
      <c r="E696" s="4" t="s">
        <v>256</v>
      </c>
      <c r="F696" s="4" t="s">
        <v>63</v>
      </c>
      <c r="G696" s="4">
        <v>6</v>
      </c>
      <c r="H696" s="12">
        <v>19846.900000000001</v>
      </c>
      <c r="I696" s="13">
        <v>16869.865000000002</v>
      </c>
      <c r="J696" s="13">
        <f>Orders[[#This Row],[Quantity]]*Orders[[#This Row],[Selling Price]]</f>
        <v>119081.40000000001</v>
      </c>
      <c r="K696" s="13">
        <f>Orders[[#This Row],[Quantity]]*Orders[[#This Row],[Cost Price]]</f>
        <v>101219.19</v>
      </c>
      <c r="L696" s="13">
        <f>Orders[[#This Row],[Revenue]]-Orders[[#This Row],[Expenses]]</f>
        <v>17862.210000000006</v>
      </c>
      <c r="M696" t="s">
        <v>2216</v>
      </c>
      <c r="N696" t="str">
        <f>_xlfn.XLOOKUP(Orders[[#This Row],[CustomerID]],Customers[CustomerID],Customers[CustomerName])</f>
        <v>Efe Ojo</v>
      </c>
      <c r="O696" t="str">
        <f>_xlfn.XLOOKUP(Orders[[#This Row],[CustomerID]],Customers[CustomerID],Customers[City])</f>
        <v>Georgia</v>
      </c>
      <c r="P696" t="str">
        <f>_xlfn.XLOOKUP(Orders[[#This Row],[CustomerID]],Customers[CustomerID],Customers[Gender])</f>
        <v>Female</v>
      </c>
      <c r="Q696">
        <f>_xlfn.XLOOKUP(Orders[[#This Row],[CustomerID]],Customers[CustomerID],Customers[CustomerAge])</f>
        <v>23</v>
      </c>
      <c r="R696" t="str">
        <f>IF(Orders[[#This Row],[CustomerAge]]&gt;=35, "Older", "Young")</f>
        <v>Young</v>
      </c>
      <c r="S696" t="str">
        <f>_xlfn.XLOOKUP(Orders[[#This Row],[ProductID]],Products[ProductID],Products[ProductName])</f>
        <v>Tennis Bat</v>
      </c>
      <c r="T696" t="str">
        <f>_xlfn.XLOOKUP(Orders[[#This Row],[ProductID]],Products[ProductID],Products[Category])</f>
        <v>Sports</v>
      </c>
    </row>
    <row r="697" spans="1:20" x14ac:dyDescent="0.25">
      <c r="A697" s="4" t="s">
        <v>885</v>
      </c>
      <c r="B697" s="5">
        <v>45954</v>
      </c>
      <c r="C697" s="15">
        <f>WEEKNUM(Orders[[#This Row],[OrderDate]])</f>
        <v>43</v>
      </c>
      <c r="D697" s="15" t="str">
        <f>TEXT(Orders[[#This Row],[OrderDate]],"mmmm")</f>
        <v>October</v>
      </c>
      <c r="E697" s="4" t="s">
        <v>83</v>
      </c>
      <c r="F697" s="4" t="s">
        <v>25</v>
      </c>
      <c r="G697" s="4">
        <v>1</v>
      </c>
      <c r="H697" s="12">
        <v>9011.1</v>
      </c>
      <c r="I697" s="13">
        <v>7659.4350000000004</v>
      </c>
      <c r="J697" s="13">
        <f>Orders[[#This Row],[Quantity]]*Orders[[#This Row],[Selling Price]]</f>
        <v>9011.1</v>
      </c>
      <c r="K697" s="13">
        <f>Orders[[#This Row],[Quantity]]*Orders[[#This Row],[Cost Price]]</f>
        <v>7659.4350000000004</v>
      </c>
      <c r="L697" s="13">
        <f>Orders[[#This Row],[Revenue]]-Orders[[#This Row],[Expenses]]</f>
        <v>1351.665</v>
      </c>
      <c r="M697" t="s">
        <v>2194</v>
      </c>
      <c r="N697" t="str">
        <f>_xlfn.XLOOKUP(Orders[[#This Row],[CustomerID]],Customers[CustomerID],Customers[CustomerName])</f>
        <v>Funke Danladi</v>
      </c>
      <c r="O697" t="str">
        <f>_xlfn.XLOOKUP(Orders[[#This Row],[CustomerID]],Customers[CustomerID],Customers[City])</f>
        <v>Florida</v>
      </c>
      <c r="P697" t="str">
        <f>_xlfn.XLOOKUP(Orders[[#This Row],[CustomerID]],Customers[CustomerID],Customers[Gender])</f>
        <v>Female</v>
      </c>
      <c r="Q697">
        <f>_xlfn.XLOOKUP(Orders[[#This Row],[CustomerID]],Customers[CustomerID],Customers[CustomerAge])</f>
        <v>26</v>
      </c>
      <c r="R697" t="str">
        <f>IF(Orders[[#This Row],[CustomerAge]]&gt;=35, "Older", "Young")</f>
        <v>Young</v>
      </c>
      <c r="S697" t="str">
        <f>_xlfn.XLOOKUP(Orders[[#This Row],[ProductID]],Products[ProductID],Products[ProductName])</f>
        <v>Gold Rings</v>
      </c>
      <c r="T697" t="str">
        <f>_xlfn.XLOOKUP(Orders[[#This Row],[ProductID]],Products[ProductID],Products[Category])</f>
        <v>Accessories</v>
      </c>
    </row>
    <row r="698" spans="1:20" x14ac:dyDescent="0.25">
      <c r="A698" s="4" t="s">
        <v>886</v>
      </c>
      <c r="B698" s="5">
        <v>45943</v>
      </c>
      <c r="C698" s="15">
        <f>WEEKNUM(Orders[[#This Row],[OrderDate]])</f>
        <v>42</v>
      </c>
      <c r="D698" s="15" t="str">
        <f>TEXT(Orders[[#This Row],[OrderDate]],"mmmm")</f>
        <v>October</v>
      </c>
      <c r="E698" s="4" t="s">
        <v>96</v>
      </c>
      <c r="F698" s="4" t="s">
        <v>25</v>
      </c>
      <c r="G698" s="4">
        <v>5</v>
      </c>
      <c r="H698" s="12">
        <v>13384.8</v>
      </c>
      <c r="I698" s="13">
        <v>11377.08</v>
      </c>
      <c r="J698" s="13">
        <f>Orders[[#This Row],[Quantity]]*Orders[[#This Row],[Selling Price]]</f>
        <v>66924</v>
      </c>
      <c r="K698" s="13">
        <f>Orders[[#This Row],[Quantity]]*Orders[[#This Row],[Cost Price]]</f>
        <v>56885.4</v>
      </c>
      <c r="L698" s="13">
        <f>Orders[[#This Row],[Revenue]]-Orders[[#This Row],[Expenses]]</f>
        <v>10038.599999999999</v>
      </c>
      <c r="M698" t="s">
        <v>2218</v>
      </c>
      <c r="N698" t="str">
        <f>_xlfn.XLOOKUP(Orders[[#This Row],[CustomerID]],Customers[CustomerID],Customers[CustomerName])</f>
        <v>Amina Abubakar</v>
      </c>
      <c r="O698" t="str">
        <f>_xlfn.XLOOKUP(Orders[[#This Row],[CustomerID]],Customers[CustomerID],Customers[City])</f>
        <v>Texas</v>
      </c>
      <c r="P698" t="str">
        <f>_xlfn.XLOOKUP(Orders[[#This Row],[CustomerID]],Customers[CustomerID],Customers[Gender])</f>
        <v>Female</v>
      </c>
      <c r="Q698">
        <f>_xlfn.XLOOKUP(Orders[[#This Row],[CustomerID]],Customers[CustomerID],Customers[CustomerAge])</f>
        <v>35</v>
      </c>
      <c r="R698" t="str">
        <f>IF(Orders[[#This Row],[CustomerAge]]&gt;=35, "Older", "Young")</f>
        <v>Older</v>
      </c>
      <c r="S698" t="str">
        <f>_xlfn.XLOOKUP(Orders[[#This Row],[ProductID]],Products[ProductID],Products[ProductName])</f>
        <v>Gold Rings</v>
      </c>
      <c r="T698" t="str">
        <f>_xlfn.XLOOKUP(Orders[[#This Row],[ProductID]],Products[ProductID],Products[Category])</f>
        <v>Accessories</v>
      </c>
    </row>
    <row r="699" spans="1:20" x14ac:dyDescent="0.25">
      <c r="A699" s="4" t="s">
        <v>887</v>
      </c>
      <c r="B699" s="5">
        <v>45933</v>
      </c>
      <c r="C699" s="15">
        <f>WEEKNUM(Orders[[#This Row],[OrderDate]])</f>
        <v>40</v>
      </c>
      <c r="D699" s="15" t="str">
        <f>TEXT(Orders[[#This Row],[OrderDate]],"mmmm")</f>
        <v>October</v>
      </c>
      <c r="E699" s="4" t="s">
        <v>426</v>
      </c>
      <c r="F699" s="4" t="s">
        <v>66</v>
      </c>
      <c r="G699" s="4">
        <v>9</v>
      </c>
      <c r="H699" s="12">
        <v>19751.199999999997</v>
      </c>
      <c r="I699" s="13">
        <v>16788.519999999997</v>
      </c>
      <c r="J699" s="13">
        <f>Orders[[#This Row],[Quantity]]*Orders[[#This Row],[Selling Price]]</f>
        <v>177760.8</v>
      </c>
      <c r="K699" s="13">
        <f>Orders[[#This Row],[Quantity]]*Orders[[#This Row],[Cost Price]]</f>
        <v>151096.67999999996</v>
      </c>
      <c r="L699" s="13">
        <f>Orders[[#This Row],[Revenue]]-Orders[[#This Row],[Expenses]]</f>
        <v>26664.120000000024</v>
      </c>
      <c r="M699" t="s">
        <v>2192</v>
      </c>
      <c r="N699" t="str">
        <f>_xlfn.XLOOKUP(Orders[[#This Row],[CustomerID]],Customers[CustomerID],Customers[CustomerName])</f>
        <v>Chinedu Ojo</v>
      </c>
      <c r="O699" t="str">
        <f>_xlfn.XLOOKUP(Orders[[#This Row],[CustomerID]],Customers[CustomerID],Customers[City])</f>
        <v>Washington</v>
      </c>
      <c r="P699" t="str">
        <f>_xlfn.XLOOKUP(Orders[[#This Row],[CustomerID]],Customers[CustomerID],Customers[Gender])</f>
        <v>Male</v>
      </c>
      <c r="Q699">
        <f>_xlfn.XLOOKUP(Orders[[#This Row],[CustomerID]],Customers[CustomerID],Customers[CustomerAge])</f>
        <v>18</v>
      </c>
      <c r="R699" t="str">
        <f>IF(Orders[[#This Row],[CustomerAge]]&gt;=35, "Older", "Young")</f>
        <v>Young</v>
      </c>
      <c r="S699" t="str">
        <f>_xlfn.XLOOKUP(Orders[[#This Row],[ProductID]],Products[ProductID],Products[ProductName])</f>
        <v>Microwave</v>
      </c>
      <c r="T699" t="str">
        <f>_xlfn.XLOOKUP(Orders[[#This Row],[ProductID]],Products[ProductID],Products[Category])</f>
        <v>Electronics</v>
      </c>
    </row>
    <row r="700" spans="1:20" x14ac:dyDescent="0.25">
      <c r="A700" s="4" t="s">
        <v>888</v>
      </c>
      <c r="B700" s="5">
        <v>45998</v>
      </c>
      <c r="C700" s="15">
        <f>WEEKNUM(Orders[[#This Row],[OrderDate]])</f>
        <v>50</v>
      </c>
      <c r="D700" s="15" t="str">
        <f>TEXT(Orders[[#This Row],[OrderDate]],"mmmm")</f>
        <v>December</v>
      </c>
      <c r="E700" s="4" t="s">
        <v>22</v>
      </c>
      <c r="F700" s="4" t="s">
        <v>63</v>
      </c>
      <c r="G700" s="4">
        <v>8</v>
      </c>
      <c r="H700" s="12">
        <v>18552.2</v>
      </c>
      <c r="I700" s="13">
        <v>15769.37</v>
      </c>
      <c r="J700" s="13">
        <f>Orders[[#This Row],[Quantity]]*Orders[[#This Row],[Selling Price]]</f>
        <v>148417.60000000001</v>
      </c>
      <c r="K700" s="13">
        <f>Orders[[#This Row],[Quantity]]*Orders[[#This Row],[Cost Price]]</f>
        <v>126154.96</v>
      </c>
      <c r="L700" s="13">
        <f>Orders[[#This Row],[Revenue]]-Orders[[#This Row],[Expenses]]</f>
        <v>22262.639999999999</v>
      </c>
      <c r="M700" t="s">
        <v>2218</v>
      </c>
      <c r="N700" t="str">
        <f>_xlfn.XLOOKUP(Orders[[#This Row],[CustomerID]],Customers[CustomerID],Customers[CustomerName])</f>
        <v>Temi Bello</v>
      </c>
      <c r="O700" t="str">
        <f>_xlfn.XLOOKUP(Orders[[#This Row],[CustomerID]],Customers[CustomerID],Customers[City])</f>
        <v>Texas</v>
      </c>
      <c r="P700" t="str">
        <f>_xlfn.XLOOKUP(Orders[[#This Row],[CustomerID]],Customers[CustomerID],Customers[Gender])</f>
        <v>Female</v>
      </c>
      <c r="Q700">
        <f>_xlfn.XLOOKUP(Orders[[#This Row],[CustomerID]],Customers[CustomerID],Customers[CustomerAge])</f>
        <v>52</v>
      </c>
      <c r="R700" t="str">
        <f>IF(Orders[[#This Row],[CustomerAge]]&gt;=35, "Older", "Young")</f>
        <v>Older</v>
      </c>
      <c r="S700" t="str">
        <f>_xlfn.XLOOKUP(Orders[[#This Row],[ProductID]],Products[ProductID],Products[ProductName])</f>
        <v>Tennis Bat</v>
      </c>
      <c r="T700" t="str">
        <f>_xlfn.XLOOKUP(Orders[[#This Row],[ProductID]],Products[ProductID],Products[Category])</f>
        <v>Sports</v>
      </c>
    </row>
    <row r="701" spans="1:20" x14ac:dyDescent="0.25">
      <c r="A701" s="4" t="s">
        <v>889</v>
      </c>
      <c r="B701" s="5">
        <v>45995</v>
      </c>
      <c r="C701" s="15">
        <f>WEEKNUM(Orders[[#This Row],[OrderDate]])</f>
        <v>49</v>
      </c>
      <c r="D701" s="15" t="str">
        <f>TEXT(Orders[[#This Row],[OrderDate]],"mmmm")</f>
        <v>December</v>
      </c>
      <c r="E701" s="4" t="s">
        <v>75</v>
      </c>
      <c r="F701" s="4" t="s">
        <v>20</v>
      </c>
      <c r="G701" s="4">
        <v>3</v>
      </c>
      <c r="H701" s="12">
        <v>18580.099999999999</v>
      </c>
      <c r="I701" s="13">
        <v>15793.084999999999</v>
      </c>
      <c r="J701" s="13">
        <f>Orders[[#This Row],[Quantity]]*Orders[[#This Row],[Selling Price]]</f>
        <v>55740.299999999996</v>
      </c>
      <c r="K701" s="13">
        <f>Orders[[#This Row],[Quantity]]*Orders[[#This Row],[Cost Price]]</f>
        <v>47379.254999999997</v>
      </c>
      <c r="L701" s="13">
        <f>Orders[[#This Row],[Revenue]]-Orders[[#This Row],[Expenses]]</f>
        <v>8361.0449999999983</v>
      </c>
      <c r="M701" t="s">
        <v>2195</v>
      </c>
      <c r="N701" t="str">
        <f>_xlfn.XLOOKUP(Orders[[#This Row],[CustomerID]],Customers[CustomerID],Customers[CustomerName])</f>
        <v>Tunde Danladi</v>
      </c>
      <c r="O701" t="str">
        <f>_xlfn.XLOOKUP(Orders[[#This Row],[CustomerID]],Customers[CustomerID],Customers[City])</f>
        <v>Texas</v>
      </c>
      <c r="P701" t="str">
        <f>_xlfn.XLOOKUP(Orders[[#This Row],[CustomerID]],Customers[CustomerID],Customers[Gender])</f>
        <v>Male</v>
      </c>
      <c r="Q701">
        <f>_xlfn.XLOOKUP(Orders[[#This Row],[CustomerID]],Customers[CustomerID],Customers[CustomerAge])</f>
        <v>47</v>
      </c>
      <c r="R701" t="str">
        <f>IF(Orders[[#This Row],[CustomerAge]]&gt;=35, "Older", "Young")</f>
        <v>Older</v>
      </c>
      <c r="S701" t="str">
        <f>_xlfn.XLOOKUP(Orders[[#This Row],[ProductID]],Products[ProductID],Products[ProductName])</f>
        <v>Gym Bag</v>
      </c>
      <c r="T701" t="str">
        <f>_xlfn.XLOOKUP(Orders[[#This Row],[ProductID]],Products[ProductID],Products[Category])</f>
        <v>Gym</v>
      </c>
    </row>
    <row r="702" spans="1:20" x14ac:dyDescent="0.25">
      <c r="A702" s="4" t="s">
        <v>890</v>
      </c>
      <c r="B702" s="5">
        <v>45976</v>
      </c>
      <c r="C702" s="15">
        <f>WEEKNUM(Orders[[#This Row],[OrderDate]])</f>
        <v>46</v>
      </c>
      <c r="D702" s="15" t="str">
        <f>TEXT(Orders[[#This Row],[OrderDate]],"mmmm")</f>
        <v>November</v>
      </c>
      <c r="E702" s="4" t="s">
        <v>73</v>
      </c>
      <c r="F702" s="4" t="s">
        <v>25</v>
      </c>
      <c r="G702" s="4">
        <v>10</v>
      </c>
      <c r="H702" s="12">
        <v>14972.3</v>
      </c>
      <c r="I702" s="13">
        <v>12726.455</v>
      </c>
      <c r="J702" s="13">
        <f>Orders[[#This Row],[Quantity]]*Orders[[#This Row],[Selling Price]]</f>
        <v>149723</v>
      </c>
      <c r="K702" s="13">
        <f>Orders[[#This Row],[Quantity]]*Orders[[#This Row],[Cost Price]]</f>
        <v>127264.55</v>
      </c>
      <c r="L702" s="13">
        <f>Orders[[#This Row],[Revenue]]-Orders[[#This Row],[Expenses]]</f>
        <v>22458.449999999997</v>
      </c>
      <c r="M702" t="s">
        <v>2194</v>
      </c>
      <c r="N702" t="str">
        <f>_xlfn.XLOOKUP(Orders[[#This Row],[CustomerID]],Customers[CustomerID],Customers[CustomerName])</f>
        <v>Ronke Okonkwo</v>
      </c>
      <c r="O702" t="str">
        <f>_xlfn.XLOOKUP(Orders[[#This Row],[CustomerID]],Customers[CustomerID],Customers[City])</f>
        <v>California</v>
      </c>
      <c r="P702" t="str">
        <f>_xlfn.XLOOKUP(Orders[[#This Row],[CustomerID]],Customers[CustomerID],Customers[Gender])</f>
        <v>Female</v>
      </c>
      <c r="Q702">
        <f>_xlfn.XLOOKUP(Orders[[#This Row],[CustomerID]],Customers[CustomerID],Customers[CustomerAge])</f>
        <v>20</v>
      </c>
      <c r="R702" t="str">
        <f>IF(Orders[[#This Row],[CustomerAge]]&gt;=35, "Older", "Young")</f>
        <v>Young</v>
      </c>
      <c r="S702" t="str">
        <f>_xlfn.XLOOKUP(Orders[[#This Row],[ProductID]],Products[ProductID],Products[ProductName])</f>
        <v>Gold Rings</v>
      </c>
      <c r="T702" t="str">
        <f>_xlfn.XLOOKUP(Orders[[#This Row],[ProductID]],Products[ProductID],Products[Category])</f>
        <v>Accessories</v>
      </c>
    </row>
    <row r="703" spans="1:20" x14ac:dyDescent="0.25">
      <c r="A703" s="4" t="s">
        <v>891</v>
      </c>
      <c r="B703" s="5">
        <v>46022</v>
      </c>
      <c r="C703" s="15">
        <f>WEEKNUM(Orders[[#This Row],[OrderDate]])</f>
        <v>53</v>
      </c>
      <c r="D703" s="15" t="str">
        <f>TEXT(Orders[[#This Row],[OrderDate]],"mmmm")</f>
        <v>December</v>
      </c>
      <c r="E703" s="4" t="s">
        <v>258</v>
      </c>
      <c r="F703" s="4" t="s">
        <v>84</v>
      </c>
      <c r="G703" s="4">
        <v>5</v>
      </c>
      <c r="H703" s="12">
        <v>10040.599999999999</v>
      </c>
      <c r="I703" s="13">
        <v>8534.5099999999984</v>
      </c>
      <c r="J703" s="13">
        <f>Orders[[#This Row],[Quantity]]*Orders[[#This Row],[Selling Price]]</f>
        <v>50202.999999999993</v>
      </c>
      <c r="K703" s="13">
        <f>Orders[[#This Row],[Quantity]]*Orders[[#This Row],[Cost Price]]</f>
        <v>42672.549999999988</v>
      </c>
      <c r="L703" s="13">
        <f>Orders[[#This Row],[Revenue]]-Orders[[#This Row],[Expenses]]</f>
        <v>7530.4500000000044</v>
      </c>
      <c r="M703" t="s">
        <v>2194</v>
      </c>
      <c r="N703" t="str">
        <f>_xlfn.XLOOKUP(Orders[[#This Row],[CustomerID]],Customers[CustomerID],Customers[CustomerName])</f>
        <v>Sani Abubakar</v>
      </c>
      <c r="O703" t="str">
        <f>_xlfn.XLOOKUP(Orders[[#This Row],[CustomerID]],Customers[CustomerID],Customers[City])</f>
        <v>Washington</v>
      </c>
      <c r="P703" t="str">
        <f>_xlfn.XLOOKUP(Orders[[#This Row],[CustomerID]],Customers[CustomerID],Customers[Gender])</f>
        <v>Male</v>
      </c>
      <c r="Q703">
        <f>_xlfn.XLOOKUP(Orders[[#This Row],[CustomerID]],Customers[CustomerID],Customers[CustomerAge])</f>
        <v>37</v>
      </c>
      <c r="R703" t="str">
        <f>IF(Orders[[#This Row],[CustomerAge]]&gt;=35, "Older", "Young")</f>
        <v>Older</v>
      </c>
      <c r="S703" t="str">
        <f>_xlfn.XLOOKUP(Orders[[#This Row],[ProductID]],Products[ProductID],Products[ProductName])</f>
        <v>Gym Wears</v>
      </c>
      <c r="T703" t="str">
        <f>_xlfn.XLOOKUP(Orders[[#This Row],[ProductID]],Products[ProductID],Products[Category])</f>
        <v>Clothing</v>
      </c>
    </row>
    <row r="704" spans="1:20" x14ac:dyDescent="0.25">
      <c r="A704" s="4" t="s">
        <v>892</v>
      </c>
      <c r="B704" s="5">
        <v>45987</v>
      </c>
      <c r="C704" s="15">
        <f>WEEKNUM(Orders[[#This Row],[OrderDate]])</f>
        <v>48</v>
      </c>
      <c r="D704" s="15" t="str">
        <f>TEXT(Orders[[#This Row],[OrderDate]],"mmmm")</f>
        <v>November</v>
      </c>
      <c r="E704" s="4" t="s">
        <v>45</v>
      </c>
      <c r="F704" s="4" t="s">
        <v>31</v>
      </c>
      <c r="G704" s="4">
        <v>1</v>
      </c>
      <c r="H704" s="12">
        <v>15665.699999999999</v>
      </c>
      <c r="I704" s="13">
        <v>13315.844999999999</v>
      </c>
      <c r="J704" s="13">
        <f>Orders[[#This Row],[Quantity]]*Orders[[#This Row],[Selling Price]]</f>
        <v>15665.699999999999</v>
      </c>
      <c r="K704" s="13">
        <f>Orders[[#This Row],[Quantity]]*Orders[[#This Row],[Cost Price]]</f>
        <v>13315.844999999999</v>
      </c>
      <c r="L704" s="13">
        <f>Orders[[#This Row],[Revenue]]-Orders[[#This Row],[Expenses]]</f>
        <v>2349.8549999999996</v>
      </c>
      <c r="M704" t="s">
        <v>2195</v>
      </c>
      <c r="N704" t="str">
        <f>_xlfn.XLOOKUP(Orders[[#This Row],[CustomerID]],Customers[CustomerID],Customers[CustomerName])</f>
        <v>Abiola Abubakar</v>
      </c>
      <c r="O704" t="str">
        <f>_xlfn.XLOOKUP(Orders[[#This Row],[CustomerID]],Customers[CustomerID],Customers[City])</f>
        <v>Florida</v>
      </c>
      <c r="P704" t="str">
        <f>_xlfn.XLOOKUP(Orders[[#This Row],[CustomerID]],Customers[CustomerID],Customers[Gender])</f>
        <v>Male</v>
      </c>
      <c r="Q704">
        <f>_xlfn.XLOOKUP(Orders[[#This Row],[CustomerID]],Customers[CustomerID],Customers[CustomerAge])</f>
        <v>26</v>
      </c>
      <c r="R704" t="str">
        <f>IF(Orders[[#This Row],[CustomerAge]]&gt;=35, "Older", "Young")</f>
        <v>Young</v>
      </c>
      <c r="S704" t="str">
        <f>_xlfn.XLOOKUP(Orders[[#This Row],[ProductID]],Products[ProductID],Products[ProductName])</f>
        <v>Kids Games</v>
      </c>
      <c r="T704" t="str">
        <f>_xlfn.XLOOKUP(Orders[[#This Row],[ProductID]],Products[ProductID],Products[Category])</f>
        <v>Games</v>
      </c>
    </row>
    <row r="705" spans="1:20" x14ac:dyDescent="0.25">
      <c r="A705" s="4" t="s">
        <v>893</v>
      </c>
      <c r="B705" s="5">
        <v>45981</v>
      </c>
      <c r="C705" s="15">
        <f>WEEKNUM(Orders[[#This Row],[OrderDate]])</f>
        <v>47</v>
      </c>
      <c r="D705" s="15" t="str">
        <f>TEXT(Orders[[#This Row],[OrderDate]],"mmmm")</f>
        <v>November</v>
      </c>
      <c r="E705" s="4" t="s">
        <v>98</v>
      </c>
      <c r="F705" s="4" t="s">
        <v>66</v>
      </c>
      <c r="G705" s="4">
        <v>4</v>
      </c>
      <c r="H705" s="12">
        <v>14252.1</v>
      </c>
      <c r="I705" s="13">
        <v>12114.285</v>
      </c>
      <c r="J705" s="13">
        <f>Orders[[#This Row],[Quantity]]*Orders[[#This Row],[Selling Price]]</f>
        <v>57008.4</v>
      </c>
      <c r="K705" s="13">
        <f>Orders[[#This Row],[Quantity]]*Orders[[#This Row],[Cost Price]]</f>
        <v>48457.14</v>
      </c>
      <c r="L705" s="13">
        <f>Orders[[#This Row],[Revenue]]-Orders[[#This Row],[Expenses]]</f>
        <v>8551.260000000002</v>
      </c>
      <c r="M705" t="s">
        <v>2206</v>
      </c>
      <c r="N705" t="str">
        <f>_xlfn.XLOOKUP(Orders[[#This Row],[CustomerID]],Customers[CustomerID],Customers[CustomerName])</f>
        <v>Chioma Adeyemi</v>
      </c>
      <c r="O705" t="str">
        <f>_xlfn.XLOOKUP(Orders[[#This Row],[CustomerID]],Customers[CustomerID],Customers[City])</f>
        <v>Illinois</v>
      </c>
      <c r="P705" t="str">
        <f>_xlfn.XLOOKUP(Orders[[#This Row],[CustomerID]],Customers[CustomerID],Customers[Gender])</f>
        <v>Female</v>
      </c>
      <c r="Q705">
        <f>_xlfn.XLOOKUP(Orders[[#This Row],[CustomerID]],Customers[CustomerID],Customers[CustomerAge])</f>
        <v>23</v>
      </c>
      <c r="R705" t="str">
        <f>IF(Orders[[#This Row],[CustomerAge]]&gt;=35, "Older", "Young")</f>
        <v>Young</v>
      </c>
      <c r="S705" t="str">
        <f>_xlfn.XLOOKUP(Orders[[#This Row],[ProductID]],Products[ProductID],Products[ProductName])</f>
        <v>Microwave</v>
      </c>
      <c r="T705" t="str">
        <f>_xlfn.XLOOKUP(Orders[[#This Row],[ProductID]],Products[ProductID],Products[Category])</f>
        <v>Electronics</v>
      </c>
    </row>
    <row r="706" spans="1:20" x14ac:dyDescent="0.25">
      <c r="A706" s="4" t="s">
        <v>894</v>
      </c>
      <c r="B706" s="5">
        <v>45998</v>
      </c>
      <c r="C706" s="15">
        <f>WEEKNUM(Orders[[#This Row],[OrderDate]])</f>
        <v>50</v>
      </c>
      <c r="D706" s="15" t="str">
        <f>TEXT(Orders[[#This Row],[OrderDate]],"mmmm")</f>
        <v>December</v>
      </c>
      <c r="E706" s="4" t="s">
        <v>214</v>
      </c>
      <c r="F706" s="4" t="s">
        <v>34</v>
      </c>
      <c r="G706" s="4">
        <v>9</v>
      </c>
      <c r="H706" s="12">
        <v>16436.400000000001</v>
      </c>
      <c r="I706" s="13">
        <v>13970.940000000002</v>
      </c>
      <c r="J706" s="13">
        <f>Orders[[#This Row],[Quantity]]*Orders[[#This Row],[Selling Price]]</f>
        <v>147927.6</v>
      </c>
      <c r="K706" s="13">
        <f>Orders[[#This Row],[Quantity]]*Orders[[#This Row],[Cost Price]]</f>
        <v>125738.46000000002</v>
      </c>
      <c r="L706" s="13">
        <f>Orders[[#This Row],[Revenue]]-Orders[[#This Row],[Expenses]]</f>
        <v>22189.139999999985</v>
      </c>
      <c r="M706" t="s">
        <v>2201</v>
      </c>
      <c r="N706" t="str">
        <f>_xlfn.XLOOKUP(Orders[[#This Row],[CustomerID]],Customers[CustomerID],Customers[CustomerName])</f>
        <v>Adanma Okonkwo</v>
      </c>
      <c r="O706" t="str">
        <f>_xlfn.XLOOKUP(Orders[[#This Row],[CustomerID]],Customers[CustomerID],Customers[City])</f>
        <v>California</v>
      </c>
      <c r="P706" t="str">
        <f>_xlfn.XLOOKUP(Orders[[#This Row],[CustomerID]],Customers[CustomerID],Customers[Gender])</f>
        <v>Female</v>
      </c>
      <c r="Q706">
        <f>_xlfn.XLOOKUP(Orders[[#This Row],[CustomerID]],Customers[CustomerID],Customers[CustomerAge])</f>
        <v>20</v>
      </c>
      <c r="R706" t="str">
        <f>IF(Orders[[#This Row],[CustomerAge]]&gt;=35, "Older", "Young")</f>
        <v>Young</v>
      </c>
      <c r="S706" t="str">
        <f>_xlfn.XLOOKUP(Orders[[#This Row],[ProductID]],Products[ProductID],Products[ProductName])</f>
        <v>Gold Bracelets</v>
      </c>
      <c r="T706" t="str">
        <f>_xlfn.XLOOKUP(Orders[[#This Row],[ProductID]],Products[ProductID],Products[Category])</f>
        <v>Accessories</v>
      </c>
    </row>
    <row r="707" spans="1:20" x14ac:dyDescent="0.25">
      <c r="A707" s="4" t="s">
        <v>895</v>
      </c>
      <c r="B707" s="5">
        <v>46017</v>
      </c>
      <c r="C707" s="15">
        <f>WEEKNUM(Orders[[#This Row],[OrderDate]])</f>
        <v>52</v>
      </c>
      <c r="D707" s="15" t="str">
        <f>TEXT(Orders[[#This Row],[OrderDate]],"mmmm")</f>
        <v>December</v>
      </c>
      <c r="E707" s="4" t="s">
        <v>75</v>
      </c>
      <c r="F707" s="4" t="s">
        <v>23</v>
      </c>
      <c r="G707" s="4">
        <v>4</v>
      </c>
      <c r="H707" s="12">
        <v>7269.4000000000005</v>
      </c>
      <c r="I707" s="13">
        <v>6178.9900000000007</v>
      </c>
      <c r="J707" s="13">
        <f>Orders[[#This Row],[Quantity]]*Orders[[#This Row],[Selling Price]]</f>
        <v>29077.600000000002</v>
      </c>
      <c r="K707" s="13">
        <f>Orders[[#This Row],[Quantity]]*Orders[[#This Row],[Cost Price]]</f>
        <v>24715.960000000003</v>
      </c>
      <c r="L707" s="13">
        <f>Orders[[#This Row],[Revenue]]-Orders[[#This Row],[Expenses]]</f>
        <v>4361.6399999999994</v>
      </c>
      <c r="M707" t="s">
        <v>2192</v>
      </c>
      <c r="N707" t="str">
        <f>_xlfn.XLOOKUP(Orders[[#This Row],[CustomerID]],Customers[CustomerID],Customers[CustomerName])</f>
        <v>Tunde Danladi</v>
      </c>
      <c r="O707" t="str">
        <f>_xlfn.XLOOKUP(Orders[[#This Row],[CustomerID]],Customers[CustomerID],Customers[City])</f>
        <v>Texas</v>
      </c>
      <c r="P707" t="str">
        <f>_xlfn.XLOOKUP(Orders[[#This Row],[CustomerID]],Customers[CustomerID],Customers[Gender])</f>
        <v>Male</v>
      </c>
      <c r="Q707">
        <f>_xlfn.XLOOKUP(Orders[[#This Row],[CustomerID]],Customers[CustomerID],Customers[CustomerAge])</f>
        <v>47</v>
      </c>
      <c r="R707" t="str">
        <f>IF(Orders[[#This Row],[CustomerAge]]&gt;=35, "Older", "Young")</f>
        <v>Older</v>
      </c>
      <c r="S707" t="str">
        <f>_xlfn.XLOOKUP(Orders[[#This Row],[ProductID]],Products[ProductID],Products[ProductName])</f>
        <v>Gym Gloves</v>
      </c>
      <c r="T707" t="str">
        <f>_xlfn.XLOOKUP(Orders[[#This Row],[ProductID]],Products[ProductID],Products[Category])</f>
        <v>Gym</v>
      </c>
    </row>
    <row r="708" spans="1:20" x14ac:dyDescent="0.25">
      <c r="A708" s="4" t="s">
        <v>896</v>
      </c>
      <c r="B708" s="5">
        <v>45982</v>
      </c>
      <c r="C708" s="15">
        <f>WEEKNUM(Orders[[#This Row],[OrderDate]])</f>
        <v>47</v>
      </c>
      <c r="D708" s="15" t="str">
        <f>TEXT(Orders[[#This Row],[OrderDate]],"mmmm")</f>
        <v>November</v>
      </c>
      <c r="E708" s="4" t="s">
        <v>205</v>
      </c>
      <c r="F708" s="4" t="s">
        <v>37</v>
      </c>
      <c r="G708" s="4">
        <v>6</v>
      </c>
      <c r="H708" s="12">
        <v>9522</v>
      </c>
      <c r="I708" s="13">
        <v>8093.7</v>
      </c>
      <c r="J708" s="13">
        <f>Orders[[#This Row],[Quantity]]*Orders[[#This Row],[Selling Price]]</f>
        <v>57132</v>
      </c>
      <c r="K708" s="13">
        <f>Orders[[#This Row],[Quantity]]*Orders[[#This Row],[Cost Price]]</f>
        <v>48562.2</v>
      </c>
      <c r="L708" s="13">
        <f>Orders[[#This Row],[Revenue]]-Orders[[#This Row],[Expenses]]</f>
        <v>8569.8000000000029</v>
      </c>
      <c r="M708" t="s">
        <v>2194</v>
      </c>
      <c r="N708" t="str">
        <f>_xlfn.XLOOKUP(Orders[[#This Row],[CustomerID]],Customers[CustomerID],Customers[CustomerName])</f>
        <v>Jide Adeyemi</v>
      </c>
      <c r="O708" t="str">
        <f>_xlfn.XLOOKUP(Orders[[#This Row],[CustomerID]],Customers[CustomerID],Customers[City])</f>
        <v>Washington</v>
      </c>
      <c r="P708" t="str">
        <f>_xlfn.XLOOKUP(Orders[[#This Row],[CustomerID]],Customers[CustomerID],Customers[Gender])</f>
        <v>Male</v>
      </c>
      <c r="Q708">
        <f>_xlfn.XLOOKUP(Orders[[#This Row],[CustomerID]],Customers[CustomerID],Customers[CustomerAge])</f>
        <v>19</v>
      </c>
      <c r="R708" t="str">
        <f>IF(Orders[[#This Row],[CustomerAge]]&gt;=35, "Older", "Young")</f>
        <v>Young</v>
      </c>
      <c r="S708" t="str">
        <f>_xlfn.XLOOKUP(Orders[[#This Row],[ProductID]],Products[ProductID],Products[ProductName])</f>
        <v>Iron</v>
      </c>
      <c r="T708" t="str">
        <f>_xlfn.XLOOKUP(Orders[[#This Row],[ProductID]],Products[ProductID],Products[Category])</f>
        <v>Electronics</v>
      </c>
    </row>
    <row r="709" spans="1:20" x14ac:dyDescent="0.25">
      <c r="A709" s="4" t="s">
        <v>897</v>
      </c>
      <c r="B709" s="5">
        <v>45960</v>
      </c>
      <c r="C709" s="15">
        <f>WEEKNUM(Orders[[#This Row],[OrderDate]])</f>
        <v>44</v>
      </c>
      <c r="D709" s="15" t="str">
        <f>TEXT(Orders[[#This Row],[OrderDate]],"mmmm")</f>
        <v>October</v>
      </c>
      <c r="E709" s="4" t="s">
        <v>161</v>
      </c>
      <c r="F709" s="4" t="s">
        <v>168</v>
      </c>
      <c r="G709" s="4">
        <v>7</v>
      </c>
      <c r="H709" s="12">
        <v>9072.1</v>
      </c>
      <c r="I709" s="13">
        <v>7711.2849999999999</v>
      </c>
      <c r="J709" s="13">
        <f>Orders[[#This Row],[Quantity]]*Orders[[#This Row],[Selling Price]]</f>
        <v>63504.700000000004</v>
      </c>
      <c r="K709" s="13">
        <f>Orders[[#This Row],[Quantity]]*Orders[[#This Row],[Cost Price]]</f>
        <v>53978.994999999995</v>
      </c>
      <c r="L709" s="13">
        <f>Orders[[#This Row],[Revenue]]-Orders[[#This Row],[Expenses]]</f>
        <v>9525.705000000009</v>
      </c>
      <c r="M709" t="s">
        <v>2212</v>
      </c>
      <c r="N709" t="str">
        <f>_xlfn.XLOOKUP(Orders[[#This Row],[CustomerID]],Customers[CustomerID],Customers[CustomerName])</f>
        <v>Okon Adeyemi</v>
      </c>
      <c r="O709" t="str">
        <f>_xlfn.XLOOKUP(Orders[[#This Row],[CustomerID]],Customers[CustomerID],Customers[City])</f>
        <v>Georgia</v>
      </c>
      <c r="P709" t="str">
        <f>_xlfn.XLOOKUP(Orders[[#This Row],[CustomerID]],Customers[CustomerID],Customers[Gender])</f>
        <v>Male</v>
      </c>
      <c r="Q709">
        <f>_xlfn.XLOOKUP(Orders[[#This Row],[CustomerID]],Customers[CustomerID],Customers[CustomerAge])</f>
        <v>31</v>
      </c>
      <c r="R709" t="str">
        <f>IF(Orders[[#This Row],[CustomerAge]]&gt;=35, "Older", "Young")</f>
        <v>Young</v>
      </c>
      <c r="S709" t="str">
        <f>_xlfn.XLOOKUP(Orders[[#This Row],[ProductID]],Products[ProductID],Products[ProductName])</f>
        <v>Dumb Bells</v>
      </c>
      <c r="T709" t="str">
        <f>_xlfn.XLOOKUP(Orders[[#This Row],[ProductID]],Products[ProductID],Products[Category])</f>
        <v>Gym</v>
      </c>
    </row>
    <row r="710" spans="1:20" x14ac:dyDescent="0.25">
      <c r="A710" s="4" t="s">
        <v>898</v>
      </c>
      <c r="B710" s="5">
        <v>45941</v>
      </c>
      <c r="C710" s="15">
        <f>WEEKNUM(Orders[[#This Row],[OrderDate]])</f>
        <v>41</v>
      </c>
      <c r="D710" s="15" t="str">
        <f>TEXT(Orders[[#This Row],[OrderDate]],"mmmm")</f>
        <v>October</v>
      </c>
      <c r="E710" s="4" t="s">
        <v>517</v>
      </c>
      <c r="F710" s="4" t="s">
        <v>12</v>
      </c>
      <c r="G710" s="4">
        <v>1</v>
      </c>
      <c r="H710" s="12">
        <v>14766.800000000001</v>
      </c>
      <c r="I710" s="13">
        <v>12551.78</v>
      </c>
      <c r="J710" s="13">
        <f>Orders[[#This Row],[Quantity]]*Orders[[#This Row],[Selling Price]]</f>
        <v>14766.800000000001</v>
      </c>
      <c r="K710" s="13">
        <f>Orders[[#This Row],[Quantity]]*Orders[[#This Row],[Cost Price]]</f>
        <v>12551.78</v>
      </c>
      <c r="L710" s="13">
        <f>Orders[[#This Row],[Revenue]]-Orders[[#This Row],[Expenses]]</f>
        <v>2215.0200000000004</v>
      </c>
      <c r="M710" t="s">
        <v>2194</v>
      </c>
      <c r="N710" t="str">
        <f>_xlfn.XLOOKUP(Orders[[#This Row],[CustomerID]],Customers[CustomerID],Customers[CustomerName])</f>
        <v>Efe Adeyemi</v>
      </c>
      <c r="O710" t="str">
        <f>_xlfn.XLOOKUP(Orders[[#This Row],[CustomerID]],Customers[CustomerID],Customers[City])</f>
        <v>Florida</v>
      </c>
      <c r="P710" t="str">
        <f>_xlfn.XLOOKUP(Orders[[#This Row],[CustomerID]],Customers[CustomerID],Customers[Gender])</f>
        <v>Female</v>
      </c>
      <c r="Q710">
        <f>_xlfn.XLOOKUP(Orders[[#This Row],[CustomerID]],Customers[CustomerID],Customers[CustomerAge])</f>
        <v>25</v>
      </c>
      <c r="R710" t="str">
        <f>IF(Orders[[#This Row],[CustomerAge]]&gt;=35, "Older", "Young")</f>
        <v>Young</v>
      </c>
      <c r="S710" t="str">
        <f>_xlfn.XLOOKUP(Orders[[#This Row],[ProductID]],Products[ProductID],Products[ProductName])</f>
        <v>Boubou</v>
      </c>
      <c r="T710" t="str">
        <f>_xlfn.XLOOKUP(Orders[[#This Row],[ProductID]],Products[ProductID],Products[Category])</f>
        <v>Clothing</v>
      </c>
    </row>
    <row r="711" spans="1:20" x14ac:dyDescent="0.25">
      <c r="A711" s="4" t="s">
        <v>899</v>
      </c>
      <c r="B711" s="5">
        <v>45985</v>
      </c>
      <c r="C711" s="15">
        <f>WEEKNUM(Orders[[#This Row],[OrderDate]])</f>
        <v>48</v>
      </c>
      <c r="D711" s="15" t="str">
        <f>TEXT(Orders[[#This Row],[OrderDate]],"mmmm")</f>
        <v>November</v>
      </c>
      <c r="E711" s="4" t="s">
        <v>346</v>
      </c>
      <c r="F711" s="4" t="s">
        <v>28</v>
      </c>
      <c r="G711" s="4">
        <v>8</v>
      </c>
      <c r="H711" s="12">
        <v>4718.1000000000004</v>
      </c>
      <c r="I711" s="13">
        <v>4010.3850000000002</v>
      </c>
      <c r="J711" s="13">
        <f>Orders[[#This Row],[Quantity]]*Orders[[#This Row],[Selling Price]]</f>
        <v>37744.800000000003</v>
      </c>
      <c r="K711" s="13">
        <f>Orders[[#This Row],[Quantity]]*Orders[[#This Row],[Cost Price]]</f>
        <v>32083.08</v>
      </c>
      <c r="L711" s="13">
        <f>Orders[[#This Row],[Revenue]]-Orders[[#This Row],[Expenses]]</f>
        <v>5661.7200000000012</v>
      </c>
      <c r="M711" t="s">
        <v>2218</v>
      </c>
      <c r="N711" t="str">
        <f>_xlfn.XLOOKUP(Orders[[#This Row],[CustomerID]],Customers[CustomerID],Customers[CustomerName])</f>
        <v>Ngozi Danladi</v>
      </c>
      <c r="O711" t="str">
        <f>_xlfn.XLOOKUP(Orders[[#This Row],[CustomerID]],Customers[CustomerID],Customers[City])</f>
        <v>California</v>
      </c>
      <c r="P711" t="str">
        <f>_xlfn.XLOOKUP(Orders[[#This Row],[CustomerID]],Customers[CustomerID],Customers[Gender])</f>
        <v>Female</v>
      </c>
      <c r="Q711">
        <f>_xlfn.XLOOKUP(Orders[[#This Row],[CustomerID]],Customers[CustomerID],Customers[CustomerAge])</f>
        <v>30</v>
      </c>
      <c r="R711" t="str">
        <f>IF(Orders[[#This Row],[CustomerAge]]&gt;=35, "Older", "Young")</f>
        <v>Young</v>
      </c>
      <c r="S711" t="str">
        <f>_xlfn.XLOOKUP(Orders[[#This Row],[ProductID]],Products[ProductID],Products[ProductName])</f>
        <v>Sneakers</v>
      </c>
      <c r="T711" t="str">
        <f>_xlfn.XLOOKUP(Orders[[#This Row],[ProductID]],Products[ProductID],Products[Category])</f>
        <v>Sports</v>
      </c>
    </row>
    <row r="712" spans="1:20" x14ac:dyDescent="0.25">
      <c r="A712" s="4" t="s">
        <v>900</v>
      </c>
      <c r="B712" s="5">
        <v>45968</v>
      </c>
      <c r="C712" s="15">
        <f>WEEKNUM(Orders[[#This Row],[OrderDate]])</f>
        <v>45</v>
      </c>
      <c r="D712" s="15" t="str">
        <f>TEXT(Orders[[#This Row],[OrderDate]],"mmmm")</f>
        <v>November</v>
      </c>
      <c r="E712" s="4" t="s">
        <v>174</v>
      </c>
      <c r="F712" s="4" t="s">
        <v>253</v>
      </c>
      <c r="G712" s="4">
        <v>8</v>
      </c>
      <c r="H712" s="12">
        <v>10073.300000000001</v>
      </c>
      <c r="I712" s="13">
        <v>8562.3050000000003</v>
      </c>
      <c r="J712" s="13">
        <f>Orders[[#This Row],[Quantity]]*Orders[[#This Row],[Selling Price]]</f>
        <v>80586.400000000009</v>
      </c>
      <c r="K712" s="13">
        <f>Orders[[#This Row],[Quantity]]*Orders[[#This Row],[Cost Price]]</f>
        <v>68498.44</v>
      </c>
      <c r="L712" s="13">
        <f>Orders[[#This Row],[Revenue]]-Orders[[#This Row],[Expenses]]</f>
        <v>12087.960000000006</v>
      </c>
      <c r="M712" t="s">
        <v>2215</v>
      </c>
      <c r="N712" t="str">
        <f>_xlfn.XLOOKUP(Orders[[#This Row],[CustomerID]],Customers[CustomerID],Customers[CustomerName])</f>
        <v>Zainab Obi</v>
      </c>
      <c r="O712" t="str">
        <f>_xlfn.XLOOKUP(Orders[[#This Row],[CustomerID]],Customers[CustomerID],Customers[City])</f>
        <v>California</v>
      </c>
      <c r="P712" t="str">
        <f>_xlfn.XLOOKUP(Orders[[#This Row],[CustomerID]],Customers[CustomerID],Customers[Gender])</f>
        <v>Female</v>
      </c>
      <c r="Q712">
        <f>_xlfn.XLOOKUP(Orders[[#This Row],[CustomerID]],Customers[CustomerID],Customers[CustomerAge])</f>
        <v>18</v>
      </c>
      <c r="R712" t="str">
        <f>IF(Orders[[#This Row],[CustomerAge]]&gt;=35, "Older", "Young")</f>
        <v>Young</v>
      </c>
      <c r="S712" t="str">
        <f>_xlfn.XLOOKUP(Orders[[#This Row],[ProductID]],Products[ProductID],Products[ProductName])</f>
        <v>Nose Rings</v>
      </c>
      <c r="T712" t="str">
        <f>_xlfn.XLOOKUP(Orders[[#This Row],[ProductID]],Products[ProductID],Products[Category])</f>
        <v>Accessories</v>
      </c>
    </row>
    <row r="713" spans="1:20" x14ac:dyDescent="0.25">
      <c r="A713" s="4" t="s">
        <v>901</v>
      </c>
      <c r="B713" s="5">
        <v>46004</v>
      </c>
      <c r="C713" s="15">
        <f>WEEKNUM(Orders[[#This Row],[OrderDate]])</f>
        <v>50</v>
      </c>
      <c r="D713" s="15" t="str">
        <f>TEXT(Orders[[#This Row],[OrderDate]],"mmmm")</f>
        <v>December</v>
      </c>
      <c r="E713" s="4" t="s">
        <v>62</v>
      </c>
      <c r="F713" s="4" t="s">
        <v>15</v>
      </c>
      <c r="G713" s="4">
        <v>9</v>
      </c>
      <c r="H713" s="12">
        <v>13371.800000000001</v>
      </c>
      <c r="I713" s="13">
        <v>11366.03</v>
      </c>
      <c r="J713" s="13">
        <f>Orders[[#This Row],[Quantity]]*Orders[[#This Row],[Selling Price]]</f>
        <v>120346.20000000001</v>
      </c>
      <c r="K713" s="13">
        <f>Orders[[#This Row],[Quantity]]*Orders[[#This Row],[Cost Price]]</f>
        <v>102294.27</v>
      </c>
      <c r="L713" s="13">
        <f>Orders[[#This Row],[Revenue]]-Orders[[#This Row],[Expenses]]</f>
        <v>18051.930000000008</v>
      </c>
      <c r="M713" t="s">
        <v>2202</v>
      </c>
      <c r="N713" t="str">
        <f>_xlfn.XLOOKUP(Orders[[#This Row],[CustomerID]],Customers[CustomerID],Customers[CustomerName])</f>
        <v>Ronke Okonkwo</v>
      </c>
      <c r="O713" t="str">
        <f>_xlfn.XLOOKUP(Orders[[#This Row],[CustomerID]],Customers[CustomerID],Customers[City])</f>
        <v>Texas</v>
      </c>
      <c r="P713" t="str">
        <f>_xlfn.XLOOKUP(Orders[[#This Row],[CustomerID]],Customers[CustomerID],Customers[Gender])</f>
        <v>Female</v>
      </c>
      <c r="Q713">
        <f>_xlfn.XLOOKUP(Orders[[#This Row],[CustomerID]],Customers[CustomerID],Customers[CustomerAge])</f>
        <v>36</v>
      </c>
      <c r="R713" t="str">
        <f>IF(Orders[[#This Row],[CustomerAge]]&gt;=35, "Older", "Young")</f>
        <v>Older</v>
      </c>
      <c r="S713" t="str">
        <f>_xlfn.XLOOKUP(Orders[[#This Row],[ProductID]],Products[ProductID],Products[ProductName])</f>
        <v>Monopoly</v>
      </c>
      <c r="T713" t="str">
        <f>_xlfn.XLOOKUP(Orders[[#This Row],[ProductID]],Products[ProductID],Products[Category])</f>
        <v>Games</v>
      </c>
    </row>
    <row r="714" spans="1:20" x14ac:dyDescent="0.25">
      <c r="A714" s="4" t="s">
        <v>902</v>
      </c>
      <c r="B714" s="5">
        <v>46006</v>
      </c>
      <c r="C714" s="15">
        <f>WEEKNUM(Orders[[#This Row],[OrderDate]])</f>
        <v>51</v>
      </c>
      <c r="D714" s="15" t="str">
        <f>TEXT(Orders[[#This Row],[OrderDate]],"mmmm")</f>
        <v>December</v>
      </c>
      <c r="E714" s="4" t="s">
        <v>129</v>
      </c>
      <c r="F714" s="4" t="s">
        <v>63</v>
      </c>
      <c r="G714" s="4">
        <v>1</v>
      </c>
      <c r="H714" s="12">
        <v>9729.2999999999993</v>
      </c>
      <c r="I714" s="13">
        <v>8269.9049999999988</v>
      </c>
      <c r="J714" s="13">
        <f>Orders[[#This Row],[Quantity]]*Orders[[#This Row],[Selling Price]]</f>
        <v>9729.2999999999993</v>
      </c>
      <c r="K714" s="13">
        <f>Orders[[#This Row],[Quantity]]*Orders[[#This Row],[Cost Price]]</f>
        <v>8269.9049999999988</v>
      </c>
      <c r="L714" s="13">
        <f>Orders[[#This Row],[Revenue]]-Orders[[#This Row],[Expenses]]</f>
        <v>1459.3950000000004</v>
      </c>
      <c r="M714" t="s">
        <v>2210</v>
      </c>
      <c r="N714" t="str">
        <f>_xlfn.XLOOKUP(Orders[[#This Row],[CustomerID]],Customers[CustomerID],Customers[CustomerName])</f>
        <v>Chioma Ojo</v>
      </c>
      <c r="O714" t="str">
        <f>_xlfn.XLOOKUP(Orders[[#This Row],[CustomerID]],Customers[CustomerID],Customers[City])</f>
        <v>Washington</v>
      </c>
      <c r="P714" t="str">
        <f>_xlfn.XLOOKUP(Orders[[#This Row],[CustomerID]],Customers[CustomerID],Customers[Gender])</f>
        <v>Female</v>
      </c>
      <c r="Q714">
        <f>_xlfn.XLOOKUP(Orders[[#This Row],[CustomerID]],Customers[CustomerID],Customers[CustomerAge])</f>
        <v>46</v>
      </c>
      <c r="R714" t="str">
        <f>IF(Orders[[#This Row],[CustomerAge]]&gt;=35, "Older", "Young")</f>
        <v>Older</v>
      </c>
      <c r="S714" t="str">
        <f>_xlfn.XLOOKUP(Orders[[#This Row],[ProductID]],Products[ProductID],Products[ProductName])</f>
        <v>Tennis Bat</v>
      </c>
      <c r="T714" t="str">
        <f>_xlfn.XLOOKUP(Orders[[#This Row],[ProductID]],Products[ProductID],Products[Category])</f>
        <v>Sports</v>
      </c>
    </row>
    <row r="715" spans="1:20" x14ac:dyDescent="0.25">
      <c r="A715" s="4" t="s">
        <v>903</v>
      </c>
      <c r="B715" s="5">
        <v>45991</v>
      </c>
      <c r="C715" s="15">
        <f>WEEKNUM(Orders[[#This Row],[OrderDate]])</f>
        <v>49</v>
      </c>
      <c r="D715" s="15" t="str">
        <f>TEXT(Orders[[#This Row],[OrderDate]],"mmmm")</f>
        <v>November</v>
      </c>
      <c r="E715" s="4" t="s">
        <v>186</v>
      </c>
      <c r="F715" s="4" t="s">
        <v>353</v>
      </c>
      <c r="G715" s="4">
        <v>6</v>
      </c>
      <c r="H715" s="12">
        <v>7306.1</v>
      </c>
      <c r="I715" s="13">
        <v>6210.1850000000004</v>
      </c>
      <c r="J715" s="13">
        <f>Orders[[#This Row],[Quantity]]*Orders[[#This Row],[Selling Price]]</f>
        <v>43836.600000000006</v>
      </c>
      <c r="K715" s="13">
        <f>Orders[[#This Row],[Quantity]]*Orders[[#This Row],[Cost Price]]</f>
        <v>37261.11</v>
      </c>
      <c r="L715" s="13">
        <f>Orders[[#This Row],[Revenue]]-Orders[[#This Row],[Expenses]]</f>
        <v>6575.4900000000052</v>
      </c>
      <c r="M715" t="s">
        <v>2199</v>
      </c>
      <c r="N715" t="str">
        <f>_xlfn.XLOOKUP(Orders[[#This Row],[CustomerID]],Customers[CustomerID],Customers[CustomerName])</f>
        <v>Ronke Eze</v>
      </c>
      <c r="O715" t="str">
        <f>_xlfn.XLOOKUP(Orders[[#This Row],[CustomerID]],Customers[CustomerID],Customers[City])</f>
        <v>Texas</v>
      </c>
      <c r="P715" t="str">
        <f>_xlfn.XLOOKUP(Orders[[#This Row],[CustomerID]],Customers[CustomerID],Customers[Gender])</f>
        <v>Female</v>
      </c>
      <c r="Q715">
        <f>_xlfn.XLOOKUP(Orders[[#This Row],[CustomerID]],Customers[CustomerID],Customers[CustomerAge])</f>
        <v>37</v>
      </c>
      <c r="R715" t="str">
        <f>IF(Orders[[#This Row],[CustomerAge]]&gt;=35, "Older", "Young")</f>
        <v>Older</v>
      </c>
      <c r="S715" t="str">
        <f>_xlfn.XLOOKUP(Orders[[#This Row],[ProductID]],Products[ProductID],Products[ProductName])</f>
        <v>Silver Earrings And Necklaces</v>
      </c>
      <c r="T715" t="str">
        <f>_xlfn.XLOOKUP(Orders[[#This Row],[ProductID]],Products[ProductID],Products[Category])</f>
        <v>Accessories</v>
      </c>
    </row>
    <row r="716" spans="1:20" x14ac:dyDescent="0.25">
      <c r="A716" s="4" t="s">
        <v>904</v>
      </c>
      <c r="B716" s="5">
        <v>45951</v>
      </c>
      <c r="C716" s="15">
        <f>WEEKNUM(Orders[[#This Row],[OrderDate]])</f>
        <v>43</v>
      </c>
      <c r="D716" s="15" t="str">
        <f>TEXT(Orders[[#This Row],[OrderDate]],"mmmm")</f>
        <v>October</v>
      </c>
      <c r="E716" s="4" t="s">
        <v>229</v>
      </c>
      <c r="F716" s="4" t="s">
        <v>37</v>
      </c>
      <c r="G716" s="4">
        <v>2</v>
      </c>
      <c r="H716" s="12">
        <v>1213.3</v>
      </c>
      <c r="I716" s="13">
        <v>1031.3050000000001</v>
      </c>
      <c r="J716" s="13">
        <f>Orders[[#This Row],[Quantity]]*Orders[[#This Row],[Selling Price]]</f>
        <v>2426.6</v>
      </c>
      <c r="K716" s="13">
        <f>Orders[[#This Row],[Quantity]]*Orders[[#This Row],[Cost Price]]</f>
        <v>2062.61</v>
      </c>
      <c r="L716" s="13">
        <f>Orders[[#This Row],[Revenue]]-Orders[[#This Row],[Expenses]]</f>
        <v>363.98999999999978</v>
      </c>
      <c r="M716" t="s">
        <v>2206</v>
      </c>
      <c r="N716" t="str">
        <f>_xlfn.XLOOKUP(Orders[[#This Row],[CustomerID]],Customers[CustomerID],Customers[CustomerName])</f>
        <v>Uche Abubakar</v>
      </c>
      <c r="O716" t="str">
        <f>_xlfn.XLOOKUP(Orders[[#This Row],[CustomerID]],Customers[CustomerID],Customers[City])</f>
        <v>Florida</v>
      </c>
      <c r="P716" t="str">
        <f>_xlfn.XLOOKUP(Orders[[#This Row],[CustomerID]],Customers[CustomerID],Customers[Gender])</f>
        <v>Male</v>
      </c>
      <c r="Q716">
        <f>_xlfn.XLOOKUP(Orders[[#This Row],[CustomerID]],Customers[CustomerID],Customers[CustomerAge])</f>
        <v>43</v>
      </c>
      <c r="R716" t="str">
        <f>IF(Orders[[#This Row],[CustomerAge]]&gt;=35, "Older", "Young")</f>
        <v>Older</v>
      </c>
      <c r="S716" t="str">
        <f>_xlfn.XLOOKUP(Orders[[#This Row],[ProductID]],Products[ProductID],Products[ProductName])</f>
        <v>Iron</v>
      </c>
      <c r="T716" t="str">
        <f>_xlfn.XLOOKUP(Orders[[#This Row],[ProductID]],Products[ProductID],Products[Category])</f>
        <v>Electronics</v>
      </c>
    </row>
    <row r="717" spans="1:20" x14ac:dyDescent="0.25">
      <c r="A717" s="4" t="s">
        <v>905</v>
      </c>
      <c r="B717" s="5">
        <v>45960</v>
      </c>
      <c r="C717" s="15">
        <f>WEEKNUM(Orders[[#This Row],[OrderDate]])</f>
        <v>44</v>
      </c>
      <c r="D717" s="15" t="str">
        <f>TEXT(Orders[[#This Row],[OrderDate]],"mmmm")</f>
        <v>October</v>
      </c>
      <c r="E717" s="4" t="s">
        <v>258</v>
      </c>
      <c r="F717" s="4" t="s">
        <v>189</v>
      </c>
      <c r="G717" s="4">
        <v>5</v>
      </c>
      <c r="H717" s="12">
        <v>14240.8</v>
      </c>
      <c r="I717" s="13">
        <v>12104.68</v>
      </c>
      <c r="J717" s="13">
        <f>Orders[[#This Row],[Quantity]]*Orders[[#This Row],[Selling Price]]</f>
        <v>71204</v>
      </c>
      <c r="K717" s="13">
        <f>Orders[[#This Row],[Quantity]]*Orders[[#This Row],[Cost Price]]</f>
        <v>60523.4</v>
      </c>
      <c r="L717" s="13">
        <f>Orders[[#This Row],[Revenue]]-Orders[[#This Row],[Expenses]]</f>
        <v>10680.599999999999</v>
      </c>
      <c r="M717" t="s">
        <v>2202</v>
      </c>
      <c r="N717" t="str">
        <f>_xlfn.XLOOKUP(Orders[[#This Row],[CustomerID]],Customers[CustomerID],Customers[CustomerName])</f>
        <v>Sani Abubakar</v>
      </c>
      <c r="O717" t="str">
        <f>_xlfn.XLOOKUP(Orders[[#This Row],[CustomerID]],Customers[CustomerID],Customers[City])</f>
        <v>Washington</v>
      </c>
      <c r="P717" t="str">
        <f>_xlfn.XLOOKUP(Orders[[#This Row],[CustomerID]],Customers[CustomerID],Customers[Gender])</f>
        <v>Male</v>
      </c>
      <c r="Q717">
        <f>_xlfn.XLOOKUP(Orders[[#This Row],[CustomerID]],Customers[CustomerID],Customers[CustomerAge])</f>
        <v>37</v>
      </c>
      <c r="R717" t="str">
        <f>IF(Orders[[#This Row],[CustomerAge]]&gt;=35, "Older", "Young")</f>
        <v>Older</v>
      </c>
      <c r="S717" t="str">
        <f>_xlfn.XLOOKUP(Orders[[#This Row],[ProductID]],Products[ProductID],Products[ProductName])</f>
        <v>Scrabble</v>
      </c>
      <c r="T717" t="str">
        <f>_xlfn.XLOOKUP(Orders[[#This Row],[ProductID]],Products[ProductID],Products[Category])</f>
        <v>Games</v>
      </c>
    </row>
    <row r="718" spans="1:20" x14ac:dyDescent="0.25">
      <c r="A718" s="4" t="s">
        <v>906</v>
      </c>
      <c r="B718" s="5">
        <v>45939</v>
      </c>
      <c r="C718" s="15">
        <f>WEEKNUM(Orders[[#This Row],[OrderDate]])</f>
        <v>41</v>
      </c>
      <c r="D718" s="15" t="str">
        <f>TEXT(Orders[[#This Row],[OrderDate]],"mmmm")</f>
        <v>October</v>
      </c>
      <c r="E718" s="4" t="s">
        <v>212</v>
      </c>
      <c r="F718" s="4" t="s">
        <v>63</v>
      </c>
      <c r="G718" s="4">
        <v>1</v>
      </c>
      <c r="H718" s="12">
        <v>8174.2</v>
      </c>
      <c r="I718" s="13">
        <v>6948.07</v>
      </c>
      <c r="J718" s="13">
        <f>Orders[[#This Row],[Quantity]]*Orders[[#This Row],[Selling Price]]</f>
        <v>8174.2</v>
      </c>
      <c r="K718" s="13">
        <f>Orders[[#This Row],[Quantity]]*Orders[[#This Row],[Cost Price]]</f>
        <v>6948.07</v>
      </c>
      <c r="L718" s="13">
        <f>Orders[[#This Row],[Revenue]]-Orders[[#This Row],[Expenses]]</f>
        <v>1226.1300000000001</v>
      </c>
      <c r="M718" t="s">
        <v>2215</v>
      </c>
      <c r="N718" t="str">
        <f>_xlfn.XLOOKUP(Orders[[#This Row],[CustomerID]],Customers[CustomerID],Customers[CustomerName])</f>
        <v>Ngozi Ojo</v>
      </c>
      <c r="O718" t="str">
        <f>_xlfn.XLOOKUP(Orders[[#This Row],[CustomerID]],Customers[CustomerID],Customers[City])</f>
        <v>Illinois</v>
      </c>
      <c r="P718" t="str">
        <f>_xlfn.XLOOKUP(Orders[[#This Row],[CustomerID]],Customers[CustomerID],Customers[Gender])</f>
        <v>Female</v>
      </c>
      <c r="Q718">
        <f>_xlfn.XLOOKUP(Orders[[#This Row],[CustomerID]],Customers[CustomerID],Customers[CustomerAge])</f>
        <v>53</v>
      </c>
      <c r="R718" t="str">
        <f>IF(Orders[[#This Row],[CustomerAge]]&gt;=35, "Older", "Young")</f>
        <v>Older</v>
      </c>
      <c r="S718" t="str">
        <f>_xlfn.XLOOKUP(Orders[[#This Row],[ProductID]],Products[ProductID],Products[ProductName])</f>
        <v>Tennis Bat</v>
      </c>
      <c r="T718" t="str">
        <f>_xlfn.XLOOKUP(Orders[[#This Row],[ProductID]],Products[ProductID],Products[Category])</f>
        <v>Sports</v>
      </c>
    </row>
    <row r="719" spans="1:20" x14ac:dyDescent="0.25">
      <c r="A719" s="4" t="s">
        <v>907</v>
      </c>
      <c r="B719" s="5">
        <v>46006</v>
      </c>
      <c r="C719" s="15">
        <f>WEEKNUM(Orders[[#This Row],[OrderDate]])</f>
        <v>51</v>
      </c>
      <c r="D719" s="15" t="str">
        <f>TEXT(Orders[[#This Row],[OrderDate]],"mmmm")</f>
        <v>December</v>
      </c>
      <c r="E719" s="4" t="s">
        <v>17</v>
      </c>
      <c r="F719" s="4" t="s">
        <v>125</v>
      </c>
      <c r="G719" s="4">
        <v>7</v>
      </c>
      <c r="H719" s="12">
        <v>14313.4</v>
      </c>
      <c r="I719" s="13">
        <v>12166.39</v>
      </c>
      <c r="J719" s="13">
        <f>Orders[[#This Row],[Quantity]]*Orders[[#This Row],[Selling Price]]</f>
        <v>100193.8</v>
      </c>
      <c r="K719" s="13">
        <f>Orders[[#This Row],[Quantity]]*Orders[[#This Row],[Cost Price]]</f>
        <v>85164.73</v>
      </c>
      <c r="L719" s="13">
        <f>Orders[[#This Row],[Revenue]]-Orders[[#This Row],[Expenses]]</f>
        <v>15029.070000000007</v>
      </c>
      <c r="M719" t="s">
        <v>2200</v>
      </c>
      <c r="N719" t="str">
        <f>_xlfn.XLOOKUP(Orders[[#This Row],[CustomerID]],Customers[CustomerID],Customers[CustomerName])</f>
        <v>Bisi Adeyemi</v>
      </c>
      <c r="O719" t="str">
        <f>_xlfn.XLOOKUP(Orders[[#This Row],[CustomerID]],Customers[CustomerID],Customers[City])</f>
        <v>Illinois</v>
      </c>
      <c r="P719" t="str">
        <f>_xlfn.XLOOKUP(Orders[[#This Row],[CustomerID]],Customers[CustomerID],Customers[Gender])</f>
        <v>Female</v>
      </c>
      <c r="Q719">
        <f>_xlfn.XLOOKUP(Orders[[#This Row],[CustomerID]],Customers[CustomerID],Customers[CustomerAge])</f>
        <v>48</v>
      </c>
      <c r="R719" t="str">
        <f>IF(Orders[[#This Row],[CustomerAge]]&gt;=35, "Older", "Young")</f>
        <v>Older</v>
      </c>
      <c r="S719" t="str">
        <f>_xlfn.XLOOKUP(Orders[[#This Row],[ProductID]],Products[ProductID],Products[ProductName])</f>
        <v>Earrings</v>
      </c>
      <c r="T719" t="str">
        <f>_xlfn.XLOOKUP(Orders[[#This Row],[ProductID]],Products[ProductID],Products[Category])</f>
        <v>Accessories</v>
      </c>
    </row>
    <row r="720" spans="1:20" x14ac:dyDescent="0.25">
      <c r="A720" s="4" t="s">
        <v>908</v>
      </c>
      <c r="B720" s="5">
        <v>45949</v>
      </c>
      <c r="C720" s="15">
        <f>WEEKNUM(Orders[[#This Row],[OrderDate]])</f>
        <v>43</v>
      </c>
      <c r="D720" s="15" t="str">
        <f>TEXT(Orders[[#This Row],[OrderDate]],"mmmm")</f>
        <v>October</v>
      </c>
      <c r="E720" s="4" t="s">
        <v>142</v>
      </c>
      <c r="F720" s="4" t="s">
        <v>57</v>
      </c>
      <c r="G720" s="4">
        <v>10</v>
      </c>
      <c r="H720" s="12">
        <v>9002.1</v>
      </c>
      <c r="I720" s="13">
        <v>7651.7849999999999</v>
      </c>
      <c r="J720" s="13">
        <f>Orders[[#This Row],[Quantity]]*Orders[[#This Row],[Selling Price]]</f>
        <v>90021</v>
      </c>
      <c r="K720" s="13">
        <f>Orders[[#This Row],[Quantity]]*Orders[[#This Row],[Cost Price]]</f>
        <v>76517.850000000006</v>
      </c>
      <c r="L720" s="13">
        <f>Orders[[#This Row],[Revenue]]-Orders[[#This Row],[Expenses]]</f>
        <v>13503.149999999994</v>
      </c>
      <c r="M720" t="s">
        <v>2217</v>
      </c>
      <c r="N720" t="str">
        <f>_xlfn.XLOOKUP(Orders[[#This Row],[CustomerID]],Customers[CustomerID],Customers[CustomerName])</f>
        <v>Obi Adeyemi</v>
      </c>
      <c r="O720" t="str">
        <f>_xlfn.XLOOKUP(Orders[[#This Row],[CustomerID]],Customers[CustomerID],Customers[City])</f>
        <v>Florida</v>
      </c>
      <c r="P720" t="str">
        <f>_xlfn.XLOOKUP(Orders[[#This Row],[CustomerID]],Customers[CustomerID],Customers[Gender])</f>
        <v>Male</v>
      </c>
      <c r="Q720">
        <f>_xlfn.XLOOKUP(Orders[[#This Row],[CustomerID]],Customers[CustomerID],Customers[CustomerAge])</f>
        <v>31</v>
      </c>
      <c r="R720" t="str">
        <f>IF(Orders[[#This Row],[CustomerAge]]&gt;=35, "Older", "Young")</f>
        <v>Young</v>
      </c>
      <c r="S720" t="str">
        <f>_xlfn.XLOOKUP(Orders[[#This Row],[ProductID]],Products[ProductID],Products[ProductName])</f>
        <v>Badminton Racket</v>
      </c>
      <c r="T720" t="str">
        <f>_xlfn.XLOOKUP(Orders[[#This Row],[ProductID]],Products[ProductID],Products[Category])</f>
        <v>Sports</v>
      </c>
    </row>
    <row r="721" spans="1:20" x14ac:dyDescent="0.25">
      <c r="A721" s="4" t="s">
        <v>909</v>
      </c>
      <c r="B721" s="5">
        <v>46000</v>
      </c>
      <c r="C721" s="15">
        <f>WEEKNUM(Orders[[#This Row],[OrderDate]])</f>
        <v>50</v>
      </c>
      <c r="D721" s="15" t="str">
        <f>TEXT(Orders[[#This Row],[OrderDate]],"mmmm")</f>
        <v>December</v>
      </c>
      <c r="E721" s="4" t="s">
        <v>83</v>
      </c>
      <c r="F721" s="4" t="s">
        <v>353</v>
      </c>
      <c r="G721" s="4">
        <v>6</v>
      </c>
      <c r="H721" s="12">
        <v>19779.3</v>
      </c>
      <c r="I721" s="13">
        <v>16812.404999999999</v>
      </c>
      <c r="J721" s="13">
        <f>Orders[[#This Row],[Quantity]]*Orders[[#This Row],[Selling Price]]</f>
        <v>118675.79999999999</v>
      </c>
      <c r="K721" s="13">
        <f>Orders[[#This Row],[Quantity]]*Orders[[#This Row],[Cost Price]]</f>
        <v>100874.43</v>
      </c>
      <c r="L721" s="13">
        <f>Orders[[#This Row],[Revenue]]-Orders[[#This Row],[Expenses]]</f>
        <v>17801.369999999995</v>
      </c>
      <c r="M721" t="s">
        <v>2213</v>
      </c>
      <c r="N721" t="str">
        <f>_xlfn.XLOOKUP(Orders[[#This Row],[CustomerID]],Customers[CustomerID],Customers[CustomerName])</f>
        <v>Funke Danladi</v>
      </c>
      <c r="O721" t="str">
        <f>_xlfn.XLOOKUP(Orders[[#This Row],[CustomerID]],Customers[CustomerID],Customers[City])</f>
        <v>Florida</v>
      </c>
      <c r="P721" t="str">
        <f>_xlfn.XLOOKUP(Orders[[#This Row],[CustomerID]],Customers[CustomerID],Customers[Gender])</f>
        <v>Female</v>
      </c>
      <c r="Q721">
        <f>_xlfn.XLOOKUP(Orders[[#This Row],[CustomerID]],Customers[CustomerID],Customers[CustomerAge])</f>
        <v>26</v>
      </c>
      <c r="R721" t="str">
        <f>IF(Orders[[#This Row],[CustomerAge]]&gt;=35, "Older", "Young")</f>
        <v>Young</v>
      </c>
      <c r="S721" t="str">
        <f>_xlfn.XLOOKUP(Orders[[#This Row],[ProductID]],Products[ProductID],Products[ProductName])</f>
        <v>Silver Earrings And Necklaces</v>
      </c>
      <c r="T721" t="str">
        <f>_xlfn.XLOOKUP(Orders[[#This Row],[ProductID]],Products[ProductID],Products[Category])</f>
        <v>Accessories</v>
      </c>
    </row>
    <row r="722" spans="1:20" x14ac:dyDescent="0.25">
      <c r="A722" s="4" t="s">
        <v>910</v>
      </c>
      <c r="B722" s="5">
        <v>45989</v>
      </c>
      <c r="C722" s="15">
        <f>WEEKNUM(Orders[[#This Row],[OrderDate]])</f>
        <v>48</v>
      </c>
      <c r="D722" s="15" t="str">
        <f>TEXT(Orders[[#This Row],[OrderDate]],"mmmm")</f>
        <v>November</v>
      </c>
      <c r="E722" s="4" t="s">
        <v>596</v>
      </c>
      <c r="F722" s="4" t="s">
        <v>9</v>
      </c>
      <c r="G722" s="4">
        <v>10</v>
      </c>
      <c r="H722" s="12">
        <v>11977.8</v>
      </c>
      <c r="I722" s="13">
        <v>10181.129999999999</v>
      </c>
      <c r="J722" s="13">
        <f>Orders[[#This Row],[Quantity]]*Orders[[#This Row],[Selling Price]]</f>
        <v>119778</v>
      </c>
      <c r="K722" s="13">
        <f>Orders[[#This Row],[Quantity]]*Orders[[#This Row],[Cost Price]]</f>
        <v>101811.29999999999</v>
      </c>
      <c r="L722" s="13">
        <f>Orders[[#This Row],[Revenue]]-Orders[[#This Row],[Expenses]]</f>
        <v>17966.700000000012</v>
      </c>
      <c r="M722" t="s">
        <v>2192</v>
      </c>
      <c r="N722" t="str">
        <f>_xlfn.XLOOKUP(Orders[[#This Row],[CustomerID]],Customers[CustomerID],Customers[CustomerName])</f>
        <v>Blessing Balogun</v>
      </c>
      <c r="O722" t="str">
        <f>_xlfn.XLOOKUP(Orders[[#This Row],[CustomerID]],Customers[CustomerID],Customers[City])</f>
        <v>Texas</v>
      </c>
      <c r="P722" t="str">
        <f>_xlfn.XLOOKUP(Orders[[#This Row],[CustomerID]],Customers[CustomerID],Customers[Gender])</f>
        <v>Female</v>
      </c>
      <c r="Q722">
        <f>_xlfn.XLOOKUP(Orders[[#This Row],[CustomerID]],Customers[CustomerID],Customers[CustomerAge])</f>
        <v>26</v>
      </c>
      <c r="R722" t="str">
        <f>IF(Orders[[#This Row],[CustomerAge]]&gt;=35, "Older", "Young")</f>
        <v>Young</v>
      </c>
      <c r="S722" t="str">
        <f>_xlfn.XLOOKUP(Orders[[#This Row],[ProductID]],Products[ProductID],Products[ProductName])</f>
        <v>Beaded Earrings And Necklaces</v>
      </c>
      <c r="T722" t="str">
        <f>_xlfn.XLOOKUP(Orders[[#This Row],[ProductID]],Products[ProductID],Products[Category])</f>
        <v>Accessories</v>
      </c>
    </row>
    <row r="723" spans="1:20" x14ac:dyDescent="0.25">
      <c r="A723" s="4" t="s">
        <v>911</v>
      </c>
      <c r="B723" s="5">
        <v>46018</v>
      </c>
      <c r="C723" s="15">
        <f>WEEKNUM(Orders[[#This Row],[OrderDate]])</f>
        <v>52</v>
      </c>
      <c r="D723" s="15" t="str">
        <f>TEXT(Orders[[#This Row],[OrderDate]],"mmmm")</f>
        <v>December</v>
      </c>
      <c r="E723" s="4" t="s">
        <v>98</v>
      </c>
      <c r="F723" s="4" t="s">
        <v>125</v>
      </c>
      <c r="G723" s="4">
        <v>3</v>
      </c>
      <c r="H723" s="12">
        <v>19403.099999999999</v>
      </c>
      <c r="I723" s="13">
        <v>16492.634999999998</v>
      </c>
      <c r="J723" s="13">
        <f>Orders[[#This Row],[Quantity]]*Orders[[#This Row],[Selling Price]]</f>
        <v>58209.299999999996</v>
      </c>
      <c r="K723" s="13">
        <f>Orders[[#This Row],[Quantity]]*Orders[[#This Row],[Cost Price]]</f>
        <v>49477.904999999999</v>
      </c>
      <c r="L723" s="13">
        <f>Orders[[#This Row],[Revenue]]-Orders[[#This Row],[Expenses]]</f>
        <v>8731.3949999999968</v>
      </c>
      <c r="M723" t="s">
        <v>2217</v>
      </c>
      <c r="N723" t="str">
        <f>_xlfn.XLOOKUP(Orders[[#This Row],[CustomerID]],Customers[CustomerID],Customers[CustomerName])</f>
        <v>Chioma Adeyemi</v>
      </c>
      <c r="O723" t="str">
        <f>_xlfn.XLOOKUP(Orders[[#This Row],[CustomerID]],Customers[CustomerID],Customers[City])</f>
        <v>Illinois</v>
      </c>
      <c r="P723" t="str">
        <f>_xlfn.XLOOKUP(Orders[[#This Row],[CustomerID]],Customers[CustomerID],Customers[Gender])</f>
        <v>Female</v>
      </c>
      <c r="Q723">
        <f>_xlfn.XLOOKUP(Orders[[#This Row],[CustomerID]],Customers[CustomerID],Customers[CustomerAge])</f>
        <v>23</v>
      </c>
      <c r="R723" t="str">
        <f>IF(Orders[[#This Row],[CustomerAge]]&gt;=35, "Older", "Young")</f>
        <v>Young</v>
      </c>
      <c r="S723" t="str">
        <f>_xlfn.XLOOKUP(Orders[[#This Row],[ProductID]],Products[ProductID],Products[ProductName])</f>
        <v>Earrings</v>
      </c>
      <c r="T723" t="str">
        <f>_xlfn.XLOOKUP(Orders[[#This Row],[ProductID]],Products[ProductID],Products[Category])</f>
        <v>Accessories</v>
      </c>
    </row>
    <row r="724" spans="1:20" x14ac:dyDescent="0.25">
      <c r="A724" s="4" t="s">
        <v>912</v>
      </c>
      <c r="B724" s="5">
        <v>45993</v>
      </c>
      <c r="C724" s="15">
        <f>WEEKNUM(Orders[[#This Row],[OrderDate]])</f>
        <v>49</v>
      </c>
      <c r="D724" s="15" t="str">
        <f>TEXT(Orders[[#This Row],[OrderDate]],"mmmm")</f>
        <v>December</v>
      </c>
      <c r="E724" s="4" t="s">
        <v>43</v>
      </c>
      <c r="F724" s="4" t="s">
        <v>57</v>
      </c>
      <c r="G724" s="4">
        <v>9</v>
      </c>
      <c r="H724" s="12">
        <v>15051.5</v>
      </c>
      <c r="I724" s="13">
        <v>12793.775</v>
      </c>
      <c r="J724" s="13">
        <f>Orders[[#This Row],[Quantity]]*Orders[[#This Row],[Selling Price]]</f>
        <v>135463.5</v>
      </c>
      <c r="K724" s="13">
        <f>Orders[[#This Row],[Quantity]]*Orders[[#This Row],[Cost Price]]</f>
        <v>115143.97499999999</v>
      </c>
      <c r="L724" s="13">
        <f>Orders[[#This Row],[Revenue]]-Orders[[#This Row],[Expenses]]</f>
        <v>20319.525000000009</v>
      </c>
      <c r="M724" t="s">
        <v>2217</v>
      </c>
      <c r="N724" t="str">
        <f>_xlfn.XLOOKUP(Orders[[#This Row],[CustomerID]],Customers[CustomerID],Customers[CustomerName])</f>
        <v>Mustafa Danladi</v>
      </c>
      <c r="O724" t="str">
        <f>_xlfn.XLOOKUP(Orders[[#This Row],[CustomerID]],Customers[CustomerID],Customers[City])</f>
        <v>Georgia</v>
      </c>
      <c r="P724" t="str">
        <f>_xlfn.XLOOKUP(Orders[[#This Row],[CustomerID]],Customers[CustomerID],Customers[Gender])</f>
        <v>Male</v>
      </c>
      <c r="Q724">
        <f>_xlfn.XLOOKUP(Orders[[#This Row],[CustomerID]],Customers[CustomerID],Customers[CustomerAge])</f>
        <v>49</v>
      </c>
      <c r="R724" t="str">
        <f>IF(Orders[[#This Row],[CustomerAge]]&gt;=35, "Older", "Young")</f>
        <v>Older</v>
      </c>
      <c r="S724" t="str">
        <f>_xlfn.XLOOKUP(Orders[[#This Row],[ProductID]],Products[ProductID],Products[ProductName])</f>
        <v>Badminton Racket</v>
      </c>
      <c r="T724" t="str">
        <f>_xlfn.XLOOKUP(Orders[[#This Row],[ProductID]],Products[ProductID],Products[Category])</f>
        <v>Sports</v>
      </c>
    </row>
    <row r="725" spans="1:20" x14ac:dyDescent="0.25">
      <c r="A725" s="4" t="s">
        <v>913</v>
      </c>
      <c r="B725" s="5">
        <v>46003</v>
      </c>
      <c r="C725" s="15">
        <f>WEEKNUM(Orders[[#This Row],[OrderDate]])</f>
        <v>50</v>
      </c>
      <c r="D725" s="15" t="str">
        <f>TEXT(Orders[[#This Row],[OrderDate]],"mmmm")</f>
        <v>December</v>
      </c>
      <c r="E725" s="4" t="s">
        <v>426</v>
      </c>
      <c r="F725" s="4" t="s">
        <v>157</v>
      </c>
      <c r="G725" s="4">
        <v>9</v>
      </c>
      <c r="H725" s="12">
        <v>18635.400000000001</v>
      </c>
      <c r="I725" s="13">
        <v>15840.090000000002</v>
      </c>
      <c r="J725" s="13">
        <f>Orders[[#This Row],[Quantity]]*Orders[[#This Row],[Selling Price]]</f>
        <v>167718.6</v>
      </c>
      <c r="K725" s="13">
        <f>Orders[[#This Row],[Quantity]]*Orders[[#This Row],[Cost Price]]</f>
        <v>142560.81000000003</v>
      </c>
      <c r="L725" s="13">
        <f>Orders[[#This Row],[Revenue]]-Orders[[#This Row],[Expenses]]</f>
        <v>25157.789999999979</v>
      </c>
      <c r="M725" t="s">
        <v>2198</v>
      </c>
      <c r="N725" t="str">
        <f>_xlfn.XLOOKUP(Orders[[#This Row],[CustomerID]],Customers[CustomerID],Customers[CustomerName])</f>
        <v>Chinedu Ojo</v>
      </c>
      <c r="O725" t="str">
        <f>_xlfn.XLOOKUP(Orders[[#This Row],[CustomerID]],Customers[CustomerID],Customers[City])</f>
        <v>Washington</v>
      </c>
      <c r="P725" t="str">
        <f>_xlfn.XLOOKUP(Orders[[#This Row],[CustomerID]],Customers[CustomerID],Customers[Gender])</f>
        <v>Male</v>
      </c>
      <c r="Q725">
        <f>_xlfn.XLOOKUP(Orders[[#This Row],[CustomerID]],Customers[CustomerID],Customers[CustomerAge])</f>
        <v>18</v>
      </c>
      <c r="R725" t="str">
        <f>IF(Orders[[#This Row],[CustomerAge]]&gt;=35, "Older", "Young")</f>
        <v>Young</v>
      </c>
      <c r="S725" t="str">
        <f>_xlfn.XLOOKUP(Orders[[#This Row],[ProductID]],Products[ProductID],Products[ProductName])</f>
        <v>Football</v>
      </c>
      <c r="T725" t="str">
        <f>_xlfn.XLOOKUP(Orders[[#This Row],[ProductID]],Products[ProductID],Products[Category])</f>
        <v>Sports</v>
      </c>
    </row>
    <row r="726" spans="1:20" x14ac:dyDescent="0.25">
      <c r="A726" s="4" t="s">
        <v>914</v>
      </c>
      <c r="B726" s="5">
        <v>45957</v>
      </c>
      <c r="C726" s="15">
        <f>WEEKNUM(Orders[[#This Row],[OrderDate]])</f>
        <v>44</v>
      </c>
      <c r="D726" s="15" t="str">
        <f>TEXT(Orders[[#This Row],[OrderDate]],"mmmm")</f>
        <v>October</v>
      </c>
      <c r="E726" s="4" t="s">
        <v>275</v>
      </c>
      <c r="F726" s="4" t="s">
        <v>130</v>
      </c>
      <c r="G726" s="4">
        <v>9</v>
      </c>
      <c r="H726" s="12">
        <v>3933.8999999999996</v>
      </c>
      <c r="I726" s="13">
        <v>3343.8149999999996</v>
      </c>
      <c r="J726" s="13">
        <f>Orders[[#This Row],[Quantity]]*Orders[[#This Row],[Selling Price]]</f>
        <v>35405.1</v>
      </c>
      <c r="K726" s="13">
        <f>Orders[[#This Row],[Quantity]]*Orders[[#This Row],[Cost Price]]</f>
        <v>30094.334999999995</v>
      </c>
      <c r="L726" s="13">
        <f>Orders[[#This Row],[Revenue]]-Orders[[#This Row],[Expenses]]</f>
        <v>5310.7650000000031</v>
      </c>
      <c r="M726" t="s">
        <v>2199</v>
      </c>
      <c r="N726" t="str">
        <f>_xlfn.XLOOKUP(Orders[[#This Row],[CustomerID]],Customers[CustomerID],Customers[CustomerName])</f>
        <v>Ngozi Danladi</v>
      </c>
      <c r="O726" t="str">
        <f>_xlfn.XLOOKUP(Orders[[#This Row],[CustomerID]],Customers[CustomerID],Customers[City])</f>
        <v>Texas</v>
      </c>
      <c r="P726" t="str">
        <f>_xlfn.XLOOKUP(Orders[[#This Row],[CustomerID]],Customers[CustomerID],Customers[Gender])</f>
        <v>Female</v>
      </c>
      <c r="Q726">
        <f>_xlfn.XLOOKUP(Orders[[#This Row],[CustomerID]],Customers[CustomerID],Customers[CustomerAge])</f>
        <v>25</v>
      </c>
      <c r="R726" t="str">
        <f>IF(Orders[[#This Row],[CustomerAge]]&gt;=35, "Older", "Young")</f>
        <v>Young</v>
      </c>
      <c r="S726" t="str">
        <f>_xlfn.XLOOKUP(Orders[[#This Row],[ProductID]],Products[ProductID],Products[ProductName])</f>
        <v>Gold Earrings And Necklaces</v>
      </c>
      <c r="T726" t="str">
        <f>_xlfn.XLOOKUP(Orders[[#This Row],[ProductID]],Products[ProductID],Products[Category])</f>
        <v>Accessories</v>
      </c>
    </row>
    <row r="727" spans="1:20" x14ac:dyDescent="0.25">
      <c r="A727" s="4" t="s">
        <v>915</v>
      </c>
      <c r="B727" s="5">
        <v>46018</v>
      </c>
      <c r="C727" s="15">
        <f>WEEKNUM(Orders[[#This Row],[OrderDate]])</f>
        <v>52</v>
      </c>
      <c r="D727" s="15" t="str">
        <f>TEXT(Orders[[#This Row],[OrderDate]],"mmmm")</f>
        <v>December</v>
      </c>
      <c r="E727" s="4" t="s">
        <v>159</v>
      </c>
      <c r="F727" s="4" t="s">
        <v>168</v>
      </c>
      <c r="G727" s="4">
        <v>10</v>
      </c>
      <c r="H727" s="12">
        <v>4558.8</v>
      </c>
      <c r="I727" s="13">
        <v>3874.98</v>
      </c>
      <c r="J727" s="13">
        <f>Orders[[#This Row],[Quantity]]*Orders[[#This Row],[Selling Price]]</f>
        <v>45588</v>
      </c>
      <c r="K727" s="13">
        <f>Orders[[#This Row],[Quantity]]*Orders[[#This Row],[Cost Price]]</f>
        <v>38749.800000000003</v>
      </c>
      <c r="L727" s="13">
        <f>Orders[[#This Row],[Revenue]]-Orders[[#This Row],[Expenses]]</f>
        <v>6838.1999999999971</v>
      </c>
      <c r="M727" t="s">
        <v>2209</v>
      </c>
      <c r="N727" t="str">
        <f>_xlfn.XLOOKUP(Orders[[#This Row],[CustomerID]],Customers[CustomerID],Customers[CustomerName])</f>
        <v>Ibrahim Okonkwo</v>
      </c>
      <c r="O727" t="str">
        <f>_xlfn.XLOOKUP(Orders[[#This Row],[CustomerID]],Customers[CustomerID],Customers[City])</f>
        <v>Florida</v>
      </c>
      <c r="P727" t="str">
        <f>_xlfn.XLOOKUP(Orders[[#This Row],[CustomerID]],Customers[CustomerID],Customers[Gender])</f>
        <v>Male</v>
      </c>
      <c r="Q727">
        <f>_xlfn.XLOOKUP(Orders[[#This Row],[CustomerID]],Customers[CustomerID],Customers[CustomerAge])</f>
        <v>49</v>
      </c>
      <c r="R727" t="str">
        <f>IF(Orders[[#This Row],[CustomerAge]]&gt;=35, "Older", "Young")</f>
        <v>Older</v>
      </c>
      <c r="S727" t="str">
        <f>_xlfn.XLOOKUP(Orders[[#This Row],[ProductID]],Products[ProductID],Products[ProductName])</f>
        <v>Dumb Bells</v>
      </c>
      <c r="T727" t="str">
        <f>_xlfn.XLOOKUP(Orders[[#This Row],[ProductID]],Products[ProductID],Products[Category])</f>
        <v>Gym</v>
      </c>
    </row>
    <row r="728" spans="1:20" x14ac:dyDescent="0.25">
      <c r="A728" s="4" t="s">
        <v>916</v>
      </c>
      <c r="B728" s="5">
        <v>45960</v>
      </c>
      <c r="C728" s="15">
        <f>WEEKNUM(Orders[[#This Row],[OrderDate]])</f>
        <v>44</v>
      </c>
      <c r="D728" s="15" t="str">
        <f>TEXT(Orders[[#This Row],[OrderDate]],"mmmm")</f>
        <v>October</v>
      </c>
      <c r="E728" s="4" t="s">
        <v>161</v>
      </c>
      <c r="F728" s="4" t="s">
        <v>46</v>
      </c>
      <c r="G728" s="4">
        <v>10</v>
      </c>
      <c r="H728" s="12">
        <v>6024.8</v>
      </c>
      <c r="I728" s="13">
        <v>5121.08</v>
      </c>
      <c r="J728" s="13">
        <f>Orders[[#This Row],[Quantity]]*Orders[[#This Row],[Selling Price]]</f>
        <v>60248</v>
      </c>
      <c r="K728" s="13">
        <f>Orders[[#This Row],[Quantity]]*Orders[[#This Row],[Cost Price]]</f>
        <v>51210.8</v>
      </c>
      <c r="L728" s="13">
        <f>Orders[[#This Row],[Revenue]]-Orders[[#This Row],[Expenses]]</f>
        <v>9037.1999999999971</v>
      </c>
      <c r="M728" t="s">
        <v>2194</v>
      </c>
      <c r="N728" t="str">
        <f>_xlfn.XLOOKUP(Orders[[#This Row],[CustomerID]],Customers[CustomerID],Customers[CustomerName])</f>
        <v>Okon Adeyemi</v>
      </c>
      <c r="O728" t="str">
        <f>_xlfn.XLOOKUP(Orders[[#This Row],[CustomerID]],Customers[CustomerID],Customers[City])</f>
        <v>Georgia</v>
      </c>
      <c r="P728" t="str">
        <f>_xlfn.XLOOKUP(Orders[[#This Row],[CustomerID]],Customers[CustomerID],Customers[Gender])</f>
        <v>Male</v>
      </c>
      <c r="Q728">
        <f>_xlfn.XLOOKUP(Orders[[#This Row],[CustomerID]],Customers[CustomerID],Customers[CustomerAge])</f>
        <v>31</v>
      </c>
      <c r="R728" t="str">
        <f>IF(Orders[[#This Row],[CustomerAge]]&gt;=35, "Older", "Young")</f>
        <v>Young</v>
      </c>
      <c r="S728" t="str">
        <f>_xlfn.XLOOKUP(Orders[[#This Row],[ProductID]],Products[ProductID],Products[ProductName])</f>
        <v>Turtle Neck</v>
      </c>
      <c r="T728" t="str">
        <f>_xlfn.XLOOKUP(Orders[[#This Row],[ProductID]],Products[ProductID],Products[Category])</f>
        <v>Clothing</v>
      </c>
    </row>
    <row r="729" spans="1:20" x14ac:dyDescent="0.25">
      <c r="A729" s="4" t="s">
        <v>917</v>
      </c>
      <c r="B729" s="5">
        <v>45969</v>
      </c>
      <c r="C729" s="15">
        <f>WEEKNUM(Orders[[#This Row],[OrderDate]])</f>
        <v>45</v>
      </c>
      <c r="D729" s="15" t="str">
        <f>TEXT(Orders[[#This Row],[OrderDate]],"mmmm")</f>
        <v>November</v>
      </c>
      <c r="E729" s="4" t="s">
        <v>178</v>
      </c>
      <c r="F729" s="4" t="s">
        <v>81</v>
      </c>
      <c r="G729" s="4">
        <v>4</v>
      </c>
      <c r="H729" s="12">
        <v>2043.7</v>
      </c>
      <c r="I729" s="13">
        <v>1737.145</v>
      </c>
      <c r="J729" s="13">
        <f>Orders[[#This Row],[Quantity]]*Orders[[#This Row],[Selling Price]]</f>
        <v>8174.8</v>
      </c>
      <c r="K729" s="13">
        <f>Orders[[#This Row],[Quantity]]*Orders[[#This Row],[Cost Price]]</f>
        <v>6948.58</v>
      </c>
      <c r="L729" s="13">
        <f>Orders[[#This Row],[Revenue]]-Orders[[#This Row],[Expenses]]</f>
        <v>1226.2200000000003</v>
      </c>
      <c r="M729" t="s">
        <v>2219</v>
      </c>
      <c r="N729" t="str">
        <f>_xlfn.XLOOKUP(Orders[[#This Row],[CustomerID]],Customers[CustomerID],Customers[CustomerName])</f>
        <v>Ibrahim Igwe</v>
      </c>
      <c r="O729" t="str">
        <f>_xlfn.XLOOKUP(Orders[[#This Row],[CustomerID]],Customers[CustomerID],Customers[City])</f>
        <v>Florida</v>
      </c>
      <c r="P729" t="str">
        <f>_xlfn.XLOOKUP(Orders[[#This Row],[CustomerID]],Customers[CustomerID],Customers[Gender])</f>
        <v>Male</v>
      </c>
      <c r="Q729">
        <f>_xlfn.XLOOKUP(Orders[[#This Row],[CustomerID]],Customers[CustomerID],Customers[CustomerAge])</f>
        <v>19</v>
      </c>
      <c r="R729" t="str">
        <f>IF(Orders[[#This Row],[CustomerAge]]&gt;=35, "Older", "Young")</f>
        <v>Young</v>
      </c>
      <c r="S729" t="str">
        <f>_xlfn.XLOOKUP(Orders[[#This Row],[ProductID]],Products[ProductID],Products[ProductName])</f>
        <v>Trousers</v>
      </c>
      <c r="T729" t="str">
        <f>_xlfn.XLOOKUP(Orders[[#This Row],[ProductID]],Products[ProductID],Products[Category])</f>
        <v>Clothing</v>
      </c>
    </row>
    <row r="730" spans="1:20" x14ac:dyDescent="0.25">
      <c r="A730" s="4" t="s">
        <v>918</v>
      </c>
      <c r="B730" s="5">
        <v>45998</v>
      </c>
      <c r="C730" s="15">
        <f>WEEKNUM(Orders[[#This Row],[OrderDate]])</f>
        <v>50</v>
      </c>
      <c r="D730" s="15" t="str">
        <f>TEXT(Orders[[#This Row],[OrderDate]],"mmmm")</f>
        <v>December</v>
      </c>
      <c r="E730" s="4" t="s">
        <v>607</v>
      </c>
      <c r="F730" s="4" t="s">
        <v>76</v>
      </c>
      <c r="G730" s="4">
        <v>7</v>
      </c>
      <c r="H730" s="12">
        <v>6711.2</v>
      </c>
      <c r="I730" s="13">
        <v>5704.5199999999995</v>
      </c>
      <c r="J730" s="13">
        <f>Orders[[#This Row],[Quantity]]*Orders[[#This Row],[Selling Price]]</f>
        <v>46978.400000000001</v>
      </c>
      <c r="K730" s="13">
        <f>Orders[[#This Row],[Quantity]]*Orders[[#This Row],[Cost Price]]</f>
        <v>39931.64</v>
      </c>
      <c r="L730" s="13">
        <f>Orders[[#This Row],[Revenue]]-Orders[[#This Row],[Expenses]]</f>
        <v>7046.760000000002</v>
      </c>
      <c r="M730" t="s">
        <v>2194</v>
      </c>
      <c r="N730" t="str">
        <f>_xlfn.XLOOKUP(Orders[[#This Row],[CustomerID]],Customers[CustomerID],Customers[CustomerName])</f>
        <v>Folasade Ojo</v>
      </c>
      <c r="O730" t="str">
        <f>_xlfn.XLOOKUP(Orders[[#This Row],[CustomerID]],Customers[CustomerID],Customers[City])</f>
        <v>Texas</v>
      </c>
      <c r="P730" t="str">
        <f>_xlfn.XLOOKUP(Orders[[#This Row],[CustomerID]],Customers[CustomerID],Customers[Gender])</f>
        <v>Female</v>
      </c>
      <c r="Q730">
        <f>_xlfn.XLOOKUP(Orders[[#This Row],[CustomerID]],Customers[CustomerID],Customers[CustomerAge])</f>
        <v>19</v>
      </c>
      <c r="R730" t="str">
        <f>IF(Orders[[#This Row],[CustomerAge]]&gt;=35, "Older", "Young")</f>
        <v>Young</v>
      </c>
      <c r="S730" t="str">
        <f>_xlfn.XLOOKUP(Orders[[#This Row],[ProductID]],Products[ProductID],Products[ProductName])</f>
        <v>Blender</v>
      </c>
      <c r="T730" t="str">
        <f>_xlfn.XLOOKUP(Orders[[#This Row],[ProductID]],Products[ProductID],Products[Category])</f>
        <v>Electronics</v>
      </c>
    </row>
    <row r="731" spans="1:20" x14ac:dyDescent="0.25">
      <c r="A731" s="4" t="s">
        <v>919</v>
      </c>
      <c r="B731" s="5">
        <v>45937</v>
      </c>
      <c r="C731" s="15">
        <f>WEEKNUM(Orders[[#This Row],[OrderDate]])</f>
        <v>41</v>
      </c>
      <c r="D731" s="15" t="str">
        <f>TEXT(Orders[[#This Row],[OrderDate]],"mmmm")</f>
        <v>October</v>
      </c>
      <c r="E731" s="4" t="s">
        <v>444</v>
      </c>
      <c r="F731" s="4" t="s">
        <v>28</v>
      </c>
      <c r="G731" s="4">
        <v>4</v>
      </c>
      <c r="H731" s="12">
        <v>648.79999999999995</v>
      </c>
      <c r="I731" s="13">
        <v>551.48</v>
      </c>
      <c r="J731" s="13">
        <f>Orders[[#This Row],[Quantity]]*Orders[[#This Row],[Selling Price]]</f>
        <v>2595.1999999999998</v>
      </c>
      <c r="K731" s="13">
        <f>Orders[[#This Row],[Quantity]]*Orders[[#This Row],[Cost Price]]</f>
        <v>2205.92</v>
      </c>
      <c r="L731" s="13">
        <f>Orders[[#This Row],[Revenue]]-Orders[[#This Row],[Expenses]]</f>
        <v>389.27999999999975</v>
      </c>
      <c r="M731" t="s">
        <v>2202</v>
      </c>
      <c r="N731" t="str">
        <f>_xlfn.XLOOKUP(Orders[[#This Row],[CustomerID]],Customers[CustomerID],Customers[CustomerName])</f>
        <v>Blessing Eze</v>
      </c>
      <c r="O731" t="str">
        <f>_xlfn.XLOOKUP(Orders[[#This Row],[CustomerID]],Customers[CustomerID],Customers[City])</f>
        <v>Texas</v>
      </c>
      <c r="P731" t="str">
        <f>_xlfn.XLOOKUP(Orders[[#This Row],[CustomerID]],Customers[CustomerID],Customers[Gender])</f>
        <v>Female</v>
      </c>
      <c r="Q731">
        <f>_xlfn.XLOOKUP(Orders[[#This Row],[CustomerID]],Customers[CustomerID],Customers[CustomerAge])</f>
        <v>24</v>
      </c>
      <c r="R731" t="str">
        <f>IF(Orders[[#This Row],[CustomerAge]]&gt;=35, "Older", "Young")</f>
        <v>Young</v>
      </c>
      <c r="S731" t="str">
        <f>_xlfn.XLOOKUP(Orders[[#This Row],[ProductID]],Products[ProductID],Products[ProductName])</f>
        <v>Sneakers</v>
      </c>
      <c r="T731" t="str">
        <f>_xlfn.XLOOKUP(Orders[[#This Row],[ProductID]],Products[ProductID],Products[Category])</f>
        <v>Sports</v>
      </c>
    </row>
    <row r="732" spans="1:20" x14ac:dyDescent="0.25">
      <c r="A732" s="4" t="s">
        <v>920</v>
      </c>
      <c r="B732" s="5">
        <v>45948</v>
      </c>
      <c r="C732" s="15">
        <f>WEEKNUM(Orders[[#This Row],[OrderDate]])</f>
        <v>42</v>
      </c>
      <c r="D732" s="15" t="str">
        <f>TEXT(Orders[[#This Row],[OrderDate]],"mmmm")</f>
        <v>October</v>
      </c>
      <c r="E732" s="4" t="s">
        <v>524</v>
      </c>
      <c r="F732" s="4" t="s">
        <v>31</v>
      </c>
      <c r="G732" s="4">
        <v>4</v>
      </c>
      <c r="H732" s="12">
        <v>4556.1000000000004</v>
      </c>
      <c r="I732" s="13">
        <v>3872.6850000000004</v>
      </c>
      <c r="J732" s="13">
        <f>Orders[[#This Row],[Quantity]]*Orders[[#This Row],[Selling Price]]</f>
        <v>18224.400000000001</v>
      </c>
      <c r="K732" s="13">
        <f>Orders[[#This Row],[Quantity]]*Orders[[#This Row],[Cost Price]]</f>
        <v>15490.740000000002</v>
      </c>
      <c r="L732" s="13">
        <f>Orders[[#This Row],[Revenue]]-Orders[[#This Row],[Expenses]]</f>
        <v>2733.66</v>
      </c>
      <c r="M732" t="s">
        <v>2209</v>
      </c>
      <c r="N732" t="str">
        <f>_xlfn.XLOOKUP(Orders[[#This Row],[CustomerID]],Customers[CustomerID],Customers[CustomerName])</f>
        <v>Chinedu Igwe</v>
      </c>
      <c r="O732" t="str">
        <f>_xlfn.XLOOKUP(Orders[[#This Row],[CustomerID]],Customers[CustomerID],Customers[City])</f>
        <v>Florida</v>
      </c>
      <c r="P732" t="str">
        <f>_xlfn.XLOOKUP(Orders[[#This Row],[CustomerID]],Customers[CustomerID],Customers[Gender])</f>
        <v>Male</v>
      </c>
      <c r="Q732">
        <f>_xlfn.XLOOKUP(Orders[[#This Row],[CustomerID]],Customers[CustomerID],Customers[CustomerAge])</f>
        <v>21</v>
      </c>
      <c r="R732" t="str">
        <f>IF(Orders[[#This Row],[CustomerAge]]&gt;=35, "Older", "Young")</f>
        <v>Young</v>
      </c>
      <c r="S732" t="str">
        <f>_xlfn.XLOOKUP(Orders[[#This Row],[ProductID]],Products[ProductID],Products[ProductName])</f>
        <v>Kids Games</v>
      </c>
      <c r="T732" t="str">
        <f>_xlfn.XLOOKUP(Orders[[#This Row],[ProductID]],Products[ProductID],Products[Category])</f>
        <v>Games</v>
      </c>
    </row>
    <row r="733" spans="1:20" x14ac:dyDescent="0.25">
      <c r="A733" s="4" t="s">
        <v>921</v>
      </c>
      <c r="B733" s="5">
        <v>45958</v>
      </c>
      <c r="C733" s="15">
        <f>WEEKNUM(Orders[[#This Row],[OrderDate]])</f>
        <v>44</v>
      </c>
      <c r="D733" s="15" t="str">
        <f>TEXT(Orders[[#This Row],[OrderDate]],"mmmm")</f>
        <v>October</v>
      </c>
      <c r="E733" s="4" t="s">
        <v>410</v>
      </c>
      <c r="F733" s="4" t="s">
        <v>189</v>
      </c>
      <c r="G733" s="4">
        <v>7</v>
      </c>
      <c r="H733" s="12">
        <v>6486.4</v>
      </c>
      <c r="I733" s="13">
        <v>5513.44</v>
      </c>
      <c r="J733" s="13">
        <f>Orders[[#This Row],[Quantity]]*Orders[[#This Row],[Selling Price]]</f>
        <v>45404.799999999996</v>
      </c>
      <c r="K733" s="13">
        <f>Orders[[#This Row],[Quantity]]*Orders[[#This Row],[Cost Price]]</f>
        <v>38594.079999999994</v>
      </c>
      <c r="L733" s="13">
        <f>Orders[[#This Row],[Revenue]]-Orders[[#This Row],[Expenses]]</f>
        <v>6810.7200000000012</v>
      </c>
      <c r="M733" t="s">
        <v>2196</v>
      </c>
      <c r="N733" t="str">
        <f>_xlfn.XLOOKUP(Orders[[#This Row],[CustomerID]],Customers[CustomerID],Customers[CustomerName])</f>
        <v>Jane Thomas</v>
      </c>
      <c r="O733" t="str">
        <f>_xlfn.XLOOKUP(Orders[[#This Row],[CustomerID]],Customers[CustomerID],Customers[City])</f>
        <v>Texas</v>
      </c>
      <c r="P733" t="str">
        <f>_xlfn.XLOOKUP(Orders[[#This Row],[CustomerID]],Customers[CustomerID],Customers[Gender])</f>
        <v>Male</v>
      </c>
      <c r="Q733">
        <f>_xlfn.XLOOKUP(Orders[[#This Row],[CustomerID]],Customers[CustomerID],Customers[CustomerAge])</f>
        <v>21</v>
      </c>
      <c r="R733" t="str">
        <f>IF(Orders[[#This Row],[CustomerAge]]&gt;=35, "Older", "Young")</f>
        <v>Young</v>
      </c>
      <c r="S733" t="str">
        <f>_xlfn.XLOOKUP(Orders[[#This Row],[ProductID]],Products[ProductID],Products[ProductName])</f>
        <v>Scrabble</v>
      </c>
      <c r="T733" t="str">
        <f>_xlfn.XLOOKUP(Orders[[#This Row],[ProductID]],Products[ProductID],Products[Category])</f>
        <v>Games</v>
      </c>
    </row>
    <row r="734" spans="1:20" x14ac:dyDescent="0.25">
      <c r="A734" s="4" t="s">
        <v>922</v>
      </c>
      <c r="B734" s="5">
        <v>45941</v>
      </c>
      <c r="C734" s="15">
        <f>WEEKNUM(Orders[[#This Row],[OrderDate]])</f>
        <v>41</v>
      </c>
      <c r="D734" s="15" t="str">
        <f>TEXT(Orders[[#This Row],[OrderDate]],"mmmm")</f>
        <v>October</v>
      </c>
      <c r="E734" s="4" t="s">
        <v>435</v>
      </c>
      <c r="F734" s="4" t="s">
        <v>9</v>
      </c>
      <c r="G734" s="4">
        <v>7</v>
      </c>
      <c r="H734" s="12">
        <v>3114.6</v>
      </c>
      <c r="I734" s="13">
        <v>2647.41</v>
      </c>
      <c r="J734" s="13">
        <f>Orders[[#This Row],[Quantity]]*Orders[[#This Row],[Selling Price]]</f>
        <v>21802.2</v>
      </c>
      <c r="K734" s="13">
        <f>Orders[[#This Row],[Quantity]]*Orders[[#This Row],[Cost Price]]</f>
        <v>18531.87</v>
      </c>
      <c r="L734" s="13">
        <f>Orders[[#This Row],[Revenue]]-Orders[[#This Row],[Expenses]]</f>
        <v>3270.3300000000017</v>
      </c>
      <c r="M734" t="s">
        <v>2211</v>
      </c>
      <c r="N734" t="str">
        <f>_xlfn.XLOOKUP(Orders[[#This Row],[CustomerID]],Customers[CustomerID],Customers[CustomerName])</f>
        <v>Amina Balogun</v>
      </c>
      <c r="O734" t="str">
        <f>_xlfn.XLOOKUP(Orders[[#This Row],[CustomerID]],Customers[CustomerID],Customers[City])</f>
        <v>Texas</v>
      </c>
      <c r="P734" t="str">
        <f>_xlfn.XLOOKUP(Orders[[#This Row],[CustomerID]],Customers[CustomerID],Customers[Gender])</f>
        <v>Female</v>
      </c>
      <c r="Q734">
        <f>_xlfn.XLOOKUP(Orders[[#This Row],[CustomerID]],Customers[CustomerID],Customers[CustomerAge])</f>
        <v>32</v>
      </c>
      <c r="R734" t="str">
        <f>IF(Orders[[#This Row],[CustomerAge]]&gt;=35, "Older", "Young")</f>
        <v>Young</v>
      </c>
      <c r="S734" t="str">
        <f>_xlfn.XLOOKUP(Orders[[#This Row],[ProductID]],Products[ProductID],Products[ProductName])</f>
        <v>Beaded Earrings And Necklaces</v>
      </c>
      <c r="T734" t="str">
        <f>_xlfn.XLOOKUP(Orders[[#This Row],[ProductID]],Products[ProductID],Products[Category])</f>
        <v>Accessories</v>
      </c>
    </row>
    <row r="735" spans="1:20" x14ac:dyDescent="0.25">
      <c r="A735" s="4" t="s">
        <v>923</v>
      </c>
      <c r="B735" s="5">
        <v>45978</v>
      </c>
      <c r="C735" s="15">
        <f>WEEKNUM(Orders[[#This Row],[OrderDate]])</f>
        <v>47</v>
      </c>
      <c r="D735" s="15" t="str">
        <f>TEXT(Orders[[#This Row],[OrderDate]],"mmmm")</f>
        <v>November</v>
      </c>
      <c r="E735" s="4" t="s">
        <v>129</v>
      </c>
      <c r="F735" s="4" t="s">
        <v>253</v>
      </c>
      <c r="G735" s="4">
        <v>3</v>
      </c>
      <c r="H735" s="12">
        <v>11617.8</v>
      </c>
      <c r="I735" s="13">
        <v>9875.1299999999992</v>
      </c>
      <c r="J735" s="13">
        <f>Orders[[#This Row],[Quantity]]*Orders[[#This Row],[Selling Price]]</f>
        <v>34853.399999999994</v>
      </c>
      <c r="K735" s="13">
        <f>Orders[[#This Row],[Quantity]]*Orders[[#This Row],[Cost Price]]</f>
        <v>29625.39</v>
      </c>
      <c r="L735" s="13">
        <f>Orders[[#This Row],[Revenue]]-Orders[[#This Row],[Expenses]]</f>
        <v>5228.0099999999948</v>
      </c>
      <c r="M735" t="s">
        <v>2192</v>
      </c>
      <c r="N735" t="str">
        <f>_xlfn.XLOOKUP(Orders[[#This Row],[CustomerID]],Customers[CustomerID],Customers[CustomerName])</f>
        <v>Chioma Ojo</v>
      </c>
      <c r="O735" t="str">
        <f>_xlfn.XLOOKUP(Orders[[#This Row],[CustomerID]],Customers[CustomerID],Customers[City])</f>
        <v>Washington</v>
      </c>
      <c r="P735" t="str">
        <f>_xlfn.XLOOKUP(Orders[[#This Row],[CustomerID]],Customers[CustomerID],Customers[Gender])</f>
        <v>Female</v>
      </c>
      <c r="Q735">
        <f>_xlfn.XLOOKUP(Orders[[#This Row],[CustomerID]],Customers[CustomerID],Customers[CustomerAge])</f>
        <v>46</v>
      </c>
      <c r="R735" t="str">
        <f>IF(Orders[[#This Row],[CustomerAge]]&gt;=35, "Older", "Young")</f>
        <v>Older</v>
      </c>
      <c r="S735" t="str">
        <f>_xlfn.XLOOKUP(Orders[[#This Row],[ProductID]],Products[ProductID],Products[ProductName])</f>
        <v>Nose Rings</v>
      </c>
      <c r="T735" t="str">
        <f>_xlfn.XLOOKUP(Orders[[#This Row],[ProductID]],Products[ProductID],Products[Category])</f>
        <v>Accessories</v>
      </c>
    </row>
    <row r="736" spans="1:20" x14ac:dyDescent="0.25">
      <c r="A736" s="4" t="s">
        <v>924</v>
      </c>
      <c r="B736" s="5">
        <v>46020</v>
      </c>
      <c r="C736" s="15">
        <f>WEEKNUM(Orders[[#This Row],[OrderDate]])</f>
        <v>53</v>
      </c>
      <c r="D736" s="15" t="str">
        <f>TEXT(Orders[[#This Row],[OrderDate]],"mmmm")</f>
        <v>December</v>
      </c>
      <c r="E736" s="4" t="s">
        <v>327</v>
      </c>
      <c r="F736" s="4" t="s">
        <v>46</v>
      </c>
      <c r="G736" s="4">
        <v>2</v>
      </c>
      <c r="H736" s="12">
        <v>14600.4</v>
      </c>
      <c r="I736" s="13">
        <v>12410.34</v>
      </c>
      <c r="J736" s="13">
        <f>Orders[[#This Row],[Quantity]]*Orders[[#This Row],[Selling Price]]</f>
        <v>29200.799999999999</v>
      </c>
      <c r="K736" s="13">
        <f>Orders[[#This Row],[Quantity]]*Orders[[#This Row],[Cost Price]]</f>
        <v>24820.68</v>
      </c>
      <c r="L736" s="13">
        <f>Orders[[#This Row],[Revenue]]-Orders[[#This Row],[Expenses]]</f>
        <v>4380.119999999999</v>
      </c>
      <c r="M736" t="s">
        <v>2200</v>
      </c>
      <c r="N736" t="str">
        <f>_xlfn.XLOOKUP(Orders[[#This Row],[CustomerID]],Customers[CustomerID],Customers[CustomerName])</f>
        <v>Folasade Ojo</v>
      </c>
      <c r="O736" t="str">
        <f>_xlfn.XLOOKUP(Orders[[#This Row],[CustomerID]],Customers[CustomerID],Customers[City])</f>
        <v>Washington</v>
      </c>
      <c r="P736" t="str">
        <f>_xlfn.XLOOKUP(Orders[[#This Row],[CustomerID]],Customers[CustomerID],Customers[Gender])</f>
        <v>Female</v>
      </c>
      <c r="Q736">
        <f>_xlfn.XLOOKUP(Orders[[#This Row],[CustomerID]],Customers[CustomerID],Customers[CustomerAge])</f>
        <v>24</v>
      </c>
      <c r="R736" t="str">
        <f>IF(Orders[[#This Row],[CustomerAge]]&gt;=35, "Older", "Young")</f>
        <v>Young</v>
      </c>
      <c r="S736" t="str">
        <f>_xlfn.XLOOKUP(Orders[[#This Row],[ProductID]],Products[ProductID],Products[ProductName])</f>
        <v>Turtle Neck</v>
      </c>
      <c r="T736" t="str">
        <f>_xlfn.XLOOKUP(Orders[[#This Row],[ProductID]],Products[ProductID],Products[Category])</f>
        <v>Clothing</v>
      </c>
    </row>
    <row r="737" spans="1:20" x14ac:dyDescent="0.25">
      <c r="A737" s="4" t="s">
        <v>925</v>
      </c>
      <c r="B737" s="5">
        <v>45982</v>
      </c>
      <c r="C737" s="15">
        <f>WEEKNUM(Orders[[#This Row],[OrderDate]])</f>
        <v>47</v>
      </c>
      <c r="D737" s="15" t="str">
        <f>TEXT(Orders[[#This Row],[OrderDate]],"mmmm")</f>
        <v>November</v>
      </c>
      <c r="E737" s="4" t="s">
        <v>48</v>
      </c>
      <c r="F737" s="4" t="s">
        <v>92</v>
      </c>
      <c r="G737" s="4">
        <v>9</v>
      </c>
      <c r="H737" s="12">
        <v>18739.7</v>
      </c>
      <c r="I737" s="13">
        <v>15928.745000000001</v>
      </c>
      <c r="J737" s="13">
        <f>Orders[[#This Row],[Quantity]]*Orders[[#This Row],[Selling Price]]</f>
        <v>168657.30000000002</v>
      </c>
      <c r="K737" s="13">
        <f>Orders[[#This Row],[Quantity]]*Orders[[#This Row],[Cost Price]]</f>
        <v>143358.70500000002</v>
      </c>
      <c r="L737" s="13">
        <f>Orders[[#This Row],[Revenue]]-Orders[[#This Row],[Expenses]]</f>
        <v>25298.595000000001</v>
      </c>
      <c r="M737" t="s">
        <v>2219</v>
      </c>
      <c r="N737" t="str">
        <f>_xlfn.XLOOKUP(Orders[[#This Row],[CustomerID]],Customers[CustomerID],Customers[CustomerName])</f>
        <v>Mustafa Obi</v>
      </c>
      <c r="O737" t="str">
        <f>_xlfn.XLOOKUP(Orders[[#This Row],[CustomerID]],Customers[CustomerID],Customers[City])</f>
        <v>California</v>
      </c>
      <c r="P737" t="str">
        <f>_xlfn.XLOOKUP(Orders[[#This Row],[CustomerID]],Customers[CustomerID],Customers[Gender])</f>
        <v>Male</v>
      </c>
      <c r="Q737">
        <f>_xlfn.XLOOKUP(Orders[[#This Row],[CustomerID]],Customers[CustomerID],Customers[CustomerAge])</f>
        <v>23</v>
      </c>
      <c r="R737" t="str">
        <f>IF(Orders[[#This Row],[CustomerAge]]&gt;=35, "Older", "Young")</f>
        <v>Young</v>
      </c>
      <c r="S737" t="str">
        <f>_xlfn.XLOOKUP(Orders[[#This Row],[ProductID]],Products[ProductID],Products[ProductName])</f>
        <v>Chest Expander</v>
      </c>
      <c r="T737" t="str">
        <f>_xlfn.XLOOKUP(Orders[[#This Row],[ProductID]],Products[ProductID],Products[Category])</f>
        <v>Gym</v>
      </c>
    </row>
    <row r="738" spans="1:20" x14ac:dyDescent="0.25">
      <c r="A738" s="4" t="s">
        <v>926</v>
      </c>
      <c r="B738" s="5">
        <v>45951</v>
      </c>
      <c r="C738" s="15">
        <f>WEEKNUM(Orders[[#This Row],[OrderDate]])</f>
        <v>43</v>
      </c>
      <c r="D738" s="15" t="str">
        <f>TEXT(Orders[[#This Row],[OrderDate]],"mmmm")</f>
        <v>October</v>
      </c>
      <c r="E738" s="4" t="s">
        <v>156</v>
      </c>
      <c r="F738" s="4" t="s">
        <v>63</v>
      </c>
      <c r="G738" s="4">
        <v>3</v>
      </c>
      <c r="H738" s="12">
        <v>7938.5</v>
      </c>
      <c r="I738" s="13">
        <v>6747.7250000000004</v>
      </c>
      <c r="J738" s="13">
        <f>Orders[[#This Row],[Quantity]]*Orders[[#This Row],[Selling Price]]</f>
        <v>23815.5</v>
      </c>
      <c r="K738" s="13">
        <f>Orders[[#This Row],[Quantity]]*Orders[[#This Row],[Cost Price]]</f>
        <v>20243.175000000003</v>
      </c>
      <c r="L738" s="13">
        <f>Orders[[#This Row],[Revenue]]-Orders[[#This Row],[Expenses]]</f>
        <v>3572.3249999999971</v>
      </c>
      <c r="M738" t="s">
        <v>2200</v>
      </c>
      <c r="N738" t="str">
        <f>_xlfn.XLOOKUP(Orders[[#This Row],[CustomerID]],Customers[CustomerID],Customers[CustomerName])</f>
        <v>Obi Okonkwo</v>
      </c>
      <c r="O738" t="str">
        <f>_xlfn.XLOOKUP(Orders[[#This Row],[CustomerID]],Customers[CustomerID],Customers[City])</f>
        <v>Florida</v>
      </c>
      <c r="P738" t="str">
        <f>_xlfn.XLOOKUP(Orders[[#This Row],[CustomerID]],Customers[CustomerID],Customers[Gender])</f>
        <v>Male</v>
      </c>
      <c r="Q738">
        <f>_xlfn.XLOOKUP(Orders[[#This Row],[CustomerID]],Customers[CustomerID],Customers[CustomerAge])</f>
        <v>52</v>
      </c>
      <c r="R738" t="str">
        <f>IF(Orders[[#This Row],[CustomerAge]]&gt;=35, "Older", "Young")</f>
        <v>Older</v>
      </c>
      <c r="S738" t="str">
        <f>_xlfn.XLOOKUP(Orders[[#This Row],[ProductID]],Products[ProductID],Products[ProductName])</f>
        <v>Tennis Bat</v>
      </c>
      <c r="T738" t="str">
        <f>_xlfn.XLOOKUP(Orders[[#This Row],[ProductID]],Products[ProductID],Products[Category])</f>
        <v>Sports</v>
      </c>
    </row>
    <row r="739" spans="1:20" x14ac:dyDescent="0.25">
      <c r="A739" s="4" t="s">
        <v>927</v>
      </c>
      <c r="B739" s="5">
        <v>45974</v>
      </c>
      <c r="C739" s="15">
        <f>WEEKNUM(Orders[[#This Row],[OrderDate]])</f>
        <v>46</v>
      </c>
      <c r="D739" s="15" t="str">
        <f>TEXT(Orders[[#This Row],[OrderDate]],"mmmm")</f>
        <v>November</v>
      </c>
      <c r="E739" s="4" t="s">
        <v>298</v>
      </c>
      <c r="F739" s="4" t="s">
        <v>60</v>
      </c>
      <c r="G739" s="4">
        <v>4</v>
      </c>
      <c r="H739" s="12">
        <v>19672.900000000001</v>
      </c>
      <c r="I739" s="13">
        <v>16721.965</v>
      </c>
      <c r="J739" s="13">
        <f>Orders[[#This Row],[Quantity]]*Orders[[#This Row],[Selling Price]]</f>
        <v>78691.600000000006</v>
      </c>
      <c r="K739" s="13">
        <f>Orders[[#This Row],[Quantity]]*Orders[[#This Row],[Cost Price]]</f>
        <v>66887.86</v>
      </c>
      <c r="L739" s="13">
        <f>Orders[[#This Row],[Revenue]]-Orders[[#This Row],[Expenses]]</f>
        <v>11803.740000000005</v>
      </c>
      <c r="M739" t="s">
        <v>2195</v>
      </c>
      <c r="N739" t="str">
        <f>_xlfn.XLOOKUP(Orders[[#This Row],[CustomerID]],Customers[CustomerID],Customers[CustomerName])</f>
        <v>Amina Obi</v>
      </c>
      <c r="O739" t="str">
        <f>_xlfn.XLOOKUP(Orders[[#This Row],[CustomerID]],Customers[CustomerID],Customers[City])</f>
        <v>Florida</v>
      </c>
      <c r="P739" t="str">
        <f>_xlfn.XLOOKUP(Orders[[#This Row],[CustomerID]],Customers[CustomerID],Customers[Gender])</f>
        <v>Female</v>
      </c>
      <c r="Q739">
        <f>_xlfn.XLOOKUP(Orders[[#This Row],[CustomerID]],Customers[CustomerID],Customers[CustomerAge])</f>
        <v>19</v>
      </c>
      <c r="R739" t="str">
        <f>IF(Orders[[#This Row],[CustomerAge]]&gt;=35, "Older", "Young")</f>
        <v>Young</v>
      </c>
      <c r="S739" t="str">
        <f>_xlfn.XLOOKUP(Orders[[#This Row],[ProductID]],Products[ProductID],Products[ProductName])</f>
        <v>Silver Rings</v>
      </c>
      <c r="T739" t="str">
        <f>_xlfn.XLOOKUP(Orders[[#This Row],[ProductID]],Products[ProductID],Products[Category])</f>
        <v>Accessories</v>
      </c>
    </row>
    <row r="740" spans="1:20" x14ac:dyDescent="0.25">
      <c r="A740" s="4" t="s">
        <v>928</v>
      </c>
      <c r="B740" s="5">
        <v>46013</v>
      </c>
      <c r="C740" s="15">
        <f>WEEKNUM(Orders[[#This Row],[OrderDate]])</f>
        <v>52</v>
      </c>
      <c r="D740" s="15" t="str">
        <f>TEXT(Orders[[#This Row],[OrderDate]],"mmmm")</f>
        <v>December</v>
      </c>
      <c r="E740" s="4" t="s">
        <v>388</v>
      </c>
      <c r="F740" s="4" t="s">
        <v>25</v>
      </c>
      <c r="G740" s="4">
        <v>4</v>
      </c>
      <c r="H740" s="12">
        <v>13069.6</v>
      </c>
      <c r="I740" s="13">
        <v>11109.16</v>
      </c>
      <c r="J740" s="13">
        <f>Orders[[#This Row],[Quantity]]*Orders[[#This Row],[Selling Price]]</f>
        <v>52278.400000000001</v>
      </c>
      <c r="K740" s="13">
        <f>Orders[[#This Row],[Quantity]]*Orders[[#This Row],[Cost Price]]</f>
        <v>44436.639999999999</v>
      </c>
      <c r="L740" s="13">
        <f>Orders[[#This Row],[Revenue]]-Orders[[#This Row],[Expenses]]</f>
        <v>7841.760000000002</v>
      </c>
      <c r="M740" t="s">
        <v>2203</v>
      </c>
      <c r="N740" t="str">
        <f>_xlfn.XLOOKUP(Orders[[#This Row],[CustomerID]],Customers[CustomerID],Customers[CustomerName])</f>
        <v>Folasade Okonkwo</v>
      </c>
      <c r="O740" t="str">
        <f>_xlfn.XLOOKUP(Orders[[#This Row],[CustomerID]],Customers[CustomerID],Customers[City])</f>
        <v>Washington</v>
      </c>
      <c r="P740" t="str">
        <f>_xlfn.XLOOKUP(Orders[[#This Row],[CustomerID]],Customers[CustomerID],Customers[Gender])</f>
        <v>Female</v>
      </c>
      <c r="Q740">
        <f>_xlfn.XLOOKUP(Orders[[#This Row],[CustomerID]],Customers[CustomerID],Customers[CustomerAge])</f>
        <v>52</v>
      </c>
      <c r="R740" t="str">
        <f>IF(Orders[[#This Row],[CustomerAge]]&gt;=35, "Older", "Young")</f>
        <v>Older</v>
      </c>
      <c r="S740" t="str">
        <f>_xlfn.XLOOKUP(Orders[[#This Row],[ProductID]],Products[ProductID],Products[ProductName])</f>
        <v>Gold Rings</v>
      </c>
      <c r="T740" t="str">
        <f>_xlfn.XLOOKUP(Orders[[#This Row],[ProductID]],Products[ProductID],Products[Category])</f>
        <v>Accessories</v>
      </c>
    </row>
    <row r="741" spans="1:20" x14ac:dyDescent="0.25">
      <c r="A741" s="4" t="s">
        <v>929</v>
      </c>
      <c r="B741" s="5">
        <v>45971</v>
      </c>
      <c r="C741" s="15">
        <f>WEEKNUM(Orders[[#This Row],[OrderDate]])</f>
        <v>46</v>
      </c>
      <c r="D741" s="15" t="str">
        <f>TEXT(Orders[[#This Row],[OrderDate]],"mmmm")</f>
        <v>November</v>
      </c>
      <c r="E741" s="4" t="s">
        <v>146</v>
      </c>
      <c r="F741" s="4" t="s">
        <v>111</v>
      </c>
      <c r="G741" s="4">
        <v>4</v>
      </c>
      <c r="H741" s="12">
        <v>7359.8</v>
      </c>
      <c r="I741" s="13">
        <v>6255.83</v>
      </c>
      <c r="J741" s="13">
        <f>Orders[[#This Row],[Quantity]]*Orders[[#This Row],[Selling Price]]</f>
        <v>29439.200000000001</v>
      </c>
      <c r="K741" s="13">
        <f>Orders[[#This Row],[Quantity]]*Orders[[#This Row],[Cost Price]]</f>
        <v>25023.32</v>
      </c>
      <c r="L741" s="13">
        <f>Orders[[#This Row],[Revenue]]-Orders[[#This Row],[Expenses]]</f>
        <v>4415.880000000001</v>
      </c>
      <c r="M741" t="s">
        <v>2219</v>
      </c>
      <c r="N741" t="str">
        <f>_xlfn.XLOOKUP(Orders[[#This Row],[CustomerID]],Customers[CustomerID],Customers[CustomerName])</f>
        <v>Mustafa Igwe</v>
      </c>
      <c r="O741" t="str">
        <f>_xlfn.XLOOKUP(Orders[[#This Row],[CustomerID]],Customers[CustomerID],Customers[City])</f>
        <v>Texas</v>
      </c>
      <c r="P741" t="str">
        <f>_xlfn.XLOOKUP(Orders[[#This Row],[CustomerID]],Customers[CustomerID],Customers[Gender])</f>
        <v>Male</v>
      </c>
      <c r="Q741">
        <f>_xlfn.XLOOKUP(Orders[[#This Row],[CustomerID]],Customers[CustomerID],Customers[CustomerAge])</f>
        <v>27</v>
      </c>
      <c r="R741" t="str">
        <f>IF(Orders[[#This Row],[CustomerAge]]&gt;=35, "Older", "Young")</f>
        <v>Young</v>
      </c>
      <c r="S741" t="str">
        <f>_xlfn.XLOOKUP(Orders[[#This Row],[ProductID]],Products[ProductID],Products[ProductName])</f>
        <v>Refrigerator</v>
      </c>
      <c r="T741" t="str">
        <f>_xlfn.XLOOKUP(Orders[[#This Row],[ProductID]],Products[ProductID],Products[Category])</f>
        <v>Electronics</v>
      </c>
    </row>
    <row r="742" spans="1:20" x14ac:dyDescent="0.25">
      <c r="A742" s="4" t="s">
        <v>930</v>
      </c>
      <c r="B742" s="5">
        <v>45951</v>
      </c>
      <c r="C742" s="15">
        <f>WEEKNUM(Orders[[#This Row],[OrderDate]])</f>
        <v>43</v>
      </c>
      <c r="D742" s="15" t="str">
        <f>TEXT(Orders[[#This Row],[OrderDate]],"mmmm")</f>
        <v>October</v>
      </c>
      <c r="E742" s="4" t="s">
        <v>184</v>
      </c>
      <c r="F742" s="4" t="s">
        <v>37</v>
      </c>
      <c r="G742" s="4">
        <v>8</v>
      </c>
      <c r="H742" s="12">
        <v>18274.100000000002</v>
      </c>
      <c r="I742" s="13">
        <v>15532.985000000002</v>
      </c>
      <c r="J742" s="13">
        <f>Orders[[#This Row],[Quantity]]*Orders[[#This Row],[Selling Price]]</f>
        <v>146192.80000000002</v>
      </c>
      <c r="K742" s="13">
        <f>Orders[[#This Row],[Quantity]]*Orders[[#This Row],[Cost Price]]</f>
        <v>124263.88000000002</v>
      </c>
      <c r="L742" s="13">
        <f>Orders[[#This Row],[Revenue]]-Orders[[#This Row],[Expenses]]</f>
        <v>21928.92</v>
      </c>
      <c r="M742" t="s">
        <v>2209</v>
      </c>
      <c r="N742" t="str">
        <f>_xlfn.XLOOKUP(Orders[[#This Row],[CustomerID]],Customers[CustomerID],Customers[CustomerName])</f>
        <v>Ngozi Obi</v>
      </c>
      <c r="O742" t="str">
        <f>_xlfn.XLOOKUP(Orders[[#This Row],[CustomerID]],Customers[CustomerID],Customers[City])</f>
        <v>Washington</v>
      </c>
      <c r="P742" t="str">
        <f>_xlfn.XLOOKUP(Orders[[#This Row],[CustomerID]],Customers[CustomerID],Customers[Gender])</f>
        <v>Female</v>
      </c>
      <c r="Q742">
        <f>_xlfn.XLOOKUP(Orders[[#This Row],[CustomerID]],Customers[CustomerID],Customers[CustomerAge])</f>
        <v>32</v>
      </c>
      <c r="R742" t="str">
        <f>IF(Orders[[#This Row],[CustomerAge]]&gt;=35, "Older", "Young")</f>
        <v>Young</v>
      </c>
      <c r="S742" t="str">
        <f>_xlfn.XLOOKUP(Orders[[#This Row],[ProductID]],Products[ProductID],Products[ProductName])</f>
        <v>Iron</v>
      </c>
      <c r="T742" t="str">
        <f>_xlfn.XLOOKUP(Orders[[#This Row],[ProductID]],Products[ProductID],Products[Category])</f>
        <v>Electronics</v>
      </c>
    </row>
    <row r="743" spans="1:20" x14ac:dyDescent="0.25">
      <c r="A743" s="4" t="s">
        <v>931</v>
      </c>
      <c r="B743" s="5">
        <v>45994</v>
      </c>
      <c r="C743" s="15">
        <f>WEEKNUM(Orders[[#This Row],[OrderDate]])</f>
        <v>49</v>
      </c>
      <c r="D743" s="15" t="str">
        <f>TEXT(Orders[[#This Row],[OrderDate]],"mmmm")</f>
        <v>December</v>
      </c>
      <c r="E743" s="4" t="s">
        <v>285</v>
      </c>
      <c r="F743" s="4" t="s">
        <v>23</v>
      </c>
      <c r="G743" s="4">
        <v>2</v>
      </c>
      <c r="H743" s="12">
        <v>3789.4</v>
      </c>
      <c r="I743" s="13">
        <v>3220.9900000000002</v>
      </c>
      <c r="J743" s="13">
        <f>Orders[[#This Row],[Quantity]]*Orders[[#This Row],[Selling Price]]</f>
        <v>7578.8</v>
      </c>
      <c r="K743" s="13">
        <f>Orders[[#This Row],[Quantity]]*Orders[[#This Row],[Cost Price]]</f>
        <v>6441.9800000000005</v>
      </c>
      <c r="L743" s="13">
        <f>Orders[[#This Row],[Revenue]]-Orders[[#This Row],[Expenses]]</f>
        <v>1136.8199999999997</v>
      </c>
      <c r="M743" t="s">
        <v>2219</v>
      </c>
      <c r="N743" t="str">
        <f>_xlfn.XLOOKUP(Orders[[#This Row],[CustomerID]],Customers[CustomerID],Customers[CustomerName])</f>
        <v>Sani Balogun</v>
      </c>
      <c r="O743" t="str">
        <f>_xlfn.XLOOKUP(Orders[[#This Row],[CustomerID]],Customers[CustomerID],Customers[City])</f>
        <v>California</v>
      </c>
      <c r="P743" t="str">
        <f>_xlfn.XLOOKUP(Orders[[#This Row],[CustomerID]],Customers[CustomerID],Customers[Gender])</f>
        <v>Male</v>
      </c>
      <c r="Q743">
        <f>_xlfn.XLOOKUP(Orders[[#This Row],[CustomerID]],Customers[CustomerID],Customers[CustomerAge])</f>
        <v>27</v>
      </c>
      <c r="R743" t="str">
        <f>IF(Orders[[#This Row],[CustomerAge]]&gt;=35, "Older", "Young")</f>
        <v>Young</v>
      </c>
      <c r="S743" t="str">
        <f>_xlfn.XLOOKUP(Orders[[#This Row],[ProductID]],Products[ProductID],Products[ProductName])</f>
        <v>Gym Gloves</v>
      </c>
      <c r="T743" t="str">
        <f>_xlfn.XLOOKUP(Orders[[#This Row],[ProductID]],Products[ProductID],Products[Category])</f>
        <v>Gym</v>
      </c>
    </row>
    <row r="744" spans="1:20" x14ac:dyDescent="0.25">
      <c r="A744" s="4" t="s">
        <v>932</v>
      </c>
      <c r="B744" s="5">
        <v>46007</v>
      </c>
      <c r="C744" s="15">
        <f>WEEKNUM(Orders[[#This Row],[OrderDate]])</f>
        <v>51</v>
      </c>
      <c r="D744" s="15" t="str">
        <f>TEXT(Orders[[#This Row],[OrderDate]],"mmmm")</f>
        <v>December</v>
      </c>
      <c r="E744" s="4" t="s">
        <v>757</v>
      </c>
      <c r="F744" s="4" t="s">
        <v>111</v>
      </c>
      <c r="G744" s="4">
        <v>9</v>
      </c>
      <c r="H744" s="12">
        <v>4401.8999999999996</v>
      </c>
      <c r="I744" s="13">
        <v>3741.6149999999998</v>
      </c>
      <c r="J744" s="13">
        <f>Orders[[#This Row],[Quantity]]*Orders[[#This Row],[Selling Price]]</f>
        <v>39617.1</v>
      </c>
      <c r="K744" s="13">
        <f>Orders[[#This Row],[Quantity]]*Orders[[#This Row],[Cost Price]]</f>
        <v>33674.534999999996</v>
      </c>
      <c r="L744" s="13">
        <f>Orders[[#This Row],[Revenue]]-Orders[[#This Row],[Expenses]]</f>
        <v>5942.5650000000023</v>
      </c>
      <c r="M744" t="s">
        <v>2198</v>
      </c>
      <c r="N744" t="str">
        <f>_xlfn.XLOOKUP(Orders[[#This Row],[CustomerID]],Customers[CustomerID],Customers[CustomerName])</f>
        <v>Okon Balogun</v>
      </c>
      <c r="O744" t="str">
        <f>_xlfn.XLOOKUP(Orders[[#This Row],[CustomerID]],Customers[CustomerID],Customers[City])</f>
        <v>Texas</v>
      </c>
      <c r="P744" t="str">
        <f>_xlfn.XLOOKUP(Orders[[#This Row],[CustomerID]],Customers[CustomerID],Customers[Gender])</f>
        <v>Male</v>
      </c>
      <c r="Q744">
        <f>_xlfn.XLOOKUP(Orders[[#This Row],[CustomerID]],Customers[CustomerID],Customers[CustomerAge])</f>
        <v>20</v>
      </c>
      <c r="R744" t="str">
        <f>IF(Orders[[#This Row],[CustomerAge]]&gt;=35, "Older", "Young")</f>
        <v>Young</v>
      </c>
      <c r="S744" t="str">
        <f>_xlfn.XLOOKUP(Orders[[#This Row],[ProductID]],Products[ProductID],Products[ProductName])</f>
        <v>Refrigerator</v>
      </c>
      <c r="T744" t="str">
        <f>_xlfn.XLOOKUP(Orders[[#This Row],[ProductID]],Products[ProductID],Products[Category])</f>
        <v>Electronics</v>
      </c>
    </row>
    <row r="745" spans="1:20" x14ac:dyDescent="0.25">
      <c r="A745" s="4" t="s">
        <v>933</v>
      </c>
      <c r="B745" s="5">
        <v>45937</v>
      </c>
      <c r="C745" s="15">
        <f>WEEKNUM(Orders[[#This Row],[OrderDate]])</f>
        <v>41</v>
      </c>
      <c r="D745" s="15" t="str">
        <f>TEXT(Orders[[#This Row],[OrderDate]],"mmmm")</f>
        <v>October</v>
      </c>
      <c r="E745" s="4" t="s">
        <v>352</v>
      </c>
      <c r="F745" s="4" t="s">
        <v>189</v>
      </c>
      <c r="G745" s="4">
        <v>9</v>
      </c>
      <c r="H745" s="12">
        <v>3164.1000000000004</v>
      </c>
      <c r="I745" s="13">
        <v>2689.4850000000006</v>
      </c>
      <c r="J745" s="13">
        <f>Orders[[#This Row],[Quantity]]*Orders[[#This Row],[Selling Price]]</f>
        <v>28476.9</v>
      </c>
      <c r="K745" s="13">
        <f>Orders[[#This Row],[Quantity]]*Orders[[#This Row],[Cost Price]]</f>
        <v>24205.365000000005</v>
      </c>
      <c r="L745" s="13">
        <f>Orders[[#This Row],[Revenue]]-Orders[[#This Row],[Expenses]]</f>
        <v>4271.5349999999962</v>
      </c>
      <c r="M745" t="s">
        <v>2197</v>
      </c>
      <c r="N745" t="str">
        <f>_xlfn.XLOOKUP(Orders[[#This Row],[CustomerID]],Customers[CustomerID],Customers[CustomerName])</f>
        <v>Zainab Eze</v>
      </c>
      <c r="O745" t="str">
        <f>_xlfn.XLOOKUP(Orders[[#This Row],[CustomerID]],Customers[CustomerID],Customers[City])</f>
        <v>Texas</v>
      </c>
      <c r="P745" t="str">
        <f>_xlfn.XLOOKUP(Orders[[#This Row],[CustomerID]],Customers[CustomerID],Customers[Gender])</f>
        <v>Female</v>
      </c>
      <c r="Q745">
        <f>_xlfn.XLOOKUP(Orders[[#This Row],[CustomerID]],Customers[CustomerID],Customers[CustomerAge])</f>
        <v>40</v>
      </c>
      <c r="R745" t="str">
        <f>IF(Orders[[#This Row],[CustomerAge]]&gt;=35, "Older", "Young")</f>
        <v>Older</v>
      </c>
      <c r="S745" t="str">
        <f>_xlfn.XLOOKUP(Orders[[#This Row],[ProductID]],Products[ProductID],Products[ProductName])</f>
        <v>Scrabble</v>
      </c>
      <c r="T745" t="str">
        <f>_xlfn.XLOOKUP(Orders[[#This Row],[ProductID]],Products[ProductID],Products[Category])</f>
        <v>Games</v>
      </c>
    </row>
    <row r="746" spans="1:20" x14ac:dyDescent="0.25">
      <c r="A746" s="4" t="s">
        <v>934</v>
      </c>
      <c r="B746" s="5">
        <v>45972</v>
      </c>
      <c r="C746" s="15">
        <f>WEEKNUM(Orders[[#This Row],[OrderDate]])</f>
        <v>46</v>
      </c>
      <c r="D746" s="15" t="str">
        <f>TEXT(Orders[[#This Row],[OrderDate]],"mmmm")</f>
        <v>November</v>
      </c>
      <c r="E746" s="4" t="s">
        <v>514</v>
      </c>
      <c r="F746" s="4" t="s">
        <v>34</v>
      </c>
      <c r="G746" s="4">
        <v>6</v>
      </c>
      <c r="H746" s="12">
        <v>11177.1</v>
      </c>
      <c r="I746" s="13">
        <v>9500.5349999999999</v>
      </c>
      <c r="J746" s="13">
        <f>Orders[[#This Row],[Quantity]]*Orders[[#This Row],[Selling Price]]</f>
        <v>67062.600000000006</v>
      </c>
      <c r="K746" s="13">
        <f>Orders[[#This Row],[Quantity]]*Orders[[#This Row],[Cost Price]]</f>
        <v>57003.21</v>
      </c>
      <c r="L746" s="13">
        <f>Orders[[#This Row],[Revenue]]-Orders[[#This Row],[Expenses]]</f>
        <v>10059.390000000007</v>
      </c>
      <c r="M746" t="s">
        <v>2215</v>
      </c>
      <c r="N746" t="str">
        <f>_xlfn.XLOOKUP(Orders[[#This Row],[CustomerID]],Customers[CustomerID],Customers[CustomerName])</f>
        <v>Ibrahim Okonkwo</v>
      </c>
      <c r="O746" t="str">
        <f>_xlfn.XLOOKUP(Orders[[#This Row],[CustomerID]],Customers[CustomerID],Customers[City])</f>
        <v>Florida</v>
      </c>
      <c r="P746" t="str">
        <f>_xlfn.XLOOKUP(Orders[[#This Row],[CustomerID]],Customers[CustomerID],Customers[Gender])</f>
        <v>Male</v>
      </c>
      <c r="Q746">
        <f>_xlfn.XLOOKUP(Orders[[#This Row],[CustomerID]],Customers[CustomerID],Customers[CustomerAge])</f>
        <v>28</v>
      </c>
      <c r="R746" t="str">
        <f>IF(Orders[[#This Row],[CustomerAge]]&gt;=35, "Older", "Young")</f>
        <v>Young</v>
      </c>
      <c r="S746" t="str">
        <f>_xlfn.XLOOKUP(Orders[[#This Row],[ProductID]],Products[ProductID],Products[ProductName])</f>
        <v>Gold Bracelets</v>
      </c>
      <c r="T746" t="str">
        <f>_xlfn.XLOOKUP(Orders[[#This Row],[ProductID]],Products[ProductID],Products[Category])</f>
        <v>Accessories</v>
      </c>
    </row>
    <row r="747" spans="1:20" x14ac:dyDescent="0.25">
      <c r="A747" s="4" t="s">
        <v>935</v>
      </c>
      <c r="B747" s="5">
        <v>45964</v>
      </c>
      <c r="C747" s="15">
        <f>WEEKNUM(Orders[[#This Row],[OrderDate]])</f>
        <v>45</v>
      </c>
      <c r="D747" s="15" t="str">
        <f>TEXT(Orders[[#This Row],[OrderDate]],"mmmm")</f>
        <v>November</v>
      </c>
      <c r="E747" s="4" t="s">
        <v>105</v>
      </c>
      <c r="F747" s="4" t="s">
        <v>53</v>
      </c>
      <c r="G747" s="4">
        <v>6</v>
      </c>
      <c r="H747" s="12">
        <v>13905.699999999999</v>
      </c>
      <c r="I747" s="13">
        <v>11819.844999999999</v>
      </c>
      <c r="J747" s="13">
        <f>Orders[[#This Row],[Quantity]]*Orders[[#This Row],[Selling Price]]</f>
        <v>83434.2</v>
      </c>
      <c r="K747" s="13">
        <f>Orders[[#This Row],[Quantity]]*Orders[[#This Row],[Cost Price]]</f>
        <v>70919.069999999992</v>
      </c>
      <c r="L747" s="13">
        <f>Orders[[#This Row],[Revenue]]-Orders[[#This Row],[Expenses]]</f>
        <v>12515.130000000005</v>
      </c>
      <c r="M747" t="s">
        <v>2202</v>
      </c>
      <c r="N747" t="str">
        <f>_xlfn.XLOOKUP(Orders[[#This Row],[CustomerID]],Customers[CustomerID],Customers[CustomerName])</f>
        <v>Folasade Adeyemi</v>
      </c>
      <c r="O747" t="str">
        <f>_xlfn.XLOOKUP(Orders[[#This Row],[CustomerID]],Customers[CustomerID],Customers[City])</f>
        <v>Georgia</v>
      </c>
      <c r="P747" t="str">
        <f>_xlfn.XLOOKUP(Orders[[#This Row],[CustomerID]],Customers[CustomerID],Customers[Gender])</f>
        <v>Female</v>
      </c>
      <c r="Q747">
        <f>_xlfn.XLOOKUP(Orders[[#This Row],[CustomerID]],Customers[CustomerID],Customers[CustomerAge])</f>
        <v>42</v>
      </c>
      <c r="R747" t="str">
        <f>IF(Orders[[#This Row],[CustomerAge]]&gt;=35, "Older", "Young")</f>
        <v>Older</v>
      </c>
      <c r="S747" t="str">
        <f>_xlfn.XLOOKUP(Orders[[#This Row],[ProductID]],Products[ProductID],Products[ProductName])</f>
        <v>Silver Bangles</v>
      </c>
      <c r="T747" t="str">
        <f>_xlfn.XLOOKUP(Orders[[#This Row],[ProductID]],Products[ProductID],Products[Category])</f>
        <v>Accessories</v>
      </c>
    </row>
    <row r="748" spans="1:20" x14ac:dyDescent="0.25">
      <c r="A748" s="4" t="s">
        <v>936</v>
      </c>
      <c r="B748" s="5">
        <v>46016</v>
      </c>
      <c r="C748" s="15">
        <f>WEEKNUM(Orders[[#This Row],[OrderDate]])</f>
        <v>52</v>
      </c>
      <c r="D748" s="15" t="str">
        <f>TEXT(Orders[[#This Row],[OrderDate]],"mmmm")</f>
        <v>December</v>
      </c>
      <c r="E748" s="4" t="s">
        <v>282</v>
      </c>
      <c r="F748" s="4" t="s">
        <v>37</v>
      </c>
      <c r="G748" s="4">
        <v>2</v>
      </c>
      <c r="H748" s="12">
        <v>9522</v>
      </c>
      <c r="I748" s="13">
        <v>8093.7</v>
      </c>
      <c r="J748" s="13">
        <f>Orders[[#This Row],[Quantity]]*Orders[[#This Row],[Selling Price]]</f>
        <v>19044</v>
      </c>
      <c r="K748" s="13">
        <f>Orders[[#This Row],[Quantity]]*Orders[[#This Row],[Cost Price]]</f>
        <v>16187.4</v>
      </c>
      <c r="L748" s="13">
        <f>Orders[[#This Row],[Revenue]]-Orders[[#This Row],[Expenses]]</f>
        <v>2856.6000000000004</v>
      </c>
      <c r="M748" t="s">
        <v>2218</v>
      </c>
      <c r="N748" t="str">
        <f>_xlfn.XLOOKUP(Orders[[#This Row],[CustomerID]],Customers[CustomerID],Customers[CustomerName])</f>
        <v>Bisi Ojo</v>
      </c>
      <c r="O748" t="str">
        <f>_xlfn.XLOOKUP(Orders[[#This Row],[CustomerID]],Customers[CustomerID],Customers[City])</f>
        <v>Texas</v>
      </c>
      <c r="P748" t="str">
        <f>_xlfn.XLOOKUP(Orders[[#This Row],[CustomerID]],Customers[CustomerID],Customers[Gender])</f>
        <v>Female</v>
      </c>
      <c r="Q748">
        <f>_xlfn.XLOOKUP(Orders[[#This Row],[CustomerID]],Customers[CustomerID],Customers[CustomerAge])</f>
        <v>26</v>
      </c>
      <c r="R748" t="str">
        <f>IF(Orders[[#This Row],[CustomerAge]]&gt;=35, "Older", "Young")</f>
        <v>Young</v>
      </c>
      <c r="S748" t="str">
        <f>_xlfn.XLOOKUP(Orders[[#This Row],[ProductID]],Products[ProductID],Products[ProductName])</f>
        <v>Iron</v>
      </c>
      <c r="T748" t="str">
        <f>_xlfn.XLOOKUP(Orders[[#This Row],[ProductID]],Products[ProductID],Products[Category])</f>
        <v>Electronics</v>
      </c>
    </row>
    <row r="749" spans="1:20" x14ac:dyDescent="0.25">
      <c r="A749" s="4" t="s">
        <v>937</v>
      </c>
      <c r="B749" s="5">
        <v>45969</v>
      </c>
      <c r="C749" s="15">
        <f>WEEKNUM(Orders[[#This Row],[OrderDate]])</f>
        <v>45</v>
      </c>
      <c r="D749" s="15" t="str">
        <f>TEXT(Orders[[#This Row],[OrderDate]],"mmmm")</f>
        <v>November</v>
      </c>
      <c r="E749" s="4" t="s">
        <v>280</v>
      </c>
      <c r="F749" s="4" t="s">
        <v>9</v>
      </c>
      <c r="G749" s="4">
        <v>4</v>
      </c>
      <c r="H749" s="12">
        <v>2479.4</v>
      </c>
      <c r="I749" s="13">
        <v>2107.4900000000002</v>
      </c>
      <c r="J749" s="13">
        <f>Orders[[#This Row],[Quantity]]*Orders[[#This Row],[Selling Price]]</f>
        <v>9917.6</v>
      </c>
      <c r="K749" s="13">
        <f>Orders[[#This Row],[Quantity]]*Orders[[#This Row],[Cost Price]]</f>
        <v>8429.9600000000009</v>
      </c>
      <c r="L749" s="13">
        <f>Orders[[#This Row],[Revenue]]-Orders[[#This Row],[Expenses]]</f>
        <v>1487.6399999999994</v>
      </c>
      <c r="M749" t="s">
        <v>2200</v>
      </c>
      <c r="N749" t="str">
        <f>_xlfn.XLOOKUP(Orders[[#This Row],[CustomerID]],Customers[CustomerID],Customers[CustomerName])</f>
        <v>Folasade Okonkwo</v>
      </c>
      <c r="O749" t="str">
        <f>_xlfn.XLOOKUP(Orders[[#This Row],[CustomerID]],Customers[CustomerID],Customers[City])</f>
        <v>Texas</v>
      </c>
      <c r="P749" t="str">
        <f>_xlfn.XLOOKUP(Orders[[#This Row],[CustomerID]],Customers[CustomerID],Customers[Gender])</f>
        <v>Female</v>
      </c>
      <c r="Q749">
        <f>_xlfn.XLOOKUP(Orders[[#This Row],[CustomerID]],Customers[CustomerID],Customers[CustomerAge])</f>
        <v>21</v>
      </c>
      <c r="R749" t="str">
        <f>IF(Orders[[#This Row],[CustomerAge]]&gt;=35, "Older", "Young")</f>
        <v>Young</v>
      </c>
      <c r="S749" t="str">
        <f>_xlfn.XLOOKUP(Orders[[#This Row],[ProductID]],Products[ProductID],Products[ProductName])</f>
        <v>Beaded Earrings And Necklaces</v>
      </c>
      <c r="T749" t="str">
        <f>_xlfn.XLOOKUP(Orders[[#This Row],[ProductID]],Products[ProductID],Products[Category])</f>
        <v>Accessories</v>
      </c>
    </row>
    <row r="750" spans="1:20" x14ac:dyDescent="0.25">
      <c r="A750" s="4" t="s">
        <v>938</v>
      </c>
      <c r="B750" s="5">
        <v>46000</v>
      </c>
      <c r="C750" s="15">
        <f>WEEKNUM(Orders[[#This Row],[OrderDate]])</f>
        <v>50</v>
      </c>
      <c r="D750" s="15" t="str">
        <f>TEXT(Orders[[#This Row],[OrderDate]],"mmmm")</f>
        <v>December</v>
      </c>
      <c r="E750" s="4" t="s">
        <v>280</v>
      </c>
      <c r="F750" s="4" t="s">
        <v>189</v>
      </c>
      <c r="G750" s="4">
        <v>3</v>
      </c>
      <c r="H750" s="12">
        <v>1840.1</v>
      </c>
      <c r="I750" s="13">
        <v>1564.085</v>
      </c>
      <c r="J750" s="13">
        <f>Orders[[#This Row],[Quantity]]*Orders[[#This Row],[Selling Price]]</f>
        <v>5520.2999999999993</v>
      </c>
      <c r="K750" s="13">
        <f>Orders[[#This Row],[Quantity]]*Orders[[#This Row],[Cost Price]]</f>
        <v>4692.2550000000001</v>
      </c>
      <c r="L750" s="13">
        <f>Orders[[#This Row],[Revenue]]-Orders[[#This Row],[Expenses]]</f>
        <v>828.04499999999916</v>
      </c>
      <c r="M750" t="s">
        <v>2214</v>
      </c>
      <c r="N750" t="str">
        <f>_xlfn.XLOOKUP(Orders[[#This Row],[CustomerID]],Customers[CustomerID],Customers[CustomerName])</f>
        <v>Folasade Okonkwo</v>
      </c>
      <c r="O750" t="str">
        <f>_xlfn.XLOOKUP(Orders[[#This Row],[CustomerID]],Customers[CustomerID],Customers[City])</f>
        <v>Texas</v>
      </c>
      <c r="P750" t="str">
        <f>_xlfn.XLOOKUP(Orders[[#This Row],[CustomerID]],Customers[CustomerID],Customers[Gender])</f>
        <v>Female</v>
      </c>
      <c r="Q750">
        <f>_xlfn.XLOOKUP(Orders[[#This Row],[CustomerID]],Customers[CustomerID],Customers[CustomerAge])</f>
        <v>21</v>
      </c>
      <c r="R750" t="str">
        <f>IF(Orders[[#This Row],[CustomerAge]]&gt;=35, "Older", "Young")</f>
        <v>Young</v>
      </c>
      <c r="S750" t="str">
        <f>_xlfn.XLOOKUP(Orders[[#This Row],[ProductID]],Products[ProductID],Products[ProductName])</f>
        <v>Scrabble</v>
      </c>
      <c r="T750" t="str">
        <f>_xlfn.XLOOKUP(Orders[[#This Row],[ProductID]],Products[ProductID],Products[Category])</f>
        <v>Games</v>
      </c>
    </row>
    <row r="751" spans="1:20" x14ac:dyDescent="0.25">
      <c r="A751" s="4" t="s">
        <v>939</v>
      </c>
      <c r="B751" s="5">
        <v>45949</v>
      </c>
      <c r="C751" s="15">
        <f>WEEKNUM(Orders[[#This Row],[OrderDate]])</f>
        <v>43</v>
      </c>
      <c r="D751" s="15" t="str">
        <f>TEXT(Orders[[#This Row],[OrderDate]],"mmmm")</f>
        <v>October</v>
      </c>
      <c r="E751" s="4" t="s">
        <v>940</v>
      </c>
      <c r="F751" s="4" t="s">
        <v>111</v>
      </c>
      <c r="G751" s="4">
        <v>2</v>
      </c>
      <c r="H751" s="12">
        <v>19868.599999999999</v>
      </c>
      <c r="I751" s="13">
        <v>16888.309999999998</v>
      </c>
      <c r="J751" s="13">
        <f>Orders[[#This Row],[Quantity]]*Orders[[#This Row],[Selling Price]]</f>
        <v>39737.199999999997</v>
      </c>
      <c r="K751" s="13">
        <f>Orders[[#This Row],[Quantity]]*Orders[[#This Row],[Cost Price]]</f>
        <v>33776.619999999995</v>
      </c>
      <c r="L751" s="13">
        <f>Orders[[#This Row],[Revenue]]-Orders[[#This Row],[Expenses]]</f>
        <v>5960.5800000000017</v>
      </c>
      <c r="M751" t="s">
        <v>2218</v>
      </c>
      <c r="N751" t="str">
        <f>_xlfn.XLOOKUP(Orders[[#This Row],[CustomerID]],Customers[CustomerID],Customers[CustomerName])</f>
        <v>Okon Ojo</v>
      </c>
      <c r="O751" t="str">
        <f>_xlfn.XLOOKUP(Orders[[#This Row],[CustomerID]],Customers[CustomerID],Customers[City])</f>
        <v>Texas</v>
      </c>
      <c r="P751" t="str">
        <f>_xlfn.XLOOKUP(Orders[[#This Row],[CustomerID]],Customers[CustomerID],Customers[Gender])</f>
        <v>Male</v>
      </c>
      <c r="Q751">
        <f>_xlfn.XLOOKUP(Orders[[#This Row],[CustomerID]],Customers[CustomerID],Customers[CustomerAge])</f>
        <v>25</v>
      </c>
      <c r="R751" t="str">
        <f>IF(Orders[[#This Row],[CustomerAge]]&gt;=35, "Older", "Young")</f>
        <v>Young</v>
      </c>
      <c r="S751" t="str">
        <f>_xlfn.XLOOKUP(Orders[[#This Row],[ProductID]],Products[ProductID],Products[ProductName])</f>
        <v>Refrigerator</v>
      </c>
      <c r="T751" t="str">
        <f>_xlfn.XLOOKUP(Orders[[#This Row],[ProductID]],Products[ProductID],Products[Category])</f>
        <v>Electronics</v>
      </c>
    </row>
    <row r="752" spans="1:20" x14ac:dyDescent="0.25">
      <c r="A752" s="4" t="s">
        <v>941</v>
      </c>
      <c r="B752" s="5">
        <v>45999</v>
      </c>
      <c r="C752" s="15">
        <f>WEEKNUM(Orders[[#This Row],[OrderDate]])</f>
        <v>50</v>
      </c>
      <c r="D752" s="15" t="str">
        <f>TEXT(Orders[[#This Row],[OrderDate]],"mmmm")</f>
        <v>December</v>
      </c>
      <c r="E752" s="4" t="s">
        <v>400</v>
      </c>
      <c r="F752" s="4" t="s">
        <v>25</v>
      </c>
      <c r="G752" s="4">
        <v>2</v>
      </c>
      <c r="H752" s="12">
        <v>3584.7000000000003</v>
      </c>
      <c r="I752" s="13">
        <v>3046.9950000000003</v>
      </c>
      <c r="J752" s="13">
        <f>Orders[[#This Row],[Quantity]]*Orders[[#This Row],[Selling Price]]</f>
        <v>7169.4000000000005</v>
      </c>
      <c r="K752" s="13">
        <f>Orders[[#This Row],[Quantity]]*Orders[[#This Row],[Cost Price]]</f>
        <v>6093.9900000000007</v>
      </c>
      <c r="L752" s="13">
        <f>Orders[[#This Row],[Revenue]]-Orders[[#This Row],[Expenses]]</f>
        <v>1075.4099999999999</v>
      </c>
      <c r="M752" t="s">
        <v>2219</v>
      </c>
      <c r="N752" t="str">
        <f>_xlfn.XLOOKUP(Orders[[#This Row],[CustomerID]],Customers[CustomerID],Customers[CustomerName])</f>
        <v>Obi Igwe</v>
      </c>
      <c r="O752" t="str">
        <f>_xlfn.XLOOKUP(Orders[[#This Row],[CustomerID]],Customers[CustomerID],Customers[City])</f>
        <v>Florida</v>
      </c>
      <c r="P752" t="str">
        <f>_xlfn.XLOOKUP(Orders[[#This Row],[CustomerID]],Customers[CustomerID],Customers[Gender])</f>
        <v>Male</v>
      </c>
      <c r="Q752">
        <f>_xlfn.XLOOKUP(Orders[[#This Row],[CustomerID]],Customers[CustomerID],Customers[CustomerAge])</f>
        <v>35</v>
      </c>
      <c r="R752" t="str">
        <f>IF(Orders[[#This Row],[CustomerAge]]&gt;=35, "Older", "Young")</f>
        <v>Older</v>
      </c>
      <c r="S752" t="str">
        <f>_xlfn.XLOOKUP(Orders[[#This Row],[ProductID]],Products[ProductID],Products[ProductName])</f>
        <v>Gold Rings</v>
      </c>
      <c r="T752" t="str">
        <f>_xlfn.XLOOKUP(Orders[[#This Row],[ProductID]],Products[ProductID],Products[Category])</f>
        <v>Accessories</v>
      </c>
    </row>
    <row r="753" spans="1:20" x14ac:dyDescent="0.25">
      <c r="A753" s="4" t="s">
        <v>942</v>
      </c>
      <c r="B753" s="5">
        <v>45974</v>
      </c>
      <c r="C753" s="15">
        <f>WEEKNUM(Orders[[#This Row],[OrderDate]])</f>
        <v>46</v>
      </c>
      <c r="D753" s="15" t="str">
        <f>TEXT(Orders[[#This Row],[OrderDate]],"mmmm")</f>
        <v>November</v>
      </c>
      <c r="E753" s="4" t="s">
        <v>352</v>
      </c>
      <c r="F753" s="4" t="s">
        <v>63</v>
      </c>
      <c r="G753" s="4">
        <v>1</v>
      </c>
      <c r="H753" s="12">
        <v>1870.8000000000002</v>
      </c>
      <c r="I753" s="13">
        <v>1590.1800000000003</v>
      </c>
      <c r="J753" s="13">
        <f>Orders[[#This Row],[Quantity]]*Orders[[#This Row],[Selling Price]]</f>
        <v>1870.8000000000002</v>
      </c>
      <c r="K753" s="13">
        <f>Orders[[#This Row],[Quantity]]*Orders[[#This Row],[Cost Price]]</f>
        <v>1590.1800000000003</v>
      </c>
      <c r="L753" s="13">
        <f>Orders[[#This Row],[Revenue]]-Orders[[#This Row],[Expenses]]</f>
        <v>280.61999999999989</v>
      </c>
      <c r="M753" t="s">
        <v>2194</v>
      </c>
      <c r="N753" t="str">
        <f>_xlfn.XLOOKUP(Orders[[#This Row],[CustomerID]],Customers[CustomerID],Customers[CustomerName])</f>
        <v>Zainab Eze</v>
      </c>
      <c r="O753" t="str">
        <f>_xlfn.XLOOKUP(Orders[[#This Row],[CustomerID]],Customers[CustomerID],Customers[City])</f>
        <v>Texas</v>
      </c>
      <c r="P753" t="str">
        <f>_xlfn.XLOOKUP(Orders[[#This Row],[CustomerID]],Customers[CustomerID],Customers[Gender])</f>
        <v>Female</v>
      </c>
      <c r="Q753">
        <f>_xlfn.XLOOKUP(Orders[[#This Row],[CustomerID]],Customers[CustomerID],Customers[CustomerAge])</f>
        <v>40</v>
      </c>
      <c r="R753" t="str">
        <f>IF(Orders[[#This Row],[CustomerAge]]&gt;=35, "Older", "Young")</f>
        <v>Older</v>
      </c>
      <c r="S753" t="str">
        <f>_xlfn.XLOOKUP(Orders[[#This Row],[ProductID]],Products[ProductID],Products[ProductName])</f>
        <v>Tennis Bat</v>
      </c>
      <c r="T753" t="str">
        <f>_xlfn.XLOOKUP(Orders[[#This Row],[ProductID]],Products[ProductID],Products[Category])</f>
        <v>Sports</v>
      </c>
    </row>
    <row r="754" spans="1:20" x14ac:dyDescent="0.25">
      <c r="A754" s="4" t="s">
        <v>943</v>
      </c>
      <c r="B754" s="5">
        <v>45949</v>
      </c>
      <c r="C754" s="15">
        <f>WEEKNUM(Orders[[#This Row],[OrderDate]])</f>
        <v>43</v>
      </c>
      <c r="D754" s="15" t="str">
        <f>TEXT(Orders[[#This Row],[OrderDate]],"mmmm")</f>
        <v>October</v>
      </c>
      <c r="E754" s="4" t="s">
        <v>89</v>
      </c>
      <c r="F754" s="4" t="s">
        <v>120</v>
      </c>
      <c r="G754" s="4">
        <v>10</v>
      </c>
      <c r="H754" s="12">
        <v>12912.4</v>
      </c>
      <c r="I754" s="13">
        <v>10975.539999999999</v>
      </c>
      <c r="J754" s="13">
        <f>Orders[[#This Row],[Quantity]]*Orders[[#This Row],[Selling Price]]</f>
        <v>129124</v>
      </c>
      <c r="K754" s="13">
        <f>Orders[[#This Row],[Quantity]]*Orders[[#This Row],[Cost Price]]</f>
        <v>109755.4</v>
      </c>
      <c r="L754" s="13">
        <f>Orders[[#This Row],[Revenue]]-Orders[[#This Row],[Expenses]]</f>
        <v>19368.600000000006</v>
      </c>
      <c r="M754" t="s">
        <v>2192</v>
      </c>
      <c r="N754" t="str">
        <f>_xlfn.XLOOKUP(Orders[[#This Row],[CustomerID]],Customers[CustomerID],Customers[CustomerName])</f>
        <v>Blessing Balogun</v>
      </c>
      <c r="O754" t="str">
        <f>_xlfn.XLOOKUP(Orders[[#This Row],[CustomerID]],Customers[CustomerID],Customers[City])</f>
        <v>Washington</v>
      </c>
      <c r="P754" t="str">
        <f>_xlfn.XLOOKUP(Orders[[#This Row],[CustomerID]],Customers[CustomerID],Customers[Gender])</f>
        <v>Female</v>
      </c>
      <c r="Q754">
        <f>_xlfn.XLOOKUP(Orders[[#This Row],[CustomerID]],Customers[CustomerID],Customers[CustomerAge])</f>
        <v>19</v>
      </c>
      <c r="R754" t="str">
        <f>IF(Orders[[#This Row],[CustomerAge]]&gt;=35, "Older", "Young")</f>
        <v>Young</v>
      </c>
      <c r="S754" t="str">
        <f>_xlfn.XLOOKUP(Orders[[#This Row],[ProductID]],Products[ProductID],Products[ProductName])</f>
        <v>Chess</v>
      </c>
      <c r="T754" t="str">
        <f>_xlfn.XLOOKUP(Orders[[#This Row],[ProductID]],Products[ProductID],Products[Category])</f>
        <v>Games</v>
      </c>
    </row>
    <row r="755" spans="1:20" x14ac:dyDescent="0.25">
      <c r="A755" s="4" t="s">
        <v>944</v>
      </c>
      <c r="B755" s="5">
        <v>45986</v>
      </c>
      <c r="C755" s="15">
        <f>WEEKNUM(Orders[[#This Row],[OrderDate]])</f>
        <v>48</v>
      </c>
      <c r="D755" s="15" t="str">
        <f>TEXT(Orders[[#This Row],[OrderDate]],"mmmm")</f>
        <v>November</v>
      </c>
      <c r="E755" s="4" t="s">
        <v>59</v>
      </c>
      <c r="F755" s="4" t="s">
        <v>130</v>
      </c>
      <c r="G755" s="4">
        <v>1</v>
      </c>
      <c r="H755" s="12">
        <v>18414.400000000001</v>
      </c>
      <c r="I755" s="13">
        <v>15652.240000000002</v>
      </c>
      <c r="J755" s="13">
        <f>Orders[[#This Row],[Quantity]]*Orders[[#This Row],[Selling Price]]</f>
        <v>18414.400000000001</v>
      </c>
      <c r="K755" s="13">
        <f>Orders[[#This Row],[Quantity]]*Orders[[#This Row],[Cost Price]]</f>
        <v>15652.240000000002</v>
      </c>
      <c r="L755" s="13">
        <f>Orders[[#This Row],[Revenue]]-Orders[[#This Row],[Expenses]]</f>
        <v>2762.16</v>
      </c>
      <c r="M755" t="s">
        <v>2212</v>
      </c>
      <c r="N755" t="str">
        <f>_xlfn.XLOOKUP(Orders[[#This Row],[CustomerID]],Customers[CustomerID],Customers[CustomerName])</f>
        <v>Adanma Danladi</v>
      </c>
      <c r="O755" t="str">
        <f>_xlfn.XLOOKUP(Orders[[#This Row],[CustomerID]],Customers[CustomerID],Customers[City])</f>
        <v>Texas</v>
      </c>
      <c r="P755" t="str">
        <f>_xlfn.XLOOKUP(Orders[[#This Row],[CustomerID]],Customers[CustomerID],Customers[Gender])</f>
        <v>Female</v>
      </c>
      <c r="Q755">
        <f>_xlfn.XLOOKUP(Orders[[#This Row],[CustomerID]],Customers[CustomerID],Customers[CustomerAge])</f>
        <v>24</v>
      </c>
      <c r="R755" t="str">
        <f>IF(Orders[[#This Row],[CustomerAge]]&gt;=35, "Older", "Young")</f>
        <v>Young</v>
      </c>
      <c r="S755" t="str">
        <f>_xlfn.XLOOKUP(Orders[[#This Row],[ProductID]],Products[ProductID],Products[ProductName])</f>
        <v>Gold Earrings And Necklaces</v>
      </c>
      <c r="T755" t="str">
        <f>_xlfn.XLOOKUP(Orders[[#This Row],[ProductID]],Products[ProductID],Products[Category])</f>
        <v>Accessories</v>
      </c>
    </row>
    <row r="756" spans="1:20" x14ac:dyDescent="0.25">
      <c r="A756" s="4" t="s">
        <v>945</v>
      </c>
      <c r="B756" s="5">
        <v>45986</v>
      </c>
      <c r="C756" s="15">
        <f>WEEKNUM(Orders[[#This Row],[OrderDate]])</f>
        <v>48</v>
      </c>
      <c r="D756" s="15" t="str">
        <f>TEXT(Orders[[#This Row],[OrderDate]],"mmmm")</f>
        <v>November</v>
      </c>
      <c r="E756" s="4" t="s">
        <v>68</v>
      </c>
      <c r="F756" s="4" t="s">
        <v>189</v>
      </c>
      <c r="G756" s="4">
        <v>2</v>
      </c>
      <c r="H756" s="12">
        <v>8256.2999999999993</v>
      </c>
      <c r="I756" s="13">
        <v>7017.8549999999996</v>
      </c>
      <c r="J756" s="13">
        <f>Orders[[#This Row],[Quantity]]*Orders[[#This Row],[Selling Price]]</f>
        <v>16512.599999999999</v>
      </c>
      <c r="K756" s="13">
        <f>Orders[[#This Row],[Quantity]]*Orders[[#This Row],[Cost Price]]</f>
        <v>14035.71</v>
      </c>
      <c r="L756" s="13">
        <f>Orders[[#This Row],[Revenue]]-Orders[[#This Row],[Expenses]]</f>
        <v>2476.8899999999994</v>
      </c>
      <c r="M756" t="s">
        <v>2207</v>
      </c>
      <c r="N756" t="str">
        <f>_xlfn.XLOOKUP(Orders[[#This Row],[CustomerID]],Customers[CustomerID],Customers[CustomerName])</f>
        <v>Abiola Balogun</v>
      </c>
      <c r="O756" t="str">
        <f>_xlfn.XLOOKUP(Orders[[#This Row],[CustomerID]],Customers[CustomerID],Customers[City])</f>
        <v>Texas</v>
      </c>
      <c r="P756" t="str">
        <f>_xlfn.XLOOKUP(Orders[[#This Row],[CustomerID]],Customers[CustomerID],Customers[Gender])</f>
        <v>Male</v>
      </c>
      <c r="Q756">
        <f>_xlfn.XLOOKUP(Orders[[#This Row],[CustomerID]],Customers[CustomerID],Customers[CustomerAge])</f>
        <v>29</v>
      </c>
      <c r="R756" t="str">
        <f>IF(Orders[[#This Row],[CustomerAge]]&gt;=35, "Older", "Young")</f>
        <v>Young</v>
      </c>
      <c r="S756" t="str">
        <f>_xlfn.XLOOKUP(Orders[[#This Row],[ProductID]],Products[ProductID],Products[ProductName])</f>
        <v>Scrabble</v>
      </c>
      <c r="T756" t="str">
        <f>_xlfn.XLOOKUP(Orders[[#This Row],[ProductID]],Products[ProductID],Products[Category])</f>
        <v>Games</v>
      </c>
    </row>
    <row r="757" spans="1:20" x14ac:dyDescent="0.25">
      <c r="A757" s="4" t="s">
        <v>946</v>
      </c>
      <c r="B757" s="5">
        <v>46014</v>
      </c>
      <c r="C757" s="15">
        <f>WEEKNUM(Orders[[#This Row],[OrderDate]])</f>
        <v>52</v>
      </c>
      <c r="D757" s="15" t="str">
        <f>TEXT(Orders[[#This Row],[OrderDate]],"mmmm")</f>
        <v>December</v>
      </c>
      <c r="E757" s="4" t="s">
        <v>225</v>
      </c>
      <c r="F757" s="4" t="s">
        <v>23</v>
      </c>
      <c r="G757" s="4">
        <v>6</v>
      </c>
      <c r="H757" s="12">
        <v>12774.7</v>
      </c>
      <c r="I757" s="13">
        <v>10858.495000000001</v>
      </c>
      <c r="J757" s="13">
        <f>Orders[[#This Row],[Quantity]]*Orders[[#This Row],[Selling Price]]</f>
        <v>76648.200000000012</v>
      </c>
      <c r="K757" s="13">
        <f>Orders[[#This Row],[Quantity]]*Orders[[#This Row],[Cost Price]]</f>
        <v>65150.97</v>
      </c>
      <c r="L757" s="13">
        <f>Orders[[#This Row],[Revenue]]-Orders[[#This Row],[Expenses]]</f>
        <v>11497.23000000001</v>
      </c>
      <c r="M757" t="s">
        <v>2201</v>
      </c>
      <c r="N757" t="str">
        <f>_xlfn.XLOOKUP(Orders[[#This Row],[CustomerID]],Customers[CustomerID],Customers[CustomerName])</f>
        <v>Uche Danladi</v>
      </c>
      <c r="O757" t="str">
        <f>_xlfn.XLOOKUP(Orders[[#This Row],[CustomerID]],Customers[CustomerID],Customers[City])</f>
        <v>Texas</v>
      </c>
      <c r="P757" t="str">
        <f>_xlfn.XLOOKUP(Orders[[#This Row],[CustomerID]],Customers[CustomerID],Customers[Gender])</f>
        <v>Male</v>
      </c>
      <c r="Q757">
        <f>_xlfn.XLOOKUP(Orders[[#This Row],[CustomerID]],Customers[CustomerID],Customers[CustomerAge])</f>
        <v>45</v>
      </c>
      <c r="R757" t="str">
        <f>IF(Orders[[#This Row],[CustomerAge]]&gt;=35, "Older", "Young")</f>
        <v>Older</v>
      </c>
      <c r="S757" t="str">
        <f>_xlfn.XLOOKUP(Orders[[#This Row],[ProductID]],Products[ProductID],Products[ProductName])</f>
        <v>Gym Gloves</v>
      </c>
      <c r="T757" t="str">
        <f>_xlfn.XLOOKUP(Orders[[#This Row],[ProductID]],Products[ProductID],Products[Category])</f>
        <v>Gym</v>
      </c>
    </row>
    <row r="758" spans="1:20" x14ac:dyDescent="0.25">
      <c r="A758" s="4" t="s">
        <v>947</v>
      </c>
      <c r="B758" s="5">
        <v>45986</v>
      </c>
      <c r="C758" s="15">
        <f>WEEKNUM(Orders[[#This Row],[OrderDate]])</f>
        <v>48</v>
      </c>
      <c r="D758" s="15" t="str">
        <f>TEXT(Orders[[#This Row],[OrderDate]],"mmmm")</f>
        <v>November</v>
      </c>
      <c r="E758" s="4" t="s">
        <v>605</v>
      </c>
      <c r="F758" s="4" t="s">
        <v>70</v>
      </c>
      <c r="G758" s="4">
        <v>10</v>
      </c>
      <c r="H758" s="12">
        <v>11907.6</v>
      </c>
      <c r="I758" s="13">
        <v>10121.460000000001</v>
      </c>
      <c r="J758" s="13">
        <f>Orders[[#This Row],[Quantity]]*Orders[[#This Row],[Selling Price]]</f>
        <v>119076</v>
      </c>
      <c r="K758" s="13">
        <f>Orders[[#This Row],[Quantity]]*Orders[[#This Row],[Cost Price]]</f>
        <v>101214.6</v>
      </c>
      <c r="L758" s="13">
        <f>Orders[[#This Row],[Revenue]]-Orders[[#This Row],[Expenses]]</f>
        <v>17861.399999999994</v>
      </c>
      <c r="M758" t="s">
        <v>2217</v>
      </c>
      <c r="N758" t="str">
        <f>_xlfn.XLOOKUP(Orders[[#This Row],[CustomerID]],Customers[CustomerID],Customers[CustomerName])</f>
        <v>Blessing Abubakar</v>
      </c>
      <c r="O758" t="str">
        <f>_xlfn.XLOOKUP(Orders[[#This Row],[CustomerID]],Customers[CustomerID],Customers[City])</f>
        <v>Texas</v>
      </c>
      <c r="P758" t="str">
        <f>_xlfn.XLOOKUP(Orders[[#This Row],[CustomerID]],Customers[CustomerID],Customers[Gender])</f>
        <v>Female</v>
      </c>
      <c r="Q758">
        <f>_xlfn.XLOOKUP(Orders[[#This Row],[CustomerID]],Customers[CustomerID],Customers[CustomerAge])</f>
        <v>44</v>
      </c>
      <c r="R758" t="str">
        <f>IF(Orders[[#This Row],[CustomerAge]]&gt;=35, "Older", "Young")</f>
        <v>Older</v>
      </c>
      <c r="S758" t="str">
        <f>_xlfn.XLOOKUP(Orders[[#This Row],[ProductID]],Products[ProductID],Products[ProductName])</f>
        <v>Yoga Mat</v>
      </c>
      <c r="T758" t="str">
        <f>_xlfn.XLOOKUP(Orders[[#This Row],[ProductID]],Products[ProductID],Products[Category])</f>
        <v>Gym</v>
      </c>
    </row>
    <row r="759" spans="1:20" x14ac:dyDescent="0.25">
      <c r="A759" s="4" t="s">
        <v>948</v>
      </c>
      <c r="B759" s="5">
        <v>45942</v>
      </c>
      <c r="C759" s="15">
        <f>WEEKNUM(Orders[[#This Row],[OrderDate]])</f>
        <v>42</v>
      </c>
      <c r="D759" s="15" t="str">
        <f>TEXT(Orders[[#This Row],[OrderDate]],"mmmm")</f>
        <v>October</v>
      </c>
      <c r="E759" s="4" t="s">
        <v>103</v>
      </c>
      <c r="F759" s="4" t="s">
        <v>20</v>
      </c>
      <c r="G759" s="4">
        <v>4</v>
      </c>
      <c r="H759" s="12">
        <v>5105.5</v>
      </c>
      <c r="I759" s="13">
        <v>4339.6750000000002</v>
      </c>
      <c r="J759" s="13">
        <f>Orders[[#This Row],[Quantity]]*Orders[[#This Row],[Selling Price]]</f>
        <v>20422</v>
      </c>
      <c r="K759" s="13">
        <f>Orders[[#This Row],[Quantity]]*Orders[[#This Row],[Cost Price]]</f>
        <v>17358.7</v>
      </c>
      <c r="L759" s="13">
        <f>Orders[[#This Row],[Revenue]]-Orders[[#This Row],[Expenses]]</f>
        <v>3063.2999999999993</v>
      </c>
      <c r="M759" t="s">
        <v>2199</v>
      </c>
      <c r="N759" t="str">
        <f>_xlfn.XLOOKUP(Orders[[#This Row],[CustomerID]],Customers[CustomerID],Customers[CustomerName])</f>
        <v>Chioma Adeyemi</v>
      </c>
      <c r="O759" t="str">
        <f>_xlfn.XLOOKUP(Orders[[#This Row],[CustomerID]],Customers[CustomerID],Customers[City])</f>
        <v>Georgia</v>
      </c>
      <c r="P759" t="str">
        <f>_xlfn.XLOOKUP(Orders[[#This Row],[CustomerID]],Customers[CustomerID],Customers[Gender])</f>
        <v>Female</v>
      </c>
      <c r="Q759">
        <f>_xlfn.XLOOKUP(Orders[[#This Row],[CustomerID]],Customers[CustomerID],Customers[CustomerAge])</f>
        <v>31</v>
      </c>
      <c r="R759" t="str">
        <f>IF(Orders[[#This Row],[CustomerAge]]&gt;=35, "Older", "Young")</f>
        <v>Young</v>
      </c>
      <c r="S759" t="str">
        <f>_xlfn.XLOOKUP(Orders[[#This Row],[ProductID]],Products[ProductID],Products[ProductName])</f>
        <v>Gym Bag</v>
      </c>
      <c r="T759" t="str">
        <f>_xlfn.XLOOKUP(Orders[[#This Row],[ProductID]],Products[ProductID],Products[Category])</f>
        <v>Gym</v>
      </c>
    </row>
    <row r="760" spans="1:20" x14ac:dyDescent="0.25">
      <c r="A760" s="4" t="s">
        <v>949</v>
      </c>
      <c r="B760" s="5">
        <v>46019</v>
      </c>
      <c r="C760" s="15">
        <f>WEEKNUM(Orders[[#This Row],[OrderDate]])</f>
        <v>53</v>
      </c>
      <c r="D760" s="15" t="str">
        <f>TEXT(Orders[[#This Row],[OrderDate]],"mmmm")</f>
        <v>December</v>
      </c>
      <c r="E760" s="4" t="s">
        <v>507</v>
      </c>
      <c r="F760" s="4" t="s">
        <v>9</v>
      </c>
      <c r="G760" s="4">
        <v>9</v>
      </c>
      <c r="H760" s="12">
        <v>18578</v>
      </c>
      <c r="I760" s="13">
        <v>15791.3</v>
      </c>
      <c r="J760" s="13">
        <f>Orders[[#This Row],[Quantity]]*Orders[[#This Row],[Selling Price]]</f>
        <v>167202</v>
      </c>
      <c r="K760" s="13">
        <f>Orders[[#This Row],[Quantity]]*Orders[[#This Row],[Cost Price]]</f>
        <v>142121.69999999998</v>
      </c>
      <c r="L760" s="13">
        <f>Orders[[#This Row],[Revenue]]-Orders[[#This Row],[Expenses]]</f>
        <v>25080.300000000017</v>
      </c>
      <c r="M760" t="s">
        <v>2212</v>
      </c>
      <c r="N760" t="str">
        <f>_xlfn.XLOOKUP(Orders[[#This Row],[CustomerID]],Customers[CustomerID],Customers[CustomerName])</f>
        <v>Temi Okonkwo</v>
      </c>
      <c r="O760" t="str">
        <f>_xlfn.XLOOKUP(Orders[[#This Row],[CustomerID]],Customers[CustomerID],Customers[City])</f>
        <v>Washington</v>
      </c>
      <c r="P760" t="str">
        <f>_xlfn.XLOOKUP(Orders[[#This Row],[CustomerID]],Customers[CustomerID],Customers[Gender])</f>
        <v>Female</v>
      </c>
      <c r="Q760">
        <f>_xlfn.XLOOKUP(Orders[[#This Row],[CustomerID]],Customers[CustomerID],Customers[CustomerAge])</f>
        <v>35</v>
      </c>
      <c r="R760" t="str">
        <f>IF(Orders[[#This Row],[CustomerAge]]&gt;=35, "Older", "Young")</f>
        <v>Older</v>
      </c>
      <c r="S760" t="str">
        <f>_xlfn.XLOOKUP(Orders[[#This Row],[ProductID]],Products[ProductID],Products[ProductName])</f>
        <v>Beaded Earrings And Necklaces</v>
      </c>
      <c r="T760" t="str">
        <f>_xlfn.XLOOKUP(Orders[[#This Row],[ProductID]],Products[ProductID],Products[Category])</f>
        <v>Accessories</v>
      </c>
    </row>
    <row r="761" spans="1:20" x14ac:dyDescent="0.25">
      <c r="A761" s="4" t="s">
        <v>950</v>
      </c>
      <c r="B761" s="5">
        <v>45940</v>
      </c>
      <c r="C761" s="15">
        <f>WEEKNUM(Orders[[#This Row],[OrderDate]])</f>
        <v>41</v>
      </c>
      <c r="D761" s="15" t="str">
        <f>TEXT(Orders[[#This Row],[OrderDate]],"mmmm")</f>
        <v>October</v>
      </c>
      <c r="E761" s="4" t="s">
        <v>159</v>
      </c>
      <c r="F761" s="4" t="s">
        <v>76</v>
      </c>
      <c r="G761" s="4">
        <v>3</v>
      </c>
      <c r="H761" s="12">
        <v>6897.2000000000007</v>
      </c>
      <c r="I761" s="13">
        <v>5862.6200000000008</v>
      </c>
      <c r="J761" s="13">
        <f>Orders[[#This Row],[Quantity]]*Orders[[#This Row],[Selling Price]]</f>
        <v>20691.600000000002</v>
      </c>
      <c r="K761" s="13">
        <f>Orders[[#This Row],[Quantity]]*Orders[[#This Row],[Cost Price]]</f>
        <v>17587.86</v>
      </c>
      <c r="L761" s="13">
        <f>Orders[[#This Row],[Revenue]]-Orders[[#This Row],[Expenses]]</f>
        <v>3103.7400000000016</v>
      </c>
      <c r="M761" t="s">
        <v>2206</v>
      </c>
      <c r="N761" t="str">
        <f>_xlfn.XLOOKUP(Orders[[#This Row],[CustomerID]],Customers[CustomerID],Customers[CustomerName])</f>
        <v>Ibrahim Okonkwo</v>
      </c>
      <c r="O761" t="str">
        <f>_xlfn.XLOOKUP(Orders[[#This Row],[CustomerID]],Customers[CustomerID],Customers[City])</f>
        <v>Florida</v>
      </c>
      <c r="P761" t="str">
        <f>_xlfn.XLOOKUP(Orders[[#This Row],[CustomerID]],Customers[CustomerID],Customers[Gender])</f>
        <v>Male</v>
      </c>
      <c r="Q761">
        <f>_xlfn.XLOOKUP(Orders[[#This Row],[CustomerID]],Customers[CustomerID],Customers[CustomerAge])</f>
        <v>49</v>
      </c>
      <c r="R761" t="str">
        <f>IF(Orders[[#This Row],[CustomerAge]]&gt;=35, "Older", "Young")</f>
        <v>Older</v>
      </c>
      <c r="S761" t="str">
        <f>_xlfn.XLOOKUP(Orders[[#This Row],[ProductID]],Products[ProductID],Products[ProductName])</f>
        <v>Blender</v>
      </c>
      <c r="T761" t="str">
        <f>_xlfn.XLOOKUP(Orders[[#This Row],[ProductID]],Products[ProductID],Products[Category])</f>
        <v>Electronics</v>
      </c>
    </row>
    <row r="762" spans="1:20" x14ac:dyDescent="0.25">
      <c r="A762" s="4" t="s">
        <v>951</v>
      </c>
      <c r="B762" s="5">
        <v>45963</v>
      </c>
      <c r="C762" s="15">
        <f>WEEKNUM(Orders[[#This Row],[OrderDate]])</f>
        <v>45</v>
      </c>
      <c r="D762" s="15" t="str">
        <f>TEXT(Orders[[#This Row],[OrderDate]],"mmmm")</f>
        <v>November</v>
      </c>
      <c r="E762" s="4" t="s">
        <v>307</v>
      </c>
      <c r="F762" s="4" t="s">
        <v>37</v>
      </c>
      <c r="G762" s="4">
        <v>5</v>
      </c>
      <c r="H762" s="12">
        <v>9199.7999999999993</v>
      </c>
      <c r="I762" s="13">
        <v>7819.83</v>
      </c>
      <c r="J762" s="13">
        <f>Orders[[#This Row],[Quantity]]*Orders[[#This Row],[Selling Price]]</f>
        <v>45999</v>
      </c>
      <c r="K762" s="13">
        <f>Orders[[#This Row],[Quantity]]*Orders[[#This Row],[Cost Price]]</f>
        <v>39099.15</v>
      </c>
      <c r="L762" s="13">
        <f>Orders[[#This Row],[Revenue]]-Orders[[#This Row],[Expenses]]</f>
        <v>6899.8499999999985</v>
      </c>
      <c r="M762" t="s">
        <v>2199</v>
      </c>
      <c r="N762" t="str">
        <f>_xlfn.XLOOKUP(Orders[[#This Row],[CustomerID]],Customers[CustomerID],Customers[CustomerName])</f>
        <v>Adanma Bello</v>
      </c>
      <c r="O762" t="str">
        <f>_xlfn.XLOOKUP(Orders[[#This Row],[CustomerID]],Customers[CustomerID],Customers[City])</f>
        <v>Illinois</v>
      </c>
      <c r="P762" t="str">
        <f>_xlfn.XLOOKUP(Orders[[#This Row],[CustomerID]],Customers[CustomerID],Customers[Gender])</f>
        <v>Female</v>
      </c>
      <c r="Q762">
        <f>_xlfn.XLOOKUP(Orders[[#This Row],[CustomerID]],Customers[CustomerID],Customers[CustomerAge])</f>
        <v>51</v>
      </c>
      <c r="R762" t="str">
        <f>IF(Orders[[#This Row],[CustomerAge]]&gt;=35, "Older", "Young")</f>
        <v>Older</v>
      </c>
      <c r="S762" t="str">
        <f>_xlfn.XLOOKUP(Orders[[#This Row],[ProductID]],Products[ProductID],Products[ProductName])</f>
        <v>Iron</v>
      </c>
      <c r="T762" t="str">
        <f>_xlfn.XLOOKUP(Orders[[#This Row],[ProductID]],Products[ProductID],Products[Category])</f>
        <v>Electronics</v>
      </c>
    </row>
    <row r="763" spans="1:20" x14ac:dyDescent="0.25">
      <c r="A763" s="4" t="s">
        <v>952</v>
      </c>
      <c r="B763" s="5">
        <v>45943</v>
      </c>
      <c r="C763" s="15">
        <f>WEEKNUM(Orders[[#This Row],[OrderDate]])</f>
        <v>42</v>
      </c>
      <c r="D763" s="15" t="str">
        <f>TEXT(Orders[[#This Row],[OrderDate]],"mmmm")</f>
        <v>October</v>
      </c>
      <c r="E763" s="4" t="s">
        <v>444</v>
      </c>
      <c r="F763" s="4" t="s">
        <v>28</v>
      </c>
      <c r="G763" s="4">
        <v>8</v>
      </c>
      <c r="H763" s="12">
        <v>1624.5</v>
      </c>
      <c r="I763" s="13">
        <v>1380.825</v>
      </c>
      <c r="J763" s="13">
        <f>Orders[[#This Row],[Quantity]]*Orders[[#This Row],[Selling Price]]</f>
        <v>12996</v>
      </c>
      <c r="K763" s="13">
        <f>Orders[[#This Row],[Quantity]]*Orders[[#This Row],[Cost Price]]</f>
        <v>11046.6</v>
      </c>
      <c r="L763" s="13">
        <f>Orders[[#This Row],[Revenue]]-Orders[[#This Row],[Expenses]]</f>
        <v>1949.3999999999996</v>
      </c>
      <c r="M763" t="s">
        <v>2197</v>
      </c>
      <c r="N763" t="str">
        <f>_xlfn.XLOOKUP(Orders[[#This Row],[CustomerID]],Customers[CustomerID],Customers[CustomerName])</f>
        <v>Blessing Eze</v>
      </c>
      <c r="O763" t="str">
        <f>_xlfn.XLOOKUP(Orders[[#This Row],[CustomerID]],Customers[CustomerID],Customers[City])</f>
        <v>Texas</v>
      </c>
      <c r="P763" t="str">
        <f>_xlfn.XLOOKUP(Orders[[#This Row],[CustomerID]],Customers[CustomerID],Customers[Gender])</f>
        <v>Female</v>
      </c>
      <c r="Q763">
        <f>_xlfn.XLOOKUP(Orders[[#This Row],[CustomerID]],Customers[CustomerID],Customers[CustomerAge])</f>
        <v>24</v>
      </c>
      <c r="R763" t="str">
        <f>IF(Orders[[#This Row],[CustomerAge]]&gt;=35, "Older", "Young")</f>
        <v>Young</v>
      </c>
      <c r="S763" t="str">
        <f>_xlfn.XLOOKUP(Orders[[#This Row],[ProductID]],Products[ProductID],Products[ProductName])</f>
        <v>Sneakers</v>
      </c>
      <c r="T763" t="str">
        <f>_xlfn.XLOOKUP(Orders[[#This Row],[ProductID]],Products[ProductID],Products[Category])</f>
        <v>Sports</v>
      </c>
    </row>
    <row r="764" spans="1:20" x14ac:dyDescent="0.25">
      <c r="A764" s="4" t="s">
        <v>953</v>
      </c>
      <c r="B764" s="5">
        <v>45977</v>
      </c>
      <c r="C764" s="15">
        <f>WEEKNUM(Orders[[#This Row],[OrderDate]])</f>
        <v>47</v>
      </c>
      <c r="D764" s="15" t="str">
        <f>TEXT(Orders[[#This Row],[OrderDate]],"mmmm")</f>
        <v>November</v>
      </c>
      <c r="E764" s="4" t="s">
        <v>607</v>
      </c>
      <c r="F764" s="4" t="s">
        <v>25</v>
      </c>
      <c r="G764" s="4">
        <v>2</v>
      </c>
      <c r="H764" s="12">
        <v>10017.200000000001</v>
      </c>
      <c r="I764" s="13">
        <v>8514.6200000000008</v>
      </c>
      <c r="J764" s="13">
        <f>Orders[[#This Row],[Quantity]]*Orders[[#This Row],[Selling Price]]</f>
        <v>20034.400000000001</v>
      </c>
      <c r="K764" s="13">
        <f>Orders[[#This Row],[Quantity]]*Orders[[#This Row],[Cost Price]]</f>
        <v>17029.240000000002</v>
      </c>
      <c r="L764" s="13">
        <f>Orders[[#This Row],[Revenue]]-Orders[[#This Row],[Expenses]]</f>
        <v>3005.16</v>
      </c>
      <c r="M764" t="s">
        <v>2217</v>
      </c>
      <c r="N764" t="str">
        <f>_xlfn.XLOOKUP(Orders[[#This Row],[CustomerID]],Customers[CustomerID],Customers[CustomerName])</f>
        <v>Folasade Ojo</v>
      </c>
      <c r="O764" t="str">
        <f>_xlfn.XLOOKUP(Orders[[#This Row],[CustomerID]],Customers[CustomerID],Customers[City])</f>
        <v>Texas</v>
      </c>
      <c r="P764" t="str">
        <f>_xlfn.XLOOKUP(Orders[[#This Row],[CustomerID]],Customers[CustomerID],Customers[Gender])</f>
        <v>Female</v>
      </c>
      <c r="Q764">
        <f>_xlfn.XLOOKUP(Orders[[#This Row],[CustomerID]],Customers[CustomerID],Customers[CustomerAge])</f>
        <v>19</v>
      </c>
      <c r="R764" t="str">
        <f>IF(Orders[[#This Row],[CustomerAge]]&gt;=35, "Older", "Young")</f>
        <v>Young</v>
      </c>
      <c r="S764" t="str">
        <f>_xlfn.XLOOKUP(Orders[[#This Row],[ProductID]],Products[ProductID],Products[ProductName])</f>
        <v>Gold Rings</v>
      </c>
      <c r="T764" t="str">
        <f>_xlfn.XLOOKUP(Orders[[#This Row],[ProductID]],Products[ProductID],Products[Category])</f>
        <v>Accessories</v>
      </c>
    </row>
    <row r="765" spans="1:20" x14ac:dyDescent="0.25">
      <c r="A765" s="4" t="s">
        <v>954</v>
      </c>
      <c r="B765" s="5">
        <v>46001</v>
      </c>
      <c r="C765" s="15">
        <f>WEEKNUM(Orders[[#This Row],[OrderDate]])</f>
        <v>50</v>
      </c>
      <c r="D765" s="15" t="str">
        <f>TEXT(Orders[[#This Row],[OrderDate]],"mmmm")</f>
        <v>December</v>
      </c>
      <c r="E765" s="4" t="s">
        <v>258</v>
      </c>
      <c r="F765" s="4" t="s">
        <v>25</v>
      </c>
      <c r="G765" s="4">
        <v>6</v>
      </c>
      <c r="H765" s="12">
        <v>17125.899999999998</v>
      </c>
      <c r="I765" s="13">
        <v>14557.014999999998</v>
      </c>
      <c r="J765" s="13">
        <f>Orders[[#This Row],[Quantity]]*Orders[[#This Row],[Selling Price]]</f>
        <v>102755.4</v>
      </c>
      <c r="K765" s="13">
        <f>Orders[[#This Row],[Quantity]]*Orders[[#This Row],[Cost Price]]</f>
        <v>87342.089999999982</v>
      </c>
      <c r="L765" s="13">
        <f>Orders[[#This Row],[Revenue]]-Orders[[#This Row],[Expenses]]</f>
        <v>15413.310000000012</v>
      </c>
      <c r="M765" t="s">
        <v>2206</v>
      </c>
      <c r="N765" t="str">
        <f>_xlfn.XLOOKUP(Orders[[#This Row],[CustomerID]],Customers[CustomerID],Customers[CustomerName])</f>
        <v>Sani Abubakar</v>
      </c>
      <c r="O765" t="str">
        <f>_xlfn.XLOOKUP(Orders[[#This Row],[CustomerID]],Customers[CustomerID],Customers[City])</f>
        <v>Washington</v>
      </c>
      <c r="P765" t="str">
        <f>_xlfn.XLOOKUP(Orders[[#This Row],[CustomerID]],Customers[CustomerID],Customers[Gender])</f>
        <v>Male</v>
      </c>
      <c r="Q765">
        <f>_xlfn.XLOOKUP(Orders[[#This Row],[CustomerID]],Customers[CustomerID],Customers[CustomerAge])</f>
        <v>37</v>
      </c>
      <c r="R765" t="str">
        <f>IF(Orders[[#This Row],[CustomerAge]]&gt;=35, "Older", "Young")</f>
        <v>Older</v>
      </c>
      <c r="S765" t="str">
        <f>_xlfn.XLOOKUP(Orders[[#This Row],[ProductID]],Products[ProductID],Products[ProductName])</f>
        <v>Gold Rings</v>
      </c>
      <c r="T765" t="str">
        <f>_xlfn.XLOOKUP(Orders[[#This Row],[ProductID]],Products[ProductID],Products[Category])</f>
        <v>Accessories</v>
      </c>
    </row>
    <row r="766" spans="1:20" x14ac:dyDescent="0.25">
      <c r="A766" s="4" t="s">
        <v>955</v>
      </c>
      <c r="B766" s="5">
        <v>45964</v>
      </c>
      <c r="C766" s="15">
        <f>WEEKNUM(Orders[[#This Row],[OrderDate]])</f>
        <v>45</v>
      </c>
      <c r="D766" s="15" t="str">
        <f>TEXT(Orders[[#This Row],[OrderDate]],"mmmm")</f>
        <v>November</v>
      </c>
      <c r="E766" s="4" t="s">
        <v>87</v>
      </c>
      <c r="F766" s="4" t="s">
        <v>70</v>
      </c>
      <c r="G766" s="4">
        <v>2</v>
      </c>
      <c r="H766" s="12">
        <v>12755.699999999999</v>
      </c>
      <c r="I766" s="13">
        <v>10842.344999999999</v>
      </c>
      <c r="J766" s="13">
        <f>Orders[[#This Row],[Quantity]]*Orders[[#This Row],[Selling Price]]</f>
        <v>25511.399999999998</v>
      </c>
      <c r="K766" s="13">
        <f>Orders[[#This Row],[Quantity]]*Orders[[#This Row],[Cost Price]]</f>
        <v>21684.69</v>
      </c>
      <c r="L766" s="13">
        <f>Orders[[#This Row],[Revenue]]-Orders[[#This Row],[Expenses]]</f>
        <v>3826.7099999999991</v>
      </c>
      <c r="M766" t="s">
        <v>2211</v>
      </c>
      <c r="N766" t="str">
        <f>_xlfn.XLOOKUP(Orders[[#This Row],[CustomerID]],Customers[CustomerID],Customers[CustomerName])</f>
        <v>Efe Igwe</v>
      </c>
      <c r="O766" t="str">
        <f>_xlfn.XLOOKUP(Orders[[#This Row],[CustomerID]],Customers[CustomerID],Customers[City])</f>
        <v>Illinois</v>
      </c>
      <c r="P766" t="str">
        <f>_xlfn.XLOOKUP(Orders[[#This Row],[CustomerID]],Customers[CustomerID],Customers[Gender])</f>
        <v>Female</v>
      </c>
      <c r="Q766">
        <f>_xlfn.XLOOKUP(Orders[[#This Row],[CustomerID]],Customers[CustomerID],Customers[CustomerAge])</f>
        <v>34</v>
      </c>
      <c r="R766" t="str">
        <f>IF(Orders[[#This Row],[CustomerAge]]&gt;=35, "Older", "Young")</f>
        <v>Young</v>
      </c>
      <c r="S766" t="str">
        <f>_xlfn.XLOOKUP(Orders[[#This Row],[ProductID]],Products[ProductID],Products[ProductName])</f>
        <v>Yoga Mat</v>
      </c>
      <c r="T766" t="str">
        <f>_xlfn.XLOOKUP(Orders[[#This Row],[ProductID]],Products[ProductID],Products[Category])</f>
        <v>Gym</v>
      </c>
    </row>
    <row r="767" spans="1:20" x14ac:dyDescent="0.25">
      <c r="A767" s="4" t="s">
        <v>956</v>
      </c>
      <c r="B767" s="5">
        <v>45981</v>
      </c>
      <c r="C767" s="15">
        <f>WEEKNUM(Orders[[#This Row],[OrderDate]])</f>
        <v>47</v>
      </c>
      <c r="D767" s="15" t="str">
        <f>TEXT(Orders[[#This Row],[OrderDate]],"mmmm")</f>
        <v>November</v>
      </c>
      <c r="E767" s="4" t="s">
        <v>138</v>
      </c>
      <c r="F767" s="4" t="s">
        <v>111</v>
      </c>
      <c r="G767" s="4">
        <v>1</v>
      </c>
      <c r="H767" s="12">
        <v>1791.5</v>
      </c>
      <c r="I767" s="13">
        <v>1522.7750000000001</v>
      </c>
      <c r="J767" s="13">
        <f>Orders[[#This Row],[Quantity]]*Orders[[#This Row],[Selling Price]]</f>
        <v>1791.5</v>
      </c>
      <c r="K767" s="13">
        <f>Orders[[#This Row],[Quantity]]*Orders[[#This Row],[Cost Price]]</f>
        <v>1522.7750000000001</v>
      </c>
      <c r="L767" s="13">
        <f>Orders[[#This Row],[Revenue]]-Orders[[#This Row],[Expenses]]</f>
        <v>268.72499999999991</v>
      </c>
      <c r="M767" t="s">
        <v>2208</v>
      </c>
      <c r="N767" t="str">
        <f>_xlfn.XLOOKUP(Orders[[#This Row],[CustomerID]],Customers[CustomerID],Customers[CustomerName])</f>
        <v>Efe Adeyemi</v>
      </c>
      <c r="O767" t="str">
        <f>_xlfn.XLOOKUP(Orders[[#This Row],[CustomerID]],Customers[CustomerID],Customers[City])</f>
        <v>Washington</v>
      </c>
      <c r="P767" t="str">
        <f>_xlfn.XLOOKUP(Orders[[#This Row],[CustomerID]],Customers[CustomerID],Customers[Gender])</f>
        <v>Female</v>
      </c>
      <c r="Q767">
        <f>_xlfn.XLOOKUP(Orders[[#This Row],[CustomerID]],Customers[CustomerID],Customers[CustomerAge])</f>
        <v>22</v>
      </c>
      <c r="R767" t="str">
        <f>IF(Orders[[#This Row],[CustomerAge]]&gt;=35, "Older", "Young")</f>
        <v>Young</v>
      </c>
      <c r="S767" t="str">
        <f>_xlfn.XLOOKUP(Orders[[#This Row],[ProductID]],Products[ProductID],Products[ProductName])</f>
        <v>Refrigerator</v>
      </c>
      <c r="T767" t="str">
        <f>_xlfn.XLOOKUP(Orders[[#This Row],[ProductID]],Products[ProductID],Products[Category])</f>
        <v>Electronics</v>
      </c>
    </row>
    <row r="768" spans="1:20" x14ac:dyDescent="0.25">
      <c r="A768" s="4" t="s">
        <v>957</v>
      </c>
      <c r="B768" s="5">
        <v>45979</v>
      </c>
      <c r="C768" s="15">
        <f>WEEKNUM(Orders[[#This Row],[OrderDate]])</f>
        <v>47</v>
      </c>
      <c r="D768" s="15" t="str">
        <f>TEXT(Orders[[#This Row],[OrderDate]],"mmmm")</f>
        <v>November</v>
      </c>
      <c r="E768" s="4" t="s">
        <v>258</v>
      </c>
      <c r="F768" s="4" t="s">
        <v>189</v>
      </c>
      <c r="G768" s="4">
        <v>4</v>
      </c>
      <c r="H768" s="12">
        <v>18676.5</v>
      </c>
      <c r="I768" s="13">
        <v>15875.025</v>
      </c>
      <c r="J768" s="13">
        <f>Orders[[#This Row],[Quantity]]*Orders[[#This Row],[Selling Price]]</f>
        <v>74706</v>
      </c>
      <c r="K768" s="13">
        <f>Orders[[#This Row],[Quantity]]*Orders[[#This Row],[Cost Price]]</f>
        <v>63500.1</v>
      </c>
      <c r="L768" s="13">
        <f>Orders[[#This Row],[Revenue]]-Orders[[#This Row],[Expenses]]</f>
        <v>11205.900000000001</v>
      </c>
      <c r="M768" t="s">
        <v>2203</v>
      </c>
      <c r="N768" t="str">
        <f>_xlfn.XLOOKUP(Orders[[#This Row],[CustomerID]],Customers[CustomerID],Customers[CustomerName])</f>
        <v>Sani Abubakar</v>
      </c>
      <c r="O768" t="str">
        <f>_xlfn.XLOOKUP(Orders[[#This Row],[CustomerID]],Customers[CustomerID],Customers[City])</f>
        <v>Washington</v>
      </c>
      <c r="P768" t="str">
        <f>_xlfn.XLOOKUP(Orders[[#This Row],[CustomerID]],Customers[CustomerID],Customers[Gender])</f>
        <v>Male</v>
      </c>
      <c r="Q768">
        <f>_xlfn.XLOOKUP(Orders[[#This Row],[CustomerID]],Customers[CustomerID],Customers[CustomerAge])</f>
        <v>37</v>
      </c>
      <c r="R768" t="str">
        <f>IF(Orders[[#This Row],[CustomerAge]]&gt;=35, "Older", "Young")</f>
        <v>Older</v>
      </c>
      <c r="S768" t="str">
        <f>_xlfn.XLOOKUP(Orders[[#This Row],[ProductID]],Products[ProductID],Products[ProductName])</f>
        <v>Scrabble</v>
      </c>
      <c r="T768" t="str">
        <f>_xlfn.XLOOKUP(Orders[[#This Row],[ProductID]],Products[ProductID],Products[Category])</f>
        <v>Games</v>
      </c>
    </row>
    <row r="769" spans="1:20" x14ac:dyDescent="0.25">
      <c r="A769" s="4" t="s">
        <v>958</v>
      </c>
      <c r="B769" s="5">
        <v>45992</v>
      </c>
      <c r="C769" s="15">
        <f>WEEKNUM(Orders[[#This Row],[OrderDate]])</f>
        <v>49</v>
      </c>
      <c r="D769" s="15" t="str">
        <f>TEXT(Orders[[#This Row],[OrderDate]],"mmmm")</f>
        <v>December</v>
      </c>
      <c r="E769" s="4" t="s">
        <v>285</v>
      </c>
      <c r="F769" s="4" t="s">
        <v>92</v>
      </c>
      <c r="G769" s="4">
        <v>2</v>
      </c>
      <c r="H769" s="12">
        <v>932.09999999999991</v>
      </c>
      <c r="I769" s="13">
        <v>792.28499999999997</v>
      </c>
      <c r="J769" s="13">
        <f>Orders[[#This Row],[Quantity]]*Orders[[#This Row],[Selling Price]]</f>
        <v>1864.1999999999998</v>
      </c>
      <c r="K769" s="13">
        <f>Orders[[#This Row],[Quantity]]*Orders[[#This Row],[Cost Price]]</f>
        <v>1584.57</v>
      </c>
      <c r="L769" s="13">
        <f>Orders[[#This Row],[Revenue]]-Orders[[#This Row],[Expenses]]</f>
        <v>279.62999999999988</v>
      </c>
      <c r="M769" t="s">
        <v>2215</v>
      </c>
      <c r="N769" t="str">
        <f>_xlfn.XLOOKUP(Orders[[#This Row],[CustomerID]],Customers[CustomerID],Customers[CustomerName])</f>
        <v>Sani Balogun</v>
      </c>
      <c r="O769" t="str">
        <f>_xlfn.XLOOKUP(Orders[[#This Row],[CustomerID]],Customers[CustomerID],Customers[City])</f>
        <v>California</v>
      </c>
      <c r="P769" t="str">
        <f>_xlfn.XLOOKUP(Orders[[#This Row],[CustomerID]],Customers[CustomerID],Customers[Gender])</f>
        <v>Male</v>
      </c>
      <c r="Q769">
        <f>_xlfn.XLOOKUP(Orders[[#This Row],[CustomerID]],Customers[CustomerID],Customers[CustomerAge])</f>
        <v>27</v>
      </c>
      <c r="R769" t="str">
        <f>IF(Orders[[#This Row],[CustomerAge]]&gt;=35, "Older", "Young")</f>
        <v>Young</v>
      </c>
      <c r="S769" t="str">
        <f>_xlfn.XLOOKUP(Orders[[#This Row],[ProductID]],Products[ProductID],Products[ProductName])</f>
        <v>Chest Expander</v>
      </c>
      <c r="T769" t="str">
        <f>_xlfn.XLOOKUP(Orders[[#This Row],[ProductID]],Products[ProductID],Products[Category])</f>
        <v>Gym</v>
      </c>
    </row>
    <row r="770" spans="1:20" x14ac:dyDescent="0.25">
      <c r="A770" s="4" t="s">
        <v>959</v>
      </c>
      <c r="B770" s="5">
        <v>46020</v>
      </c>
      <c r="C770" s="15">
        <f>WEEKNUM(Orders[[#This Row],[OrderDate]])</f>
        <v>53</v>
      </c>
      <c r="D770" s="15" t="str">
        <f>TEXT(Orders[[#This Row],[OrderDate]],"mmmm")</f>
        <v>December</v>
      </c>
      <c r="E770" s="4" t="s">
        <v>39</v>
      </c>
      <c r="F770" s="4" t="s">
        <v>20</v>
      </c>
      <c r="G770" s="4">
        <v>8</v>
      </c>
      <c r="H770" s="12">
        <v>4379.7000000000007</v>
      </c>
      <c r="I770" s="13">
        <v>3722.7450000000008</v>
      </c>
      <c r="J770" s="13">
        <f>Orders[[#This Row],[Quantity]]*Orders[[#This Row],[Selling Price]]</f>
        <v>35037.600000000006</v>
      </c>
      <c r="K770" s="13">
        <f>Orders[[#This Row],[Quantity]]*Orders[[#This Row],[Cost Price]]</f>
        <v>29781.960000000006</v>
      </c>
      <c r="L770" s="13">
        <f>Orders[[#This Row],[Revenue]]-Orders[[#This Row],[Expenses]]</f>
        <v>5255.6399999999994</v>
      </c>
      <c r="M770" t="s">
        <v>2195</v>
      </c>
      <c r="N770" t="str">
        <f>_xlfn.XLOOKUP(Orders[[#This Row],[CustomerID]],Customers[CustomerID],Customers[CustomerName])</f>
        <v>Efe Adeyemi</v>
      </c>
      <c r="O770" t="str">
        <f>_xlfn.XLOOKUP(Orders[[#This Row],[CustomerID]],Customers[CustomerID],Customers[City])</f>
        <v>Florida</v>
      </c>
      <c r="P770" t="str">
        <f>_xlfn.XLOOKUP(Orders[[#This Row],[CustomerID]],Customers[CustomerID],Customers[Gender])</f>
        <v>Female</v>
      </c>
      <c r="Q770">
        <f>_xlfn.XLOOKUP(Orders[[#This Row],[CustomerID]],Customers[CustomerID],Customers[CustomerAge])</f>
        <v>20</v>
      </c>
      <c r="R770" t="str">
        <f>IF(Orders[[#This Row],[CustomerAge]]&gt;=35, "Older", "Young")</f>
        <v>Young</v>
      </c>
      <c r="S770" t="str">
        <f>_xlfn.XLOOKUP(Orders[[#This Row],[ProductID]],Products[ProductID],Products[ProductName])</f>
        <v>Gym Bag</v>
      </c>
      <c r="T770" t="str">
        <f>_xlfn.XLOOKUP(Orders[[#This Row],[ProductID]],Products[ProductID],Products[Category])</f>
        <v>Gym</v>
      </c>
    </row>
    <row r="771" spans="1:20" x14ac:dyDescent="0.25">
      <c r="A771" s="4" t="s">
        <v>960</v>
      </c>
      <c r="B771" s="5">
        <v>46005</v>
      </c>
      <c r="C771" s="15">
        <f>WEEKNUM(Orders[[#This Row],[OrderDate]])</f>
        <v>51</v>
      </c>
      <c r="D771" s="15" t="str">
        <f>TEXT(Orders[[#This Row],[OrderDate]],"mmmm")</f>
        <v>December</v>
      </c>
      <c r="E771" s="4" t="s">
        <v>129</v>
      </c>
      <c r="F771" s="4" t="s">
        <v>37</v>
      </c>
      <c r="G771" s="4">
        <v>9</v>
      </c>
      <c r="H771" s="12">
        <v>9090.4</v>
      </c>
      <c r="I771" s="13">
        <v>7726.84</v>
      </c>
      <c r="J771" s="13">
        <f>Orders[[#This Row],[Quantity]]*Orders[[#This Row],[Selling Price]]</f>
        <v>81813.599999999991</v>
      </c>
      <c r="K771" s="13">
        <f>Orders[[#This Row],[Quantity]]*Orders[[#This Row],[Cost Price]]</f>
        <v>69541.56</v>
      </c>
      <c r="L771" s="13">
        <f>Orders[[#This Row],[Revenue]]-Orders[[#This Row],[Expenses]]</f>
        <v>12272.039999999994</v>
      </c>
      <c r="M771" t="s">
        <v>2211</v>
      </c>
      <c r="N771" t="str">
        <f>_xlfn.XLOOKUP(Orders[[#This Row],[CustomerID]],Customers[CustomerID],Customers[CustomerName])</f>
        <v>Chioma Ojo</v>
      </c>
      <c r="O771" t="str">
        <f>_xlfn.XLOOKUP(Orders[[#This Row],[CustomerID]],Customers[CustomerID],Customers[City])</f>
        <v>Washington</v>
      </c>
      <c r="P771" t="str">
        <f>_xlfn.XLOOKUP(Orders[[#This Row],[CustomerID]],Customers[CustomerID],Customers[Gender])</f>
        <v>Female</v>
      </c>
      <c r="Q771">
        <f>_xlfn.XLOOKUP(Orders[[#This Row],[CustomerID]],Customers[CustomerID],Customers[CustomerAge])</f>
        <v>46</v>
      </c>
      <c r="R771" t="str">
        <f>IF(Orders[[#This Row],[CustomerAge]]&gt;=35, "Older", "Young")</f>
        <v>Older</v>
      </c>
      <c r="S771" t="str">
        <f>_xlfn.XLOOKUP(Orders[[#This Row],[ProductID]],Products[ProductID],Products[ProductName])</f>
        <v>Iron</v>
      </c>
      <c r="T771" t="str">
        <f>_xlfn.XLOOKUP(Orders[[#This Row],[ProductID]],Products[ProductID],Products[Category])</f>
        <v>Electronics</v>
      </c>
    </row>
    <row r="772" spans="1:20" x14ac:dyDescent="0.25">
      <c r="A772" s="4" t="s">
        <v>961</v>
      </c>
      <c r="B772" s="5">
        <v>45948</v>
      </c>
      <c r="C772" s="15">
        <f>WEEKNUM(Orders[[#This Row],[OrderDate]])</f>
        <v>42</v>
      </c>
      <c r="D772" s="15" t="str">
        <f>TEXT(Orders[[#This Row],[OrderDate]],"mmmm")</f>
        <v>October</v>
      </c>
      <c r="E772" s="4" t="s">
        <v>150</v>
      </c>
      <c r="F772" s="4" t="s">
        <v>60</v>
      </c>
      <c r="G772" s="4">
        <v>8</v>
      </c>
      <c r="H772" s="12">
        <v>14203.099999999999</v>
      </c>
      <c r="I772" s="13">
        <v>12072.634999999998</v>
      </c>
      <c r="J772" s="13">
        <f>Orders[[#This Row],[Quantity]]*Orders[[#This Row],[Selling Price]]</f>
        <v>113624.79999999999</v>
      </c>
      <c r="K772" s="13">
        <f>Orders[[#This Row],[Quantity]]*Orders[[#This Row],[Cost Price]]</f>
        <v>96581.079999999987</v>
      </c>
      <c r="L772" s="13">
        <f>Orders[[#This Row],[Revenue]]-Orders[[#This Row],[Expenses]]</f>
        <v>17043.72</v>
      </c>
      <c r="M772" t="s">
        <v>2196</v>
      </c>
      <c r="N772" t="str">
        <f>_xlfn.XLOOKUP(Orders[[#This Row],[CustomerID]],Customers[CustomerID],Customers[CustomerName])</f>
        <v>Ronke Eze</v>
      </c>
      <c r="O772" t="str">
        <f>_xlfn.XLOOKUP(Orders[[#This Row],[CustomerID]],Customers[CustomerID],Customers[City])</f>
        <v>Georgia</v>
      </c>
      <c r="P772" t="str">
        <f>_xlfn.XLOOKUP(Orders[[#This Row],[CustomerID]],Customers[CustomerID],Customers[Gender])</f>
        <v>Female</v>
      </c>
      <c r="Q772">
        <f>_xlfn.XLOOKUP(Orders[[#This Row],[CustomerID]],Customers[CustomerID],Customers[CustomerAge])</f>
        <v>23</v>
      </c>
      <c r="R772" t="str">
        <f>IF(Orders[[#This Row],[CustomerAge]]&gt;=35, "Older", "Young")</f>
        <v>Young</v>
      </c>
      <c r="S772" t="str">
        <f>_xlfn.XLOOKUP(Orders[[#This Row],[ProductID]],Products[ProductID],Products[ProductName])</f>
        <v>Silver Rings</v>
      </c>
      <c r="T772" t="str">
        <f>_xlfn.XLOOKUP(Orders[[#This Row],[ProductID]],Products[ProductID],Products[Category])</f>
        <v>Accessories</v>
      </c>
    </row>
    <row r="773" spans="1:20" x14ac:dyDescent="0.25">
      <c r="A773" s="4" t="s">
        <v>962</v>
      </c>
      <c r="B773" s="5">
        <v>45967</v>
      </c>
      <c r="C773" s="15">
        <f>WEEKNUM(Orders[[#This Row],[OrderDate]])</f>
        <v>45</v>
      </c>
      <c r="D773" s="15" t="str">
        <f>TEXT(Orders[[#This Row],[OrderDate]],"mmmm")</f>
        <v>November</v>
      </c>
      <c r="E773" s="4" t="s">
        <v>159</v>
      </c>
      <c r="F773" s="4" t="s">
        <v>92</v>
      </c>
      <c r="G773" s="4">
        <v>10</v>
      </c>
      <c r="H773" s="12">
        <v>14788.900000000001</v>
      </c>
      <c r="I773" s="13">
        <v>12570.565000000002</v>
      </c>
      <c r="J773" s="13">
        <f>Orders[[#This Row],[Quantity]]*Orders[[#This Row],[Selling Price]]</f>
        <v>147889</v>
      </c>
      <c r="K773" s="13">
        <f>Orders[[#This Row],[Quantity]]*Orders[[#This Row],[Cost Price]]</f>
        <v>125705.65000000002</v>
      </c>
      <c r="L773" s="13">
        <f>Orders[[#This Row],[Revenue]]-Orders[[#This Row],[Expenses]]</f>
        <v>22183.349999999977</v>
      </c>
      <c r="M773" t="s">
        <v>2209</v>
      </c>
      <c r="N773" t="str">
        <f>_xlfn.XLOOKUP(Orders[[#This Row],[CustomerID]],Customers[CustomerID],Customers[CustomerName])</f>
        <v>Ibrahim Okonkwo</v>
      </c>
      <c r="O773" t="str">
        <f>_xlfn.XLOOKUP(Orders[[#This Row],[CustomerID]],Customers[CustomerID],Customers[City])</f>
        <v>Florida</v>
      </c>
      <c r="P773" t="str">
        <f>_xlfn.XLOOKUP(Orders[[#This Row],[CustomerID]],Customers[CustomerID],Customers[Gender])</f>
        <v>Male</v>
      </c>
      <c r="Q773">
        <f>_xlfn.XLOOKUP(Orders[[#This Row],[CustomerID]],Customers[CustomerID],Customers[CustomerAge])</f>
        <v>49</v>
      </c>
      <c r="R773" t="str">
        <f>IF(Orders[[#This Row],[CustomerAge]]&gt;=35, "Older", "Young")</f>
        <v>Older</v>
      </c>
      <c r="S773" t="str">
        <f>_xlfn.XLOOKUP(Orders[[#This Row],[ProductID]],Products[ProductID],Products[ProductName])</f>
        <v>Chest Expander</v>
      </c>
      <c r="T773" t="str">
        <f>_xlfn.XLOOKUP(Orders[[#This Row],[ProductID]],Products[ProductID],Products[Category])</f>
        <v>Gym</v>
      </c>
    </row>
    <row r="774" spans="1:20" x14ac:dyDescent="0.25">
      <c r="A774" s="4" t="s">
        <v>963</v>
      </c>
      <c r="B774" s="5">
        <v>45961</v>
      </c>
      <c r="C774" s="15">
        <f>WEEKNUM(Orders[[#This Row],[OrderDate]])</f>
        <v>44</v>
      </c>
      <c r="D774" s="15" t="str">
        <f>TEXT(Orders[[#This Row],[OrderDate]],"mmmm")</f>
        <v>October</v>
      </c>
      <c r="E774" s="4" t="s">
        <v>150</v>
      </c>
      <c r="F774" s="4" t="s">
        <v>12</v>
      </c>
      <c r="G774" s="4">
        <v>6</v>
      </c>
      <c r="H774" s="12">
        <v>7414.0999999999995</v>
      </c>
      <c r="I774" s="13">
        <v>6301.9849999999997</v>
      </c>
      <c r="J774" s="13">
        <f>Orders[[#This Row],[Quantity]]*Orders[[#This Row],[Selling Price]]</f>
        <v>44484.6</v>
      </c>
      <c r="K774" s="13">
        <f>Orders[[#This Row],[Quantity]]*Orders[[#This Row],[Cost Price]]</f>
        <v>37811.909999999996</v>
      </c>
      <c r="L774" s="13">
        <f>Orders[[#This Row],[Revenue]]-Orders[[#This Row],[Expenses]]</f>
        <v>6672.6900000000023</v>
      </c>
      <c r="M774" t="s">
        <v>2210</v>
      </c>
      <c r="N774" t="str">
        <f>_xlfn.XLOOKUP(Orders[[#This Row],[CustomerID]],Customers[CustomerID],Customers[CustomerName])</f>
        <v>Ronke Eze</v>
      </c>
      <c r="O774" t="str">
        <f>_xlfn.XLOOKUP(Orders[[#This Row],[CustomerID]],Customers[CustomerID],Customers[City])</f>
        <v>Georgia</v>
      </c>
      <c r="P774" t="str">
        <f>_xlfn.XLOOKUP(Orders[[#This Row],[CustomerID]],Customers[CustomerID],Customers[Gender])</f>
        <v>Female</v>
      </c>
      <c r="Q774">
        <f>_xlfn.XLOOKUP(Orders[[#This Row],[CustomerID]],Customers[CustomerID],Customers[CustomerAge])</f>
        <v>23</v>
      </c>
      <c r="R774" t="str">
        <f>IF(Orders[[#This Row],[CustomerAge]]&gt;=35, "Older", "Young")</f>
        <v>Young</v>
      </c>
      <c r="S774" t="str">
        <f>_xlfn.XLOOKUP(Orders[[#This Row],[ProductID]],Products[ProductID],Products[ProductName])</f>
        <v>Boubou</v>
      </c>
      <c r="T774" t="str">
        <f>_xlfn.XLOOKUP(Orders[[#This Row],[ProductID]],Products[ProductID],Products[Category])</f>
        <v>Clothing</v>
      </c>
    </row>
    <row r="775" spans="1:20" x14ac:dyDescent="0.25">
      <c r="A775" s="4" t="s">
        <v>964</v>
      </c>
      <c r="B775" s="5">
        <v>45986</v>
      </c>
      <c r="C775" s="15">
        <f>WEEKNUM(Orders[[#This Row],[OrderDate]])</f>
        <v>48</v>
      </c>
      <c r="D775" s="15" t="str">
        <f>TEXT(Orders[[#This Row],[OrderDate]],"mmmm")</f>
        <v>November</v>
      </c>
      <c r="E775" s="4" t="s">
        <v>343</v>
      </c>
      <c r="F775" s="4" t="s">
        <v>31</v>
      </c>
      <c r="G775" s="4">
        <v>10</v>
      </c>
      <c r="H775" s="12">
        <v>11588.699999999999</v>
      </c>
      <c r="I775" s="13">
        <v>9850.3949999999986</v>
      </c>
      <c r="J775" s="13">
        <f>Orders[[#This Row],[Quantity]]*Orders[[#This Row],[Selling Price]]</f>
        <v>115886.99999999999</v>
      </c>
      <c r="K775" s="13">
        <f>Orders[[#This Row],[Quantity]]*Orders[[#This Row],[Cost Price]]</f>
        <v>98503.949999999983</v>
      </c>
      <c r="L775" s="13">
        <f>Orders[[#This Row],[Revenue]]-Orders[[#This Row],[Expenses]]</f>
        <v>17383.050000000003</v>
      </c>
      <c r="M775" t="s">
        <v>2204</v>
      </c>
      <c r="N775" t="str">
        <f>_xlfn.XLOOKUP(Orders[[#This Row],[CustomerID]],Customers[CustomerID],Customers[CustomerName])</f>
        <v>Ronke Obi</v>
      </c>
      <c r="O775" t="str">
        <f>_xlfn.XLOOKUP(Orders[[#This Row],[CustomerID]],Customers[CustomerID],Customers[City])</f>
        <v>Washington</v>
      </c>
      <c r="P775" t="str">
        <f>_xlfn.XLOOKUP(Orders[[#This Row],[CustomerID]],Customers[CustomerID],Customers[Gender])</f>
        <v>Female</v>
      </c>
      <c r="Q775">
        <f>_xlfn.XLOOKUP(Orders[[#This Row],[CustomerID]],Customers[CustomerID],Customers[CustomerAge])</f>
        <v>31</v>
      </c>
      <c r="R775" t="str">
        <f>IF(Orders[[#This Row],[CustomerAge]]&gt;=35, "Older", "Young")</f>
        <v>Young</v>
      </c>
      <c r="S775" t="str">
        <f>_xlfn.XLOOKUP(Orders[[#This Row],[ProductID]],Products[ProductID],Products[ProductName])</f>
        <v>Kids Games</v>
      </c>
      <c r="T775" t="str">
        <f>_xlfn.XLOOKUP(Orders[[#This Row],[ProductID]],Products[ProductID],Products[Category])</f>
        <v>Games</v>
      </c>
    </row>
    <row r="776" spans="1:20" x14ac:dyDescent="0.25">
      <c r="A776" s="4" t="s">
        <v>965</v>
      </c>
      <c r="B776" s="5">
        <v>45977</v>
      </c>
      <c r="C776" s="15">
        <f>WEEKNUM(Orders[[#This Row],[OrderDate]])</f>
        <v>47</v>
      </c>
      <c r="D776" s="15" t="str">
        <f>TEXT(Orders[[#This Row],[OrderDate]],"mmmm")</f>
        <v>November</v>
      </c>
      <c r="E776" s="4" t="s">
        <v>98</v>
      </c>
      <c r="F776" s="4" t="s">
        <v>70</v>
      </c>
      <c r="G776" s="4">
        <v>7</v>
      </c>
      <c r="H776" s="12">
        <v>18447.5</v>
      </c>
      <c r="I776" s="13">
        <v>15680.375</v>
      </c>
      <c r="J776" s="13">
        <f>Orders[[#This Row],[Quantity]]*Orders[[#This Row],[Selling Price]]</f>
        <v>129132.5</v>
      </c>
      <c r="K776" s="13">
        <f>Orders[[#This Row],[Quantity]]*Orders[[#This Row],[Cost Price]]</f>
        <v>109762.625</v>
      </c>
      <c r="L776" s="13">
        <f>Orders[[#This Row],[Revenue]]-Orders[[#This Row],[Expenses]]</f>
        <v>19369.875</v>
      </c>
      <c r="M776" t="s">
        <v>2209</v>
      </c>
      <c r="N776" t="str">
        <f>_xlfn.XLOOKUP(Orders[[#This Row],[CustomerID]],Customers[CustomerID],Customers[CustomerName])</f>
        <v>Chioma Adeyemi</v>
      </c>
      <c r="O776" t="str">
        <f>_xlfn.XLOOKUP(Orders[[#This Row],[CustomerID]],Customers[CustomerID],Customers[City])</f>
        <v>Illinois</v>
      </c>
      <c r="P776" t="str">
        <f>_xlfn.XLOOKUP(Orders[[#This Row],[CustomerID]],Customers[CustomerID],Customers[Gender])</f>
        <v>Female</v>
      </c>
      <c r="Q776">
        <f>_xlfn.XLOOKUP(Orders[[#This Row],[CustomerID]],Customers[CustomerID],Customers[CustomerAge])</f>
        <v>23</v>
      </c>
      <c r="R776" t="str">
        <f>IF(Orders[[#This Row],[CustomerAge]]&gt;=35, "Older", "Young")</f>
        <v>Young</v>
      </c>
      <c r="S776" t="str">
        <f>_xlfn.XLOOKUP(Orders[[#This Row],[ProductID]],Products[ProductID],Products[ProductName])</f>
        <v>Yoga Mat</v>
      </c>
      <c r="T776" t="str">
        <f>_xlfn.XLOOKUP(Orders[[#This Row],[ProductID]],Products[ProductID],Products[Category])</f>
        <v>Gym</v>
      </c>
    </row>
    <row r="777" spans="1:20" x14ac:dyDescent="0.25">
      <c r="A777" s="4" t="s">
        <v>966</v>
      </c>
      <c r="B777" s="5">
        <v>45999</v>
      </c>
      <c r="C777" s="15">
        <f>WEEKNUM(Orders[[#This Row],[OrderDate]])</f>
        <v>50</v>
      </c>
      <c r="D777" s="15" t="str">
        <f>TEXT(Orders[[#This Row],[OrderDate]],"mmmm")</f>
        <v>December</v>
      </c>
      <c r="E777" s="4" t="s">
        <v>80</v>
      </c>
      <c r="F777" s="4" t="s">
        <v>60</v>
      </c>
      <c r="G777" s="4">
        <v>10</v>
      </c>
      <c r="H777" s="12">
        <v>12004.9</v>
      </c>
      <c r="I777" s="13">
        <v>10204.164999999999</v>
      </c>
      <c r="J777" s="13">
        <f>Orders[[#This Row],[Quantity]]*Orders[[#This Row],[Selling Price]]</f>
        <v>120049</v>
      </c>
      <c r="K777" s="13">
        <f>Orders[[#This Row],[Quantity]]*Orders[[#This Row],[Cost Price]]</f>
        <v>102041.65</v>
      </c>
      <c r="L777" s="13">
        <f>Orders[[#This Row],[Revenue]]-Orders[[#This Row],[Expenses]]</f>
        <v>18007.350000000006</v>
      </c>
      <c r="M777" t="s">
        <v>2201</v>
      </c>
      <c r="N777" t="str">
        <f>_xlfn.XLOOKUP(Orders[[#This Row],[CustomerID]],Customers[CustomerID],Customers[CustomerName])</f>
        <v>Sani Ojo</v>
      </c>
      <c r="O777" t="str">
        <f>_xlfn.XLOOKUP(Orders[[#This Row],[CustomerID]],Customers[CustomerID],Customers[City])</f>
        <v>Texas</v>
      </c>
      <c r="P777" t="str">
        <f>_xlfn.XLOOKUP(Orders[[#This Row],[CustomerID]],Customers[CustomerID],Customers[Gender])</f>
        <v>Male</v>
      </c>
      <c r="Q777">
        <f>_xlfn.XLOOKUP(Orders[[#This Row],[CustomerID]],Customers[CustomerID],Customers[CustomerAge])</f>
        <v>35</v>
      </c>
      <c r="R777" t="str">
        <f>IF(Orders[[#This Row],[CustomerAge]]&gt;=35, "Older", "Young")</f>
        <v>Older</v>
      </c>
      <c r="S777" t="str">
        <f>_xlfn.XLOOKUP(Orders[[#This Row],[ProductID]],Products[ProductID],Products[ProductName])</f>
        <v>Silver Rings</v>
      </c>
      <c r="T777" t="str">
        <f>_xlfn.XLOOKUP(Orders[[#This Row],[ProductID]],Products[ProductID],Products[Category])</f>
        <v>Accessories</v>
      </c>
    </row>
    <row r="778" spans="1:20" x14ac:dyDescent="0.25">
      <c r="A778" s="4" t="s">
        <v>967</v>
      </c>
      <c r="B778" s="5">
        <v>45981</v>
      </c>
      <c r="C778" s="15">
        <f>WEEKNUM(Orders[[#This Row],[OrderDate]])</f>
        <v>47</v>
      </c>
      <c r="D778" s="15" t="str">
        <f>TEXT(Orders[[#This Row],[OrderDate]],"mmmm")</f>
        <v>November</v>
      </c>
      <c r="E778" s="4" t="s">
        <v>302</v>
      </c>
      <c r="F778" s="4" t="s">
        <v>57</v>
      </c>
      <c r="G778" s="4">
        <v>6</v>
      </c>
      <c r="H778" s="12">
        <v>6052.3</v>
      </c>
      <c r="I778" s="13">
        <v>5144.4549999999999</v>
      </c>
      <c r="J778" s="13">
        <f>Orders[[#This Row],[Quantity]]*Orders[[#This Row],[Selling Price]]</f>
        <v>36313.800000000003</v>
      </c>
      <c r="K778" s="13">
        <f>Orders[[#This Row],[Quantity]]*Orders[[#This Row],[Cost Price]]</f>
        <v>30866.73</v>
      </c>
      <c r="L778" s="13">
        <f>Orders[[#This Row],[Revenue]]-Orders[[#This Row],[Expenses]]</f>
        <v>5447.0700000000033</v>
      </c>
      <c r="M778" t="s">
        <v>2192</v>
      </c>
      <c r="N778" t="str">
        <f>_xlfn.XLOOKUP(Orders[[#This Row],[CustomerID]],Customers[CustomerID],Customers[CustomerName])</f>
        <v>Sani Bello</v>
      </c>
      <c r="O778" t="str">
        <f>_xlfn.XLOOKUP(Orders[[#This Row],[CustomerID]],Customers[CustomerID],Customers[City])</f>
        <v>Washington</v>
      </c>
      <c r="P778" t="str">
        <f>_xlfn.XLOOKUP(Orders[[#This Row],[CustomerID]],Customers[CustomerID],Customers[Gender])</f>
        <v>Male</v>
      </c>
      <c r="Q778">
        <f>_xlfn.XLOOKUP(Orders[[#This Row],[CustomerID]],Customers[CustomerID],Customers[CustomerAge])</f>
        <v>23</v>
      </c>
      <c r="R778" t="str">
        <f>IF(Orders[[#This Row],[CustomerAge]]&gt;=35, "Older", "Young")</f>
        <v>Young</v>
      </c>
      <c r="S778" t="str">
        <f>_xlfn.XLOOKUP(Orders[[#This Row],[ProductID]],Products[ProductID],Products[ProductName])</f>
        <v>Badminton Racket</v>
      </c>
      <c r="T778" t="str">
        <f>_xlfn.XLOOKUP(Orders[[#This Row],[ProductID]],Products[ProductID],Products[Category])</f>
        <v>Sports</v>
      </c>
    </row>
    <row r="779" spans="1:20" x14ac:dyDescent="0.25">
      <c r="A779" s="4" t="s">
        <v>968</v>
      </c>
      <c r="B779" s="5">
        <v>45984</v>
      </c>
      <c r="C779" s="15">
        <f>WEEKNUM(Orders[[#This Row],[OrderDate]])</f>
        <v>48</v>
      </c>
      <c r="D779" s="15" t="str">
        <f>TEXT(Orders[[#This Row],[OrderDate]],"mmmm")</f>
        <v>November</v>
      </c>
      <c r="E779" s="4" t="s">
        <v>96</v>
      </c>
      <c r="F779" s="4" t="s">
        <v>70</v>
      </c>
      <c r="G779" s="4">
        <v>5</v>
      </c>
      <c r="H779" s="12">
        <v>19660.7</v>
      </c>
      <c r="I779" s="13">
        <v>16711.595000000001</v>
      </c>
      <c r="J779" s="13">
        <f>Orders[[#This Row],[Quantity]]*Orders[[#This Row],[Selling Price]]</f>
        <v>98303.5</v>
      </c>
      <c r="K779" s="13">
        <f>Orders[[#This Row],[Quantity]]*Orders[[#This Row],[Cost Price]]</f>
        <v>83557.975000000006</v>
      </c>
      <c r="L779" s="13">
        <f>Orders[[#This Row],[Revenue]]-Orders[[#This Row],[Expenses]]</f>
        <v>14745.524999999994</v>
      </c>
      <c r="M779" t="s">
        <v>2215</v>
      </c>
      <c r="N779" t="str">
        <f>_xlfn.XLOOKUP(Orders[[#This Row],[CustomerID]],Customers[CustomerID],Customers[CustomerName])</f>
        <v>Amina Abubakar</v>
      </c>
      <c r="O779" t="str">
        <f>_xlfn.XLOOKUP(Orders[[#This Row],[CustomerID]],Customers[CustomerID],Customers[City])</f>
        <v>Texas</v>
      </c>
      <c r="P779" t="str">
        <f>_xlfn.XLOOKUP(Orders[[#This Row],[CustomerID]],Customers[CustomerID],Customers[Gender])</f>
        <v>Female</v>
      </c>
      <c r="Q779">
        <f>_xlfn.XLOOKUP(Orders[[#This Row],[CustomerID]],Customers[CustomerID],Customers[CustomerAge])</f>
        <v>35</v>
      </c>
      <c r="R779" t="str">
        <f>IF(Orders[[#This Row],[CustomerAge]]&gt;=35, "Older", "Young")</f>
        <v>Older</v>
      </c>
      <c r="S779" t="str">
        <f>_xlfn.XLOOKUP(Orders[[#This Row],[ProductID]],Products[ProductID],Products[ProductName])</f>
        <v>Yoga Mat</v>
      </c>
      <c r="T779" t="str">
        <f>_xlfn.XLOOKUP(Orders[[#This Row],[ProductID]],Products[ProductID],Products[Category])</f>
        <v>Gym</v>
      </c>
    </row>
    <row r="780" spans="1:20" x14ac:dyDescent="0.25">
      <c r="A780" s="4" t="s">
        <v>969</v>
      </c>
      <c r="B780" s="5">
        <v>46010</v>
      </c>
      <c r="C780" s="15">
        <f>WEEKNUM(Orders[[#This Row],[OrderDate]])</f>
        <v>51</v>
      </c>
      <c r="D780" s="15" t="str">
        <f>TEXT(Orders[[#This Row],[OrderDate]],"mmmm")</f>
        <v>December</v>
      </c>
      <c r="E780" s="4" t="s">
        <v>444</v>
      </c>
      <c r="F780" s="4" t="s">
        <v>125</v>
      </c>
      <c r="G780" s="4">
        <v>7</v>
      </c>
      <c r="H780" s="12">
        <v>16959.2</v>
      </c>
      <c r="I780" s="13">
        <v>14415.32</v>
      </c>
      <c r="J780" s="13">
        <f>Orders[[#This Row],[Quantity]]*Orders[[#This Row],[Selling Price]]</f>
        <v>118714.40000000001</v>
      </c>
      <c r="K780" s="13">
        <f>Orders[[#This Row],[Quantity]]*Orders[[#This Row],[Cost Price]]</f>
        <v>100907.23999999999</v>
      </c>
      <c r="L780" s="13">
        <f>Orders[[#This Row],[Revenue]]-Orders[[#This Row],[Expenses]]</f>
        <v>17807.160000000018</v>
      </c>
      <c r="M780" t="s">
        <v>2218</v>
      </c>
      <c r="N780" t="str">
        <f>_xlfn.XLOOKUP(Orders[[#This Row],[CustomerID]],Customers[CustomerID],Customers[CustomerName])</f>
        <v>Blessing Eze</v>
      </c>
      <c r="O780" t="str">
        <f>_xlfn.XLOOKUP(Orders[[#This Row],[CustomerID]],Customers[CustomerID],Customers[City])</f>
        <v>Texas</v>
      </c>
      <c r="P780" t="str">
        <f>_xlfn.XLOOKUP(Orders[[#This Row],[CustomerID]],Customers[CustomerID],Customers[Gender])</f>
        <v>Female</v>
      </c>
      <c r="Q780">
        <f>_xlfn.XLOOKUP(Orders[[#This Row],[CustomerID]],Customers[CustomerID],Customers[CustomerAge])</f>
        <v>24</v>
      </c>
      <c r="R780" t="str">
        <f>IF(Orders[[#This Row],[CustomerAge]]&gt;=35, "Older", "Young")</f>
        <v>Young</v>
      </c>
      <c r="S780" t="str">
        <f>_xlfn.XLOOKUP(Orders[[#This Row],[ProductID]],Products[ProductID],Products[ProductName])</f>
        <v>Earrings</v>
      </c>
      <c r="T780" t="str">
        <f>_xlfn.XLOOKUP(Orders[[#This Row],[ProductID]],Products[ProductID],Products[Category])</f>
        <v>Accessories</v>
      </c>
    </row>
    <row r="781" spans="1:20" x14ac:dyDescent="0.25">
      <c r="A781" s="4" t="s">
        <v>970</v>
      </c>
      <c r="B781" s="5">
        <v>46003</v>
      </c>
      <c r="C781" s="15">
        <f>WEEKNUM(Orders[[#This Row],[OrderDate]])</f>
        <v>50</v>
      </c>
      <c r="D781" s="15" t="str">
        <f>TEXT(Orders[[#This Row],[OrderDate]],"mmmm")</f>
        <v>December</v>
      </c>
      <c r="E781" s="4" t="s">
        <v>194</v>
      </c>
      <c r="F781" s="4" t="s">
        <v>127</v>
      </c>
      <c r="G781" s="4">
        <v>7</v>
      </c>
      <c r="H781" s="12">
        <v>13849.400000000001</v>
      </c>
      <c r="I781" s="13">
        <v>11771.990000000002</v>
      </c>
      <c r="J781" s="13">
        <f>Orders[[#This Row],[Quantity]]*Orders[[#This Row],[Selling Price]]</f>
        <v>96945.800000000017</v>
      </c>
      <c r="K781" s="13">
        <f>Orders[[#This Row],[Quantity]]*Orders[[#This Row],[Cost Price]]</f>
        <v>82403.930000000008</v>
      </c>
      <c r="L781" s="13">
        <f>Orders[[#This Row],[Revenue]]-Orders[[#This Row],[Expenses]]</f>
        <v>14541.87000000001</v>
      </c>
      <c r="M781" t="s">
        <v>2196</v>
      </c>
      <c r="N781" t="str">
        <f>_xlfn.XLOOKUP(Orders[[#This Row],[CustomerID]],Customers[CustomerID],Customers[CustomerName])</f>
        <v>Adanma Adeyemi</v>
      </c>
      <c r="O781" t="str">
        <f>_xlfn.XLOOKUP(Orders[[#This Row],[CustomerID]],Customers[CustomerID],Customers[City])</f>
        <v>Washington</v>
      </c>
      <c r="P781" t="str">
        <f>_xlfn.XLOOKUP(Orders[[#This Row],[CustomerID]],Customers[CustomerID],Customers[Gender])</f>
        <v>Female</v>
      </c>
      <c r="Q781">
        <f>_xlfn.XLOOKUP(Orders[[#This Row],[CustomerID]],Customers[CustomerID],Customers[CustomerAge])</f>
        <v>45</v>
      </c>
      <c r="R781" t="str">
        <f>IF(Orders[[#This Row],[CustomerAge]]&gt;=35, "Older", "Young")</f>
        <v>Older</v>
      </c>
      <c r="S781" t="str">
        <f>_xlfn.XLOOKUP(Orders[[#This Row],[ProductID]],Products[ProductID],Products[ProductName])</f>
        <v>Tops</v>
      </c>
      <c r="T781" t="str">
        <f>_xlfn.XLOOKUP(Orders[[#This Row],[ProductID]],Products[ProductID],Products[Category])</f>
        <v>Clothing</v>
      </c>
    </row>
    <row r="782" spans="1:20" x14ac:dyDescent="0.25">
      <c r="A782" s="4" t="s">
        <v>971</v>
      </c>
      <c r="B782" s="5">
        <v>45966</v>
      </c>
      <c r="C782" s="15">
        <f>WEEKNUM(Orders[[#This Row],[OrderDate]])</f>
        <v>45</v>
      </c>
      <c r="D782" s="15" t="str">
        <f>TEXT(Orders[[#This Row],[OrderDate]],"mmmm")</f>
        <v>November</v>
      </c>
      <c r="E782" s="4" t="s">
        <v>227</v>
      </c>
      <c r="F782" s="4" t="s">
        <v>111</v>
      </c>
      <c r="G782" s="4">
        <v>1</v>
      </c>
      <c r="H782" s="12">
        <v>18043.399999999998</v>
      </c>
      <c r="I782" s="13">
        <v>15336.889999999998</v>
      </c>
      <c r="J782" s="13">
        <f>Orders[[#This Row],[Quantity]]*Orders[[#This Row],[Selling Price]]</f>
        <v>18043.399999999998</v>
      </c>
      <c r="K782" s="13">
        <f>Orders[[#This Row],[Quantity]]*Orders[[#This Row],[Cost Price]]</f>
        <v>15336.889999999998</v>
      </c>
      <c r="L782" s="13">
        <f>Orders[[#This Row],[Revenue]]-Orders[[#This Row],[Expenses]]</f>
        <v>2706.51</v>
      </c>
      <c r="M782" t="s">
        <v>2216</v>
      </c>
      <c r="N782" t="str">
        <f>_xlfn.XLOOKUP(Orders[[#This Row],[CustomerID]],Customers[CustomerID],Customers[CustomerName])</f>
        <v>Emmanuel Victor</v>
      </c>
      <c r="O782" t="str">
        <f>_xlfn.XLOOKUP(Orders[[#This Row],[CustomerID]],Customers[CustomerID],Customers[City])</f>
        <v>Washington</v>
      </c>
      <c r="P782" t="str">
        <f>_xlfn.XLOOKUP(Orders[[#This Row],[CustomerID]],Customers[CustomerID],Customers[Gender])</f>
        <v>Male</v>
      </c>
      <c r="Q782">
        <f>_xlfn.XLOOKUP(Orders[[#This Row],[CustomerID]],Customers[CustomerID],Customers[CustomerAge])</f>
        <v>35</v>
      </c>
      <c r="R782" t="str">
        <f>IF(Orders[[#This Row],[CustomerAge]]&gt;=35, "Older", "Young")</f>
        <v>Older</v>
      </c>
      <c r="S782" t="str">
        <f>_xlfn.XLOOKUP(Orders[[#This Row],[ProductID]],Products[ProductID],Products[ProductName])</f>
        <v>Refrigerator</v>
      </c>
      <c r="T782" t="str">
        <f>_xlfn.XLOOKUP(Orders[[#This Row],[ProductID]],Products[ProductID],Products[Category])</f>
        <v>Electronics</v>
      </c>
    </row>
    <row r="783" spans="1:20" x14ac:dyDescent="0.25">
      <c r="A783" s="4" t="s">
        <v>972</v>
      </c>
      <c r="B783" s="5">
        <v>45942</v>
      </c>
      <c r="C783" s="15">
        <f>WEEKNUM(Orders[[#This Row],[OrderDate]])</f>
        <v>42</v>
      </c>
      <c r="D783" s="15" t="str">
        <f>TEXT(Orders[[#This Row],[OrderDate]],"mmmm")</f>
        <v>October</v>
      </c>
      <c r="E783" s="4" t="s">
        <v>87</v>
      </c>
      <c r="F783" s="4" t="s">
        <v>37</v>
      </c>
      <c r="G783" s="4">
        <v>7</v>
      </c>
      <c r="H783" s="12">
        <v>13662.4</v>
      </c>
      <c r="I783" s="13">
        <v>11613.04</v>
      </c>
      <c r="J783" s="13">
        <f>Orders[[#This Row],[Quantity]]*Orders[[#This Row],[Selling Price]]</f>
        <v>95636.800000000003</v>
      </c>
      <c r="K783" s="13">
        <f>Orders[[#This Row],[Quantity]]*Orders[[#This Row],[Cost Price]]</f>
        <v>81291.28</v>
      </c>
      <c r="L783" s="13">
        <f>Orders[[#This Row],[Revenue]]-Orders[[#This Row],[Expenses]]</f>
        <v>14345.520000000004</v>
      </c>
      <c r="M783" t="s">
        <v>2208</v>
      </c>
      <c r="N783" t="str">
        <f>_xlfn.XLOOKUP(Orders[[#This Row],[CustomerID]],Customers[CustomerID],Customers[CustomerName])</f>
        <v>Efe Igwe</v>
      </c>
      <c r="O783" t="str">
        <f>_xlfn.XLOOKUP(Orders[[#This Row],[CustomerID]],Customers[CustomerID],Customers[City])</f>
        <v>Illinois</v>
      </c>
      <c r="P783" t="str">
        <f>_xlfn.XLOOKUP(Orders[[#This Row],[CustomerID]],Customers[CustomerID],Customers[Gender])</f>
        <v>Female</v>
      </c>
      <c r="Q783">
        <f>_xlfn.XLOOKUP(Orders[[#This Row],[CustomerID]],Customers[CustomerID],Customers[CustomerAge])</f>
        <v>34</v>
      </c>
      <c r="R783" t="str">
        <f>IF(Orders[[#This Row],[CustomerAge]]&gt;=35, "Older", "Young")</f>
        <v>Young</v>
      </c>
      <c r="S783" t="str">
        <f>_xlfn.XLOOKUP(Orders[[#This Row],[ProductID]],Products[ProductID],Products[ProductName])</f>
        <v>Iron</v>
      </c>
      <c r="T783" t="str">
        <f>_xlfn.XLOOKUP(Orders[[#This Row],[ProductID]],Products[ProductID],Products[Category])</f>
        <v>Electronics</v>
      </c>
    </row>
    <row r="784" spans="1:20" x14ac:dyDescent="0.25">
      <c r="A784" s="4" t="s">
        <v>973</v>
      </c>
      <c r="B784" s="5">
        <v>45943</v>
      </c>
      <c r="C784" s="15">
        <f>WEEKNUM(Orders[[#This Row],[OrderDate]])</f>
        <v>42</v>
      </c>
      <c r="D784" s="15" t="str">
        <f>TEXT(Orders[[#This Row],[OrderDate]],"mmmm")</f>
        <v>October</v>
      </c>
      <c r="E784" s="4" t="s">
        <v>439</v>
      </c>
      <c r="F784" s="4" t="s">
        <v>31</v>
      </c>
      <c r="G784" s="4">
        <v>1</v>
      </c>
      <c r="H784" s="12">
        <v>12151</v>
      </c>
      <c r="I784" s="13">
        <v>10328.35</v>
      </c>
      <c r="J784" s="13">
        <f>Orders[[#This Row],[Quantity]]*Orders[[#This Row],[Selling Price]]</f>
        <v>12151</v>
      </c>
      <c r="K784" s="13">
        <f>Orders[[#This Row],[Quantity]]*Orders[[#This Row],[Cost Price]]</f>
        <v>10328.35</v>
      </c>
      <c r="L784" s="13">
        <f>Orders[[#This Row],[Revenue]]-Orders[[#This Row],[Expenses]]</f>
        <v>1822.6499999999996</v>
      </c>
      <c r="M784" t="s">
        <v>2214</v>
      </c>
      <c r="N784" t="str">
        <f>_xlfn.XLOOKUP(Orders[[#This Row],[CustomerID]],Customers[CustomerID],Customers[CustomerName])</f>
        <v>Efe Abubakar</v>
      </c>
      <c r="O784" t="str">
        <f>_xlfn.XLOOKUP(Orders[[#This Row],[CustomerID]],Customers[CustomerID],Customers[City])</f>
        <v>Texas</v>
      </c>
      <c r="P784" t="str">
        <f>_xlfn.XLOOKUP(Orders[[#This Row],[CustomerID]],Customers[CustomerID],Customers[Gender])</f>
        <v>Female</v>
      </c>
      <c r="Q784">
        <f>_xlfn.XLOOKUP(Orders[[#This Row],[CustomerID]],Customers[CustomerID],Customers[CustomerAge])</f>
        <v>50</v>
      </c>
      <c r="R784" t="str">
        <f>IF(Orders[[#This Row],[CustomerAge]]&gt;=35, "Older", "Young")</f>
        <v>Older</v>
      </c>
      <c r="S784" t="str">
        <f>_xlfn.XLOOKUP(Orders[[#This Row],[ProductID]],Products[ProductID],Products[ProductName])</f>
        <v>Kids Games</v>
      </c>
      <c r="T784" t="str">
        <f>_xlfn.XLOOKUP(Orders[[#This Row],[ProductID]],Products[ProductID],Products[Category])</f>
        <v>Games</v>
      </c>
    </row>
    <row r="785" spans="1:20" x14ac:dyDescent="0.25">
      <c r="A785" s="4" t="s">
        <v>974</v>
      </c>
      <c r="B785" s="5">
        <v>45953</v>
      </c>
      <c r="C785" s="15">
        <f>WEEKNUM(Orders[[#This Row],[OrderDate]])</f>
        <v>43</v>
      </c>
      <c r="D785" s="15" t="str">
        <f>TEXT(Orders[[#This Row],[OrderDate]],"mmmm")</f>
        <v>October</v>
      </c>
      <c r="E785" s="4" t="s">
        <v>574</v>
      </c>
      <c r="F785" s="4" t="s">
        <v>20</v>
      </c>
      <c r="G785" s="4">
        <v>10</v>
      </c>
      <c r="H785" s="12">
        <v>3820.2</v>
      </c>
      <c r="I785" s="13">
        <v>3247.17</v>
      </c>
      <c r="J785" s="13">
        <f>Orders[[#This Row],[Quantity]]*Orders[[#This Row],[Selling Price]]</f>
        <v>38202</v>
      </c>
      <c r="K785" s="13">
        <f>Orders[[#This Row],[Quantity]]*Orders[[#This Row],[Cost Price]]</f>
        <v>32471.7</v>
      </c>
      <c r="L785" s="13">
        <f>Orders[[#This Row],[Revenue]]-Orders[[#This Row],[Expenses]]</f>
        <v>5730.2999999999993</v>
      </c>
      <c r="M785" t="s">
        <v>2193</v>
      </c>
      <c r="N785" t="str">
        <f>_xlfn.XLOOKUP(Orders[[#This Row],[CustomerID]],Customers[CustomerID],Customers[CustomerName])</f>
        <v>Adanma Obi</v>
      </c>
      <c r="O785" t="str">
        <f>_xlfn.XLOOKUP(Orders[[#This Row],[CustomerID]],Customers[CustomerID],Customers[City])</f>
        <v>Texas</v>
      </c>
      <c r="P785" t="str">
        <f>_xlfn.XLOOKUP(Orders[[#This Row],[CustomerID]],Customers[CustomerID],Customers[Gender])</f>
        <v>Female</v>
      </c>
      <c r="Q785">
        <f>_xlfn.XLOOKUP(Orders[[#This Row],[CustomerID]],Customers[CustomerID],Customers[CustomerAge])</f>
        <v>23</v>
      </c>
      <c r="R785" t="str">
        <f>IF(Orders[[#This Row],[CustomerAge]]&gt;=35, "Older", "Young")</f>
        <v>Young</v>
      </c>
      <c r="S785" t="str">
        <f>_xlfn.XLOOKUP(Orders[[#This Row],[ProductID]],Products[ProductID],Products[ProductName])</f>
        <v>Gym Bag</v>
      </c>
      <c r="T785" t="str">
        <f>_xlfn.XLOOKUP(Orders[[#This Row],[ProductID]],Products[ProductID],Products[Category])</f>
        <v>Gym</v>
      </c>
    </row>
    <row r="786" spans="1:20" x14ac:dyDescent="0.25">
      <c r="A786" s="4" t="s">
        <v>975</v>
      </c>
      <c r="B786" s="5">
        <v>45947</v>
      </c>
      <c r="C786" s="15">
        <f>WEEKNUM(Orders[[#This Row],[OrderDate]])</f>
        <v>42</v>
      </c>
      <c r="D786" s="15" t="str">
        <f>TEXT(Orders[[#This Row],[OrderDate]],"mmmm")</f>
        <v>October</v>
      </c>
      <c r="E786" s="4" t="s">
        <v>346</v>
      </c>
      <c r="F786" s="4" t="s">
        <v>31</v>
      </c>
      <c r="G786" s="4">
        <v>10</v>
      </c>
      <c r="H786" s="12">
        <v>11149.9</v>
      </c>
      <c r="I786" s="13">
        <v>9477.4149999999991</v>
      </c>
      <c r="J786" s="13">
        <f>Orders[[#This Row],[Quantity]]*Orders[[#This Row],[Selling Price]]</f>
        <v>111499</v>
      </c>
      <c r="K786" s="13">
        <f>Orders[[#This Row],[Quantity]]*Orders[[#This Row],[Cost Price]]</f>
        <v>94774.15</v>
      </c>
      <c r="L786" s="13">
        <f>Orders[[#This Row],[Revenue]]-Orders[[#This Row],[Expenses]]</f>
        <v>16724.850000000006</v>
      </c>
      <c r="M786" t="s">
        <v>2211</v>
      </c>
      <c r="N786" t="str">
        <f>_xlfn.XLOOKUP(Orders[[#This Row],[CustomerID]],Customers[CustomerID],Customers[CustomerName])</f>
        <v>Ngozi Danladi</v>
      </c>
      <c r="O786" t="str">
        <f>_xlfn.XLOOKUP(Orders[[#This Row],[CustomerID]],Customers[CustomerID],Customers[City])</f>
        <v>California</v>
      </c>
      <c r="P786" t="str">
        <f>_xlfn.XLOOKUP(Orders[[#This Row],[CustomerID]],Customers[CustomerID],Customers[Gender])</f>
        <v>Female</v>
      </c>
      <c r="Q786">
        <f>_xlfn.XLOOKUP(Orders[[#This Row],[CustomerID]],Customers[CustomerID],Customers[CustomerAge])</f>
        <v>30</v>
      </c>
      <c r="R786" t="str">
        <f>IF(Orders[[#This Row],[CustomerAge]]&gt;=35, "Older", "Young")</f>
        <v>Young</v>
      </c>
      <c r="S786" t="str">
        <f>_xlfn.XLOOKUP(Orders[[#This Row],[ProductID]],Products[ProductID],Products[ProductName])</f>
        <v>Kids Games</v>
      </c>
      <c r="T786" t="str">
        <f>_xlfn.XLOOKUP(Orders[[#This Row],[ProductID]],Products[ProductID],Products[Category])</f>
        <v>Games</v>
      </c>
    </row>
    <row r="787" spans="1:20" x14ac:dyDescent="0.25">
      <c r="A787" s="4" t="s">
        <v>976</v>
      </c>
      <c r="B787" s="5">
        <v>45964</v>
      </c>
      <c r="C787" s="15">
        <f>WEEKNUM(Orders[[#This Row],[OrderDate]])</f>
        <v>45</v>
      </c>
      <c r="D787" s="15" t="str">
        <f>TEXT(Orders[[#This Row],[OrderDate]],"mmmm")</f>
        <v>November</v>
      </c>
      <c r="E787" s="4" t="s">
        <v>118</v>
      </c>
      <c r="F787" s="4" t="s">
        <v>70</v>
      </c>
      <c r="G787" s="4">
        <v>7</v>
      </c>
      <c r="H787" s="12">
        <v>15255.1</v>
      </c>
      <c r="I787" s="13">
        <v>12966.835000000001</v>
      </c>
      <c r="J787" s="13">
        <f>Orders[[#This Row],[Quantity]]*Orders[[#This Row],[Selling Price]]</f>
        <v>106785.7</v>
      </c>
      <c r="K787" s="13">
        <f>Orders[[#This Row],[Quantity]]*Orders[[#This Row],[Cost Price]]</f>
        <v>90767.845000000001</v>
      </c>
      <c r="L787" s="13">
        <f>Orders[[#This Row],[Revenue]]-Orders[[#This Row],[Expenses]]</f>
        <v>16017.854999999996</v>
      </c>
      <c r="M787" t="s">
        <v>2200</v>
      </c>
      <c r="N787" t="str">
        <f>_xlfn.XLOOKUP(Orders[[#This Row],[CustomerID]],Customers[CustomerID],Customers[CustomerName])</f>
        <v>Ibrahim Balogun</v>
      </c>
      <c r="O787" t="str">
        <f>_xlfn.XLOOKUP(Orders[[#This Row],[CustomerID]],Customers[CustomerID],Customers[City])</f>
        <v>Georgia</v>
      </c>
      <c r="P787" t="str">
        <f>_xlfn.XLOOKUP(Orders[[#This Row],[CustomerID]],Customers[CustomerID],Customers[Gender])</f>
        <v>Male</v>
      </c>
      <c r="Q787">
        <f>_xlfn.XLOOKUP(Orders[[#This Row],[CustomerID]],Customers[CustomerID],Customers[CustomerAge])</f>
        <v>55</v>
      </c>
      <c r="R787" t="str">
        <f>IF(Orders[[#This Row],[CustomerAge]]&gt;=35, "Older", "Young")</f>
        <v>Older</v>
      </c>
      <c r="S787" t="str">
        <f>_xlfn.XLOOKUP(Orders[[#This Row],[ProductID]],Products[ProductID],Products[ProductName])</f>
        <v>Yoga Mat</v>
      </c>
      <c r="T787" t="str">
        <f>_xlfn.XLOOKUP(Orders[[#This Row],[ProductID]],Products[ProductID],Products[Category])</f>
        <v>Gym</v>
      </c>
    </row>
    <row r="788" spans="1:20" x14ac:dyDescent="0.25">
      <c r="A788" s="4" t="s">
        <v>977</v>
      </c>
      <c r="B788" s="5">
        <v>45957</v>
      </c>
      <c r="C788" s="15">
        <f>WEEKNUM(Orders[[#This Row],[OrderDate]])</f>
        <v>44</v>
      </c>
      <c r="D788" s="15" t="str">
        <f>TEXT(Orders[[#This Row],[OrderDate]],"mmmm")</f>
        <v>October</v>
      </c>
      <c r="E788" s="4" t="s">
        <v>216</v>
      </c>
      <c r="F788" s="4" t="s">
        <v>70</v>
      </c>
      <c r="G788" s="4">
        <v>6</v>
      </c>
      <c r="H788" s="12">
        <v>9178.7000000000007</v>
      </c>
      <c r="I788" s="13">
        <v>7801.8950000000004</v>
      </c>
      <c r="J788" s="13">
        <f>Orders[[#This Row],[Quantity]]*Orders[[#This Row],[Selling Price]]</f>
        <v>55072.200000000004</v>
      </c>
      <c r="K788" s="13">
        <f>Orders[[#This Row],[Quantity]]*Orders[[#This Row],[Cost Price]]</f>
        <v>46811.37</v>
      </c>
      <c r="L788" s="13">
        <f>Orders[[#This Row],[Revenue]]-Orders[[#This Row],[Expenses]]</f>
        <v>8260.8300000000017</v>
      </c>
      <c r="M788" t="s">
        <v>2201</v>
      </c>
      <c r="N788" t="str">
        <f>_xlfn.XLOOKUP(Orders[[#This Row],[CustomerID]],Customers[CustomerID],Customers[CustomerName])</f>
        <v>Ngozi Obi</v>
      </c>
      <c r="O788" t="str">
        <f>_xlfn.XLOOKUP(Orders[[#This Row],[CustomerID]],Customers[CustomerID],Customers[City])</f>
        <v>California</v>
      </c>
      <c r="P788" t="str">
        <f>_xlfn.XLOOKUP(Orders[[#This Row],[CustomerID]],Customers[CustomerID],Customers[Gender])</f>
        <v>Female</v>
      </c>
      <c r="Q788">
        <f>_xlfn.XLOOKUP(Orders[[#This Row],[CustomerID]],Customers[CustomerID],Customers[CustomerAge])</f>
        <v>54</v>
      </c>
      <c r="R788" t="str">
        <f>IF(Orders[[#This Row],[CustomerAge]]&gt;=35, "Older", "Young")</f>
        <v>Older</v>
      </c>
      <c r="S788" t="str">
        <f>_xlfn.XLOOKUP(Orders[[#This Row],[ProductID]],Products[ProductID],Products[ProductName])</f>
        <v>Yoga Mat</v>
      </c>
      <c r="T788" t="str">
        <f>_xlfn.XLOOKUP(Orders[[#This Row],[ProductID]],Products[ProductID],Products[Category])</f>
        <v>Gym</v>
      </c>
    </row>
    <row r="789" spans="1:20" x14ac:dyDescent="0.25">
      <c r="A789" s="4" t="s">
        <v>978</v>
      </c>
      <c r="B789" s="5">
        <v>46021</v>
      </c>
      <c r="C789" s="15">
        <f>WEEKNUM(Orders[[#This Row],[OrderDate]])</f>
        <v>53</v>
      </c>
      <c r="D789" s="15" t="str">
        <f>TEXT(Orders[[#This Row],[OrderDate]],"mmmm")</f>
        <v>December</v>
      </c>
      <c r="E789" s="4" t="s">
        <v>596</v>
      </c>
      <c r="F789" s="4" t="s">
        <v>120</v>
      </c>
      <c r="G789" s="4">
        <v>8</v>
      </c>
      <c r="H789" s="12">
        <v>5429</v>
      </c>
      <c r="I789" s="13">
        <v>4614.6499999999996</v>
      </c>
      <c r="J789" s="13">
        <f>Orders[[#This Row],[Quantity]]*Orders[[#This Row],[Selling Price]]</f>
        <v>43432</v>
      </c>
      <c r="K789" s="13">
        <f>Orders[[#This Row],[Quantity]]*Orders[[#This Row],[Cost Price]]</f>
        <v>36917.199999999997</v>
      </c>
      <c r="L789" s="13">
        <f>Orders[[#This Row],[Revenue]]-Orders[[#This Row],[Expenses]]</f>
        <v>6514.8000000000029</v>
      </c>
      <c r="M789" t="s">
        <v>2207</v>
      </c>
      <c r="N789" t="str">
        <f>_xlfn.XLOOKUP(Orders[[#This Row],[CustomerID]],Customers[CustomerID],Customers[CustomerName])</f>
        <v>Blessing Balogun</v>
      </c>
      <c r="O789" t="str">
        <f>_xlfn.XLOOKUP(Orders[[#This Row],[CustomerID]],Customers[CustomerID],Customers[City])</f>
        <v>Texas</v>
      </c>
      <c r="P789" t="str">
        <f>_xlfn.XLOOKUP(Orders[[#This Row],[CustomerID]],Customers[CustomerID],Customers[Gender])</f>
        <v>Female</v>
      </c>
      <c r="Q789">
        <f>_xlfn.XLOOKUP(Orders[[#This Row],[CustomerID]],Customers[CustomerID],Customers[CustomerAge])</f>
        <v>26</v>
      </c>
      <c r="R789" t="str">
        <f>IF(Orders[[#This Row],[CustomerAge]]&gt;=35, "Older", "Young")</f>
        <v>Young</v>
      </c>
      <c r="S789" t="str">
        <f>_xlfn.XLOOKUP(Orders[[#This Row],[ProductID]],Products[ProductID],Products[ProductName])</f>
        <v>Chess</v>
      </c>
      <c r="T789" t="str">
        <f>_xlfn.XLOOKUP(Orders[[#This Row],[ProductID]],Products[ProductID],Products[Category])</f>
        <v>Games</v>
      </c>
    </row>
    <row r="790" spans="1:20" x14ac:dyDescent="0.25">
      <c r="A790" s="4" t="s">
        <v>979</v>
      </c>
      <c r="B790" s="5">
        <v>45993</v>
      </c>
      <c r="C790" s="15">
        <f>WEEKNUM(Orders[[#This Row],[OrderDate]])</f>
        <v>49</v>
      </c>
      <c r="D790" s="15" t="str">
        <f>TEXT(Orders[[#This Row],[OrderDate]],"mmmm")</f>
        <v>December</v>
      </c>
      <c r="E790" s="4" t="s">
        <v>671</v>
      </c>
      <c r="F790" s="4" t="s">
        <v>34</v>
      </c>
      <c r="G790" s="4">
        <v>5</v>
      </c>
      <c r="H790" s="12">
        <v>13328.099999999999</v>
      </c>
      <c r="I790" s="13">
        <v>11328.884999999998</v>
      </c>
      <c r="J790" s="13">
        <f>Orders[[#This Row],[Quantity]]*Orders[[#This Row],[Selling Price]]</f>
        <v>66640.5</v>
      </c>
      <c r="K790" s="13">
        <f>Orders[[#This Row],[Quantity]]*Orders[[#This Row],[Cost Price]]</f>
        <v>56644.424999999988</v>
      </c>
      <c r="L790" s="13">
        <f>Orders[[#This Row],[Revenue]]-Orders[[#This Row],[Expenses]]</f>
        <v>9996.0750000000116</v>
      </c>
      <c r="M790" t="s">
        <v>2197</v>
      </c>
      <c r="N790" t="str">
        <f>_xlfn.XLOOKUP(Orders[[#This Row],[CustomerID]],Customers[CustomerID],Customers[CustomerName])</f>
        <v>Tunde Abubakar</v>
      </c>
      <c r="O790" t="str">
        <f>_xlfn.XLOOKUP(Orders[[#This Row],[CustomerID]],Customers[CustomerID],Customers[City])</f>
        <v>Texas</v>
      </c>
      <c r="P790" t="str">
        <f>_xlfn.XLOOKUP(Orders[[#This Row],[CustomerID]],Customers[CustomerID],Customers[Gender])</f>
        <v>Male</v>
      </c>
      <c r="Q790">
        <f>_xlfn.XLOOKUP(Orders[[#This Row],[CustomerID]],Customers[CustomerID],Customers[CustomerAge])</f>
        <v>26</v>
      </c>
      <c r="R790" t="str">
        <f>IF(Orders[[#This Row],[CustomerAge]]&gt;=35, "Older", "Young")</f>
        <v>Young</v>
      </c>
      <c r="S790" t="str">
        <f>_xlfn.XLOOKUP(Orders[[#This Row],[ProductID]],Products[ProductID],Products[ProductName])</f>
        <v>Gold Bracelets</v>
      </c>
      <c r="T790" t="str">
        <f>_xlfn.XLOOKUP(Orders[[#This Row],[ProductID]],Products[ProductID],Products[Category])</f>
        <v>Accessories</v>
      </c>
    </row>
    <row r="791" spans="1:20" x14ac:dyDescent="0.25">
      <c r="A791" s="4" t="s">
        <v>980</v>
      </c>
      <c r="B791" s="5">
        <v>45956</v>
      </c>
      <c r="C791" s="15">
        <f>WEEKNUM(Orders[[#This Row],[OrderDate]])</f>
        <v>44</v>
      </c>
      <c r="D791" s="15" t="str">
        <f>TEXT(Orders[[#This Row],[OrderDate]],"mmmm")</f>
        <v>October</v>
      </c>
      <c r="E791" s="4" t="s">
        <v>148</v>
      </c>
      <c r="F791" s="4" t="s">
        <v>84</v>
      </c>
      <c r="G791" s="4">
        <v>10</v>
      </c>
      <c r="H791" s="12">
        <v>4816.8</v>
      </c>
      <c r="I791" s="13">
        <v>4094.28</v>
      </c>
      <c r="J791" s="13">
        <f>Orders[[#This Row],[Quantity]]*Orders[[#This Row],[Selling Price]]</f>
        <v>48168</v>
      </c>
      <c r="K791" s="13">
        <f>Orders[[#This Row],[Quantity]]*Orders[[#This Row],[Cost Price]]</f>
        <v>40942.800000000003</v>
      </c>
      <c r="L791" s="13">
        <f>Orders[[#This Row],[Revenue]]-Orders[[#This Row],[Expenses]]</f>
        <v>7225.1999999999971</v>
      </c>
      <c r="M791" t="s">
        <v>2203</v>
      </c>
      <c r="N791" t="str">
        <f>_xlfn.XLOOKUP(Orders[[#This Row],[CustomerID]],Customers[CustomerID],Customers[CustomerName])</f>
        <v>Zainab Abubakar</v>
      </c>
      <c r="O791" t="str">
        <f>_xlfn.XLOOKUP(Orders[[#This Row],[CustomerID]],Customers[CustomerID],Customers[City])</f>
        <v>Florida</v>
      </c>
      <c r="P791" t="str">
        <f>_xlfn.XLOOKUP(Orders[[#This Row],[CustomerID]],Customers[CustomerID],Customers[Gender])</f>
        <v>Female</v>
      </c>
      <c r="Q791">
        <f>_xlfn.XLOOKUP(Orders[[#This Row],[CustomerID]],Customers[CustomerID],Customers[CustomerAge])</f>
        <v>29</v>
      </c>
      <c r="R791" t="str">
        <f>IF(Orders[[#This Row],[CustomerAge]]&gt;=35, "Older", "Young")</f>
        <v>Young</v>
      </c>
      <c r="S791" t="str">
        <f>_xlfn.XLOOKUP(Orders[[#This Row],[ProductID]],Products[ProductID],Products[ProductName])</f>
        <v>Gym Wears</v>
      </c>
      <c r="T791" t="str">
        <f>_xlfn.XLOOKUP(Orders[[#This Row],[ProductID]],Products[ProductID],Products[Category])</f>
        <v>Clothing</v>
      </c>
    </row>
    <row r="792" spans="1:20" x14ac:dyDescent="0.25">
      <c r="A792" s="4" t="s">
        <v>981</v>
      </c>
      <c r="B792" s="5">
        <v>46003</v>
      </c>
      <c r="C792" s="15">
        <f>WEEKNUM(Orders[[#This Row],[OrderDate]])</f>
        <v>50</v>
      </c>
      <c r="D792" s="15" t="str">
        <f>TEXT(Orders[[#This Row],[OrderDate]],"mmmm")</f>
        <v>December</v>
      </c>
      <c r="E792" s="4" t="s">
        <v>282</v>
      </c>
      <c r="F792" s="4" t="s">
        <v>9</v>
      </c>
      <c r="G792" s="4">
        <v>4</v>
      </c>
      <c r="H792" s="12">
        <v>9383.7000000000007</v>
      </c>
      <c r="I792" s="13">
        <v>7976.1450000000004</v>
      </c>
      <c r="J792" s="13">
        <f>Orders[[#This Row],[Quantity]]*Orders[[#This Row],[Selling Price]]</f>
        <v>37534.800000000003</v>
      </c>
      <c r="K792" s="13">
        <f>Orders[[#This Row],[Quantity]]*Orders[[#This Row],[Cost Price]]</f>
        <v>31904.58</v>
      </c>
      <c r="L792" s="13">
        <f>Orders[[#This Row],[Revenue]]-Orders[[#This Row],[Expenses]]</f>
        <v>5630.2200000000012</v>
      </c>
      <c r="M792" t="s">
        <v>2217</v>
      </c>
      <c r="N792" t="str">
        <f>_xlfn.XLOOKUP(Orders[[#This Row],[CustomerID]],Customers[CustomerID],Customers[CustomerName])</f>
        <v>Bisi Ojo</v>
      </c>
      <c r="O792" t="str">
        <f>_xlfn.XLOOKUP(Orders[[#This Row],[CustomerID]],Customers[CustomerID],Customers[City])</f>
        <v>Texas</v>
      </c>
      <c r="P792" t="str">
        <f>_xlfn.XLOOKUP(Orders[[#This Row],[CustomerID]],Customers[CustomerID],Customers[Gender])</f>
        <v>Female</v>
      </c>
      <c r="Q792">
        <f>_xlfn.XLOOKUP(Orders[[#This Row],[CustomerID]],Customers[CustomerID],Customers[CustomerAge])</f>
        <v>26</v>
      </c>
      <c r="R792" t="str">
        <f>IF(Orders[[#This Row],[CustomerAge]]&gt;=35, "Older", "Young")</f>
        <v>Young</v>
      </c>
      <c r="S792" t="str">
        <f>_xlfn.XLOOKUP(Orders[[#This Row],[ProductID]],Products[ProductID],Products[ProductName])</f>
        <v>Beaded Earrings And Necklaces</v>
      </c>
      <c r="T792" t="str">
        <f>_xlfn.XLOOKUP(Orders[[#This Row],[ProductID]],Products[ProductID],Products[Category])</f>
        <v>Accessories</v>
      </c>
    </row>
    <row r="793" spans="1:20" x14ac:dyDescent="0.25">
      <c r="A793" s="4" t="s">
        <v>982</v>
      </c>
      <c r="B793" s="5">
        <v>46006</v>
      </c>
      <c r="C793" s="15">
        <f>WEEKNUM(Orders[[#This Row],[OrderDate]])</f>
        <v>51</v>
      </c>
      <c r="D793" s="15" t="str">
        <f>TEXT(Orders[[#This Row],[OrderDate]],"mmmm")</f>
        <v>December</v>
      </c>
      <c r="E793" s="4" t="s">
        <v>180</v>
      </c>
      <c r="F793" s="4" t="s">
        <v>34</v>
      </c>
      <c r="G793" s="4">
        <v>10</v>
      </c>
      <c r="H793" s="12">
        <v>16288.099999999999</v>
      </c>
      <c r="I793" s="13">
        <v>13844.884999999998</v>
      </c>
      <c r="J793" s="13">
        <f>Orders[[#This Row],[Quantity]]*Orders[[#This Row],[Selling Price]]</f>
        <v>162881</v>
      </c>
      <c r="K793" s="13">
        <f>Orders[[#This Row],[Quantity]]*Orders[[#This Row],[Cost Price]]</f>
        <v>138448.84999999998</v>
      </c>
      <c r="L793" s="13">
        <f>Orders[[#This Row],[Revenue]]-Orders[[#This Row],[Expenses]]</f>
        <v>24432.150000000023</v>
      </c>
      <c r="M793" t="s">
        <v>2205</v>
      </c>
      <c r="N793" t="str">
        <f>_xlfn.XLOOKUP(Orders[[#This Row],[CustomerID]],Customers[CustomerID],Customers[CustomerName])</f>
        <v>Jide Okonkwo</v>
      </c>
      <c r="O793" t="str">
        <f>_xlfn.XLOOKUP(Orders[[#This Row],[CustomerID]],Customers[CustomerID],Customers[City])</f>
        <v>Texas</v>
      </c>
      <c r="P793" t="str">
        <f>_xlfn.XLOOKUP(Orders[[#This Row],[CustomerID]],Customers[CustomerID],Customers[Gender])</f>
        <v>Male</v>
      </c>
      <c r="Q793">
        <f>_xlfn.XLOOKUP(Orders[[#This Row],[CustomerID]],Customers[CustomerID],Customers[CustomerAge])</f>
        <v>25</v>
      </c>
      <c r="R793" t="str">
        <f>IF(Orders[[#This Row],[CustomerAge]]&gt;=35, "Older", "Young")</f>
        <v>Young</v>
      </c>
      <c r="S793" t="str">
        <f>_xlfn.XLOOKUP(Orders[[#This Row],[ProductID]],Products[ProductID],Products[ProductName])</f>
        <v>Gold Bracelets</v>
      </c>
      <c r="T793" t="str">
        <f>_xlfn.XLOOKUP(Orders[[#This Row],[ProductID]],Products[ProductID],Products[Category])</f>
        <v>Accessories</v>
      </c>
    </row>
    <row r="794" spans="1:20" x14ac:dyDescent="0.25">
      <c r="A794" s="4" t="s">
        <v>983</v>
      </c>
      <c r="B794" s="5">
        <v>45944</v>
      </c>
      <c r="C794" s="15">
        <f>WEEKNUM(Orders[[#This Row],[OrderDate]])</f>
        <v>42</v>
      </c>
      <c r="D794" s="15" t="str">
        <f>TEXT(Orders[[#This Row],[OrderDate]],"mmmm")</f>
        <v>October</v>
      </c>
      <c r="E794" s="4" t="s">
        <v>134</v>
      </c>
      <c r="F794" s="4" t="s">
        <v>12</v>
      </c>
      <c r="G794" s="4">
        <v>6</v>
      </c>
      <c r="H794" s="12">
        <v>2286.5</v>
      </c>
      <c r="I794" s="13">
        <v>1943.5250000000001</v>
      </c>
      <c r="J794" s="13">
        <f>Orders[[#This Row],[Quantity]]*Orders[[#This Row],[Selling Price]]</f>
        <v>13719</v>
      </c>
      <c r="K794" s="13">
        <f>Orders[[#This Row],[Quantity]]*Orders[[#This Row],[Cost Price]]</f>
        <v>11661.150000000001</v>
      </c>
      <c r="L794" s="13">
        <f>Orders[[#This Row],[Revenue]]-Orders[[#This Row],[Expenses]]</f>
        <v>2057.8499999999985</v>
      </c>
      <c r="M794" t="s">
        <v>2199</v>
      </c>
      <c r="N794" t="str">
        <f>_xlfn.XLOOKUP(Orders[[#This Row],[CustomerID]],Customers[CustomerID],Customers[CustomerName])</f>
        <v>Ngozi Ojo</v>
      </c>
      <c r="O794" t="str">
        <f>_xlfn.XLOOKUP(Orders[[#This Row],[CustomerID]],Customers[CustomerID],Customers[City])</f>
        <v>Florida</v>
      </c>
      <c r="P794" t="str">
        <f>_xlfn.XLOOKUP(Orders[[#This Row],[CustomerID]],Customers[CustomerID],Customers[Gender])</f>
        <v>Female</v>
      </c>
      <c r="Q794">
        <f>_xlfn.XLOOKUP(Orders[[#This Row],[CustomerID]],Customers[CustomerID],Customers[CustomerAge])</f>
        <v>18</v>
      </c>
      <c r="R794" t="str">
        <f>IF(Orders[[#This Row],[CustomerAge]]&gt;=35, "Older", "Young")</f>
        <v>Young</v>
      </c>
      <c r="S794" t="str">
        <f>_xlfn.XLOOKUP(Orders[[#This Row],[ProductID]],Products[ProductID],Products[ProductName])</f>
        <v>Boubou</v>
      </c>
      <c r="T794" t="str">
        <f>_xlfn.XLOOKUP(Orders[[#This Row],[ProductID]],Products[ProductID],Products[Category])</f>
        <v>Clothing</v>
      </c>
    </row>
    <row r="795" spans="1:20" x14ac:dyDescent="0.25">
      <c r="A795" s="4" t="s">
        <v>984</v>
      </c>
      <c r="B795" s="5">
        <v>45938</v>
      </c>
      <c r="C795" s="15">
        <f>WEEKNUM(Orders[[#This Row],[OrderDate]])</f>
        <v>41</v>
      </c>
      <c r="D795" s="15" t="str">
        <f>TEXT(Orders[[#This Row],[OrderDate]],"mmmm")</f>
        <v>October</v>
      </c>
      <c r="E795" s="4" t="s">
        <v>244</v>
      </c>
      <c r="F795" s="4" t="s">
        <v>66</v>
      </c>
      <c r="G795" s="4">
        <v>1</v>
      </c>
      <c r="H795" s="12">
        <v>14319.8</v>
      </c>
      <c r="I795" s="13">
        <v>12171.83</v>
      </c>
      <c r="J795" s="13">
        <f>Orders[[#This Row],[Quantity]]*Orders[[#This Row],[Selling Price]]</f>
        <v>14319.8</v>
      </c>
      <c r="K795" s="13">
        <f>Orders[[#This Row],[Quantity]]*Orders[[#This Row],[Cost Price]]</f>
        <v>12171.83</v>
      </c>
      <c r="L795" s="13">
        <f>Orders[[#This Row],[Revenue]]-Orders[[#This Row],[Expenses]]</f>
        <v>2147.9699999999993</v>
      </c>
      <c r="M795" t="s">
        <v>2209</v>
      </c>
      <c r="N795" t="str">
        <f>_xlfn.XLOOKUP(Orders[[#This Row],[CustomerID]],Customers[CustomerID],Customers[CustomerName])</f>
        <v>Zainab Abubakar</v>
      </c>
      <c r="O795" t="str">
        <f>_xlfn.XLOOKUP(Orders[[#This Row],[CustomerID]],Customers[CustomerID],Customers[City])</f>
        <v>Texas</v>
      </c>
      <c r="P795" t="str">
        <f>_xlfn.XLOOKUP(Orders[[#This Row],[CustomerID]],Customers[CustomerID],Customers[Gender])</f>
        <v>Female</v>
      </c>
      <c r="Q795">
        <f>_xlfn.XLOOKUP(Orders[[#This Row],[CustomerID]],Customers[CustomerID],Customers[CustomerAge])</f>
        <v>33</v>
      </c>
      <c r="R795" t="str">
        <f>IF(Orders[[#This Row],[CustomerAge]]&gt;=35, "Older", "Young")</f>
        <v>Young</v>
      </c>
      <c r="S795" t="str">
        <f>_xlfn.XLOOKUP(Orders[[#This Row],[ProductID]],Products[ProductID],Products[ProductName])</f>
        <v>Microwave</v>
      </c>
      <c r="T795" t="str">
        <f>_xlfn.XLOOKUP(Orders[[#This Row],[ProductID]],Products[ProductID],Products[Category])</f>
        <v>Electronics</v>
      </c>
    </row>
    <row r="796" spans="1:20" x14ac:dyDescent="0.25">
      <c r="A796" s="4" t="s">
        <v>985</v>
      </c>
      <c r="B796" s="5">
        <v>46009</v>
      </c>
      <c r="C796" s="15">
        <f>WEEKNUM(Orders[[#This Row],[OrderDate]])</f>
        <v>51</v>
      </c>
      <c r="D796" s="15" t="str">
        <f>TEXT(Orders[[#This Row],[OrderDate]],"mmmm")</f>
        <v>December</v>
      </c>
      <c r="E796" s="4" t="s">
        <v>252</v>
      </c>
      <c r="F796" s="4" t="s">
        <v>60</v>
      </c>
      <c r="G796" s="4">
        <v>8</v>
      </c>
      <c r="H796" s="12">
        <v>6289.5</v>
      </c>
      <c r="I796" s="13">
        <v>5346.0749999999998</v>
      </c>
      <c r="J796" s="13">
        <f>Orders[[#This Row],[Quantity]]*Orders[[#This Row],[Selling Price]]</f>
        <v>50316</v>
      </c>
      <c r="K796" s="13">
        <f>Orders[[#This Row],[Quantity]]*Orders[[#This Row],[Cost Price]]</f>
        <v>42768.6</v>
      </c>
      <c r="L796" s="13">
        <f>Orders[[#This Row],[Revenue]]-Orders[[#This Row],[Expenses]]</f>
        <v>7547.4000000000015</v>
      </c>
      <c r="M796" t="s">
        <v>2215</v>
      </c>
      <c r="N796" t="str">
        <f>_xlfn.XLOOKUP(Orders[[#This Row],[CustomerID]],Customers[CustomerID],Customers[CustomerName])</f>
        <v>Chioma Adeyemi</v>
      </c>
      <c r="O796" t="str">
        <f>_xlfn.XLOOKUP(Orders[[#This Row],[CustomerID]],Customers[CustomerID],Customers[City])</f>
        <v>Texas</v>
      </c>
      <c r="P796" t="str">
        <f>_xlfn.XLOOKUP(Orders[[#This Row],[CustomerID]],Customers[CustomerID],Customers[Gender])</f>
        <v>Female</v>
      </c>
      <c r="Q796">
        <f>_xlfn.XLOOKUP(Orders[[#This Row],[CustomerID]],Customers[CustomerID],Customers[CustomerAge])</f>
        <v>20</v>
      </c>
      <c r="R796" t="str">
        <f>IF(Orders[[#This Row],[CustomerAge]]&gt;=35, "Older", "Young")</f>
        <v>Young</v>
      </c>
      <c r="S796" t="str">
        <f>_xlfn.XLOOKUP(Orders[[#This Row],[ProductID]],Products[ProductID],Products[ProductName])</f>
        <v>Silver Rings</v>
      </c>
      <c r="T796" t="str">
        <f>_xlfn.XLOOKUP(Orders[[#This Row],[ProductID]],Products[ProductID],Products[Category])</f>
        <v>Accessories</v>
      </c>
    </row>
    <row r="797" spans="1:20" x14ac:dyDescent="0.25">
      <c r="A797" s="4" t="s">
        <v>986</v>
      </c>
      <c r="B797" s="5">
        <v>45975</v>
      </c>
      <c r="C797" s="15">
        <f>WEEKNUM(Orders[[#This Row],[OrderDate]])</f>
        <v>46</v>
      </c>
      <c r="D797" s="15" t="str">
        <f>TEXT(Orders[[#This Row],[OrderDate]],"mmmm")</f>
        <v>November</v>
      </c>
      <c r="E797" s="4" t="s">
        <v>11</v>
      </c>
      <c r="F797" s="4" t="s">
        <v>208</v>
      </c>
      <c r="G797" s="4">
        <v>5</v>
      </c>
      <c r="H797" s="12">
        <v>15382.7</v>
      </c>
      <c r="I797" s="13">
        <v>13075.295</v>
      </c>
      <c r="J797" s="13">
        <f>Orders[[#This Row],[Quantity]]*Orders[[#This Row],[Selling Price]]</f>
        <v>76913.5</v>
      </c>
      <c r="K797" s="13">
        <f>Orders[[#This Row],[Quantity]]*Orders[[#This Row],[Cost Price]]</f>
        <v>65376.474999999999</v>
      </c>
      <c r="L797" s="13">
        <f>Orders[[#This Row],[Revenue]]-Orders[[#This Row],[Expenses]]</f>
        <v>11537.025000000001</v>
      </c>
      <c r="M797" t="s">
        <v>2219</v>
      </c>
      <c r="N797" t="str">
        <f>_xlfn.XLOOKUP(Orders[[#This Row],[CustomerID]],Customers[CustomerID],Customers[CustomerName])</f>
        <v>Efe Ojo</v>
      </c>
      <c r="O797" t="str">
        <f>_xlfn.XLOOKUP(Orders[[#This Row],[CustomerID]],Customers[CustomerID],Customers[City])</f>
        <v>Texas</v>
      </c>
      <c r="P797" t="str">
        <f>_xlfn.XLOOKUP(Orders[[#This Row],[CustomerID]],Customers[CustomerID],Customers[Gender])</f>
        <v>Female</v>
      </c>
      <c r="Q797">
        <f>_xlfn.XLOOKUP(Orders[[#This Row],[CustomerID]],Customers[CustomerID],Customers[CustomerAge])</f>
        <v>55</v>
      </c>
      <c r="R797" t="str">
        <f>IF(Orders[[#This Row],[CustomerAge]]&gt;=35, "Older", "Young")</f>
        <v>Older</v>
      </c>
      <c r="S797" t="str">
        <f>_xlfn.XLOOKUP(Orders[[#This Row],[ProductID]],Products[ProductID],Products[ProductName])</f>
        <v>Skipping Rope</v>
      </c>
      <c r="T797" t="str">
        <f>_xlfn.XLOOKUP(Orders[[#This Row],[ProductID]],Products[ProductID],Products[Category])</f>
        <v>Sports</v>
      </c>
    </row>
    <row r="798" spans="1:20" x14ac:dyDescent="0.25">
      <c r="A798" s="4" t="s">
        <v>987</v>
      </c>
      <c r="B798" s="5">
        <v>45934</v>
      </c>
      <c r="C798" s="15">
        <f>WEEKNUM(Orders[[#This Row],[OrderDate]])</f>
        <v>40</v>
      </c>
      <c r="D798" s="15" t="str">
        <f>TEXT(Orders[[#This Row],[OrderDate]],"mmmm")</f>
        <v>October</v>
      </c>
      <c r="E798" s="4" t="s">
        <v>78</v>
      </c>
      <c r="F798" s="4" t="s">
        <v>37</v>
      </c>
      <c r="G798" s="4">
        <v>1</v>
      </c>
      <c r="H798" s="12">
        <v>19465.099999999999</v>
      </c>
      <c r="I798" s="13">
        <v>16545.334999999999</v>
      </c>
      <c r="J798" s="13">
        <f>Orders[[#This Row],[Quantity]]*Orders[[#This Row],[Selling Price]]</f>
        <v>19465.099999999999</v>
      </c>
      <c r="K798" s="13">
        <f>Orders[[#This Row],[Quantity]]*Orders[[#This Row],[Cost Price]]</f>
        <v>16545.334999999999</v>
      </c>
      <c r="L798" s="13">
        <f>Orders[[#This Row],[Revenue]]-Orders[[#This Row],[Expenses]]</f>
        <v>2919.7649999999994</v>
      </c>
      <c r="M798" t="s">
        <v>2219</v>
      </c>
      <c r="N798" t="str">
        <f>_xlfn.XLOOKUP(Orders[[#This Row],[CustomerID]],Customers[CustomerID],Customers[CustomerName])</f>
        <v>Chinedu Obi</v>
      </c>
      <c r="O798" t="str">
        <f>_xlfn.XLOOKUP(Orders[[#This Row],[CustomerID]],Customers[CustomerID],Customers[City])</f>
        <v>Washington</v>
      </c>
      <c r="P798" t="str">
        <f>_xlfn.XLOOKUP(Orders[[#This Row],[CustomerID]],Customers[CustomerID],Customers[Gender])</f>
        <v>Male</v>
      </c>
      <c r="Q798">
        <f>_xlfn.XLOOKUP(Orders[[#This Row],[CustomerID]],Customers[CustomerID],Customers[CustomerAge])</f>
        <v>38</v>
      </c>
      <c r="R798" t="str">
        <f>IF(Orders[[#This Row],[CustomerAge]]&gt;=35, "Older", "Young")</f>
        <v>Older</v>
      </c>
      <c r="S798" t="str">
        <f>_xlfn.XLOOKUP(Orders[[#This Row],[ProductID]],Products[ProductID],Products[ProductName])</f>
        <v>Iron</v>
      </c>
      <c r="T798" t="str">
        <f>_xlfn.XLOOKUP(Orders[[#This Row],[ProductID]],Products[ProductID],Products[Category])</f>
        <v>Electronics</v>
      </c>
    </row>
    <row r="799" spans="1:20" x14ac:dyDescent="0.25">
      <c r="A799" s="4" t="s">
        <v>988</v>
      </c>
      <c r="B799" s="5">
        <v>45938</v>
      </c>
      <c r="C799" s="15">
        <f>WEEKNUM(Orders[[#This Row],[OrderDate]])</f>
        <v>41</v>
      </c>
      <c r="D799" s="15" t="str">
        <f>TEXT(Orders[[#This Row],[OrderDate]],"mmmm")</f>
        <v>October</v>
      </c>
      <c r="E799" s="4" t="s">
        <v>43</v>
      </c>
      <c r="F799" s="4" t="s">
        <v>28</v>
      </c>
      <c r="G799" s="4">
        <v>1</v>
      </c>
      <c r="H799" s="12">
        <v>15232.8</v>
      </c>
      <c r="I799" s="13">
        <v>12947.88</v>
      </c>
      <c r="J799" s="13">
        <f>Orders[[#This Row],[Quantity]]*Orders[[#This Row],[Selling Price]]</f>
        <v>15232.8</v>
      </c>
      <c r="K799" s="13">
        <f>Orders[[#This Row],[Quantity]]*Orders[[#This Row],[Cost Price]]</f>
        <v>12947.88</v>
      </c>
      <c r="L799" s="13">
        <f>Orders[[#This Row],[Revenue]]-Orders[[#This Row],[Expenses]]</f>
        <v>2284.92</v>
      </c>
      <c r="M799" t="s">
        <v>2211</v>
      </c>
      <c r="N799" t="str">
        <f>_xlfn.XLOOKUP(Orders[[#This Row],[CustomerID]],Customers[CustomerID],Customers[CustomerName])</f>
        <v>Mustafa Danladi</v>
      </c>
      <c r="O799" t="str">
        <f>_xlfn.XLOOKUP(Orders[[#This Row],[CustomerID]],Customers[CustomerID],Customers[City])</f>
        <v>Georgia</v>
      </c>
      <c r="P799" t="str">
        <f>_xlfn.XLOOKUP(Orders[[#This Row],[CustomerID]],Customers[CustomerID],Customers[Gender])</f>
        <v>Male</v>
      </c>
      <c r="Q799">
        <f>_xlfn.XLOOKUP(Orders[[#This Row],[CustomerID]],Customers[CustomerID],Customers[CustomerAge])</f>
        <v>49</v>
      </c>
      <c r="R799" t="str">
        <f>IF(Orders[[#This Row],[CustomerAge]]&gt;=35, "Older", "Young")</f>
        <v>Older</v>
      </c>
      <c r="S799" t="str">
        <f>_xlfn.XLOOKUP(Orders[[#This Row],[ProductID]],Products[ProductID],Products[ProductName])</f>
        <v>Sneakers</v>
      </c>
      <c r="T799" t="str">
        <f>_xlfn.XLOOKUP(Orders[[#This Row],[ProductID]],Products[ProductID],Products[Category])</f>
        <v>Sports</v>
      </c>
    </row>
    <row r="800" spans="1:20" x14ac:dyDescent="0.25">
      <c r="A800" s="4" t="s">
        <v>989</v>
      </c>
      <c r="B800" s="5">
        <v>45980</v>
      </c>
      <c r="C800" s="15">
        <f>WEEKNUM(Orders[[#This Row],[OrderDate]])</f>
        <v>47</v>
      </c>
      <c r="D800" s="15" t="str">
        <f>TEXT(Orders[[#This Row],[OrderDate]],"mmmm")</f>
        <v>November</v>
      </c>
      <c r="E800" s="4" t="s">
        <v>507</v>
      </c>
      <c r="F800" s="4" t="s">
        <v>127</v>
      </c>
      <c r="G800" s="4">
        <v>8</v>
      </c>
      <c r="H800" s="12">
        <v>15892.1</v>
      </c>
      <c r="I800" s="13">
        <v>13508.285</v>
      </c>
      <c r="J800" s="13">
        <f>Orders[[#This Row],[Quantity]]*Orders[[#This Row],[Selling Price]]</f>
        <v>127136.8</v>
      </c>
      <c r="K800" s="13">
        <f>Orders[[#This Row],[Quantity]]*Orders[[#This Row],[Cost Price]]</f>
        <v>108066.28</v>
      </c>
      <c r="L800" s="13">
        <f>Orders[[#This Row],[Revenue]]-Orders[[#This Row],[Expenses]]</f>
        <v>19070.520000000004</v>
      </c>
      <c r="M800" t="s">
        <v>2213</v>
      </c>
      <c r="N800" t="str">
        <f>_xlfn.XLOOKUP(Orders[[#This Row],[CustomerID]],Customers[CustomerID],Customers[CustomerName])</f>
        <v>Temi Okonkwo</v>
      </c>
      <c r="O800" t="str">
        <f>_xlfn.XLOOKUP(Orders[[#This Row],[CustomerID]],Customers[CustomerID],Customers[City])</f>
        <v>Washington</v>
      </c>
      <c r="P800" t="str">
        <f>_xlfn.XLOOKUP(Orders[[#This Row],[CustomerID]],Customers[CustomerID],Customers[Gender])</f>
        <v>Female</v>
      </c>
      <c r="Q800">
        <f>_xlfn.XLOOKUP(Orders[[#This Row],[CustomerID]],Customers[CustomerID],Customers[CustomerAge])</f>
        <v>35</v>
      </c>
      <c r="R800" t="str">
        <f>IF(Orders[[#This Row],[CustomerAge]]&gt;=35, "Older", "Young")</f>
        <v>Older</v>
      </c>
      <c r="S800" t="str">
        <f>_xlfn.XLOOKUP(Orders[[#This Row],[ProductID]],Products[ProductID],Products[ProductName])</f>
        <v>Tops</v>
      </c>
      <c r="T800" t="str">
        <f>_xlfn.XLOOKUP(Orders[[#This Row],[ProductID]],Products[ProductID],Products[Category])</f>
        <v>Clothing</v>
      </c>
    </row>
    <row r="801" spans="1:20" x14ac:dyDescent="0.25">
      <c r="A801" s="4" t="s">
        <v>990</v>
      </c>
      <c r="B801" s="5">
        <v>45971</v>
      </c>
      <c r="C801" s="15">
        <f>WEEKNUM(Orders[[#This Row],[OrderDate]])</f>
        <v>46</v>
      </c>
      <c r="D801" s="15" t="str">
        <f>TEXT(Orders[[#This Row],[OrderDate]],"mmmm")</f>
        <v>November</v>
      </c>
      <c r="E801" s="4" t="s">
        <v>45</v>
      </c>
      <c r="F801" s="4" t="s">
        <v>76</v>
      </c>
      <c r="G801" s="4">
        <v>5</v>
      </c>
      <c r="H801" s="12">
        <v>2986.9</v>
      </c>
      <c r="I801" s="13">
        <v>2538.8650000000002</v>
      </c>
      <c r="J801" s="13">
        <f>Orders[[#This Row],[Quantity]]*Orders[[#This Row],[Selling Price]]</f>
        <v>14934.5</v>
      </c>
      <c r="K801" s="13">
        <f>Orders[[#This Row],[Quantity]]*Orders[[#This Row],[Cost Price]]</f>
        <v>12694.325000000001</v>
      </c>
      <c r="L801" s="13">
        <f>Orders[[#This Row],[Revenue]]-Orders[[#This Row],[Expenses]]</f>
        <v>2240.1749999999993</v>
      </c>
      <c r="M801" t="s">
        <v>2202</v>
      </c>
      <c r="N801" t="str">
        <f>_xlfn.XLOOKUP(Orders[[#This Row],[CustomerID]],Customers[CustomerID],Customers[CustomerName])</f>
        <v>Abiola Abubakar</v>
      </c>
      <c r="O801" t="str">
        <f>_xlfn.XLOOKUP(Orders[[#This Row],[CustomerID]],Customers[CustomerID],Customers[City])</f>
        <v>Florida</v>
      </c>
      <c r="P801" t="str">
        <f>_xlfn.XLOOKUP(Orders[[#This Row],[CustomerID]],Customers[CustomerID],Customers[Gender])</f>
        <v>Male</v>
      </c>
      <c r="Q801">
        <f>_xlfn.XLOOKUP(Orders[[#This Row],[CustomerID]],Customers[CustomerID],Customers[CustomerAge])</f>
        <v>26</v>
      </c>
      <c r="R801" t="str">
        <f>IF(Orders[[#This Row],[CustomerAge]]&gt;=35, "Older", "Young")</f>
        <v>Young</v>
      </c>
      <c r="S801" t="str">
        <f>_xlfn.XLOOKUP(Orders[[#This Row],[ProductID]],Products[ProductID],Products[ProductName])</f>
        <v>Blender</v>
      </c>
      <c r="T801" t="str">
        <f>_xlfn.XLOOKUP(Orders[[#This Row],[ProductID]],Products[ProductID],Products[Category])</f>
        <v>Electronics</v>
      </c>
    </row>
    <row r="802" spans="1:20" x14ac:dyDescent="0.25">
      <c r="A802" s="4" t="s">
        <v>991</v>
      </c>
      <c r="B802" s="5">
        <v>46019</v>
      </c>
      <c r="C802" s="15">
        <f>WEEKNUM(Orders[[#This Row],[OrderDate]])</f>
        <v>53</v>
      </c>
      <c r="D802" s="15" t="str">
        <f>TEXT(Orders[[#This Row],[OrderDate]],"mmmm")</f>
        <v>December</v>
      </c>
      <c r="E802" s="4" t="s">
        <v>8</v>
      </c>
      <c r="F802" s="4" t="s">
        <v>130</v>
      </c>
      <c r="G802" s="4">
        <v>6</v>
      </c>
      <c r="H802" s="12">
        <v>4976.2</v>
      </c>
      <c r="I802" s="13">
        <v>4229.7699999999995</v>
      </c>
      <c r="J802" s="13">
        <f>Orders[[#This Row],[Quantity]]*Orders[[#This Row],[Selling Price]]</f>
        <v>29857.199999999997</v>
      </c>
      <c r="K802" s="13">
        <f>Orders[[#This Row],[Quantity]]*Orders[[#This Row],[Cost Price]]</f>
        <v>25378.619999999995</v>
      </c>
      <c r="L802" s="13">
        <f>Orders[[#This Row],[Revenue]]-Orders[[#This Row],[Expenses]]</f>
        <v>4478.5800000000017</v>
      </c>
      <c r="M802" t="s">
        <v>2217</v>
      </c>
      <c r="N802" t="str">
        <f>_xlfn.XLOOKUP(Orders[[#This Row],[CustomerID]],Customers[CustomerID],Customers[CustomerName])</f>
        <v>Bi si Bello</v>
      </c>
      <c r="O802" t="str">
        <f>_xlfn.XLOOKUP(Orders[[#This Row],[CustomerID]],Customers[CustomerID],Customers[City])</f>
        <v>Washington</v>
      </c>
      <c r="P802" t="str">
        <f>_xlfn.XLOOKUP(Orders[[#This Row],[CustomerID]],Customers[CustomerID],Customers[Gender])</f>
        <v>Female</v>
      </c>
      <c r="Q802">
        <f>_xlfn.XLOOKUP(Orders[[#This Row],[CustomerID]],Customers[CustomerID],Customers[CustomerAge])</f>
        <v>38</v>
      </c>
      <c r="R802" t="str">
        <f>IF(Orders[[#This Row],[CustomerAge]]&gt;=35, "Older", "Young")</f>
        <v>Older</v>
      </c>
      <c r="S802" t="str">
        <f>_xlfn.XLOOKUP(Orders[[#This Row],[ProductID]],Products[ProductID],Products[ProductName])</f>
        <v>Gold Earrings And Necklaces</v>
      </c>
      <c r="T802" t="str">
        <f>_xlfn.XLOOKUP(Orders[[#This Row],[ProductID]],Products[ProductID],Products[Category])</f>
        <v>Accessories</v>
      </c>
    </row>
    <row r="803" spans="1:20" x14ac:dyDescent="0.25">
      <c r="A803" s="4" t="s">
        <v>992</v>
      </c>
      <c r="B803" s="5">
        <v>45976</v>
      </c>
      <c r="C803" s="15">
        <f>WEEKNUM(Orders[[#This Row],[OrderDate]])</f>
        <v>46</v>
      </c>
      <c r="D803" s="15" t="str">
        <f>TEXT(Orders[[#This Row],[OrderDate]],"mmmm")</f>
        <v>November</v>
      </c>
      <c r="E803" s="4" t="s">
        <v>178</v>
      </c>
      <c r="F803" s="4" t="s">
        <v>57</v>
      </c>
      <c r="G803" s="4">
        <v>6</v>
      </c>
      <c r="H803" s="12">
        <v>11191.6</v>
      </c>
      <c r="I803" s="13">
        <v>9512.86</v>
      </c>
      <c r="J803" s="13">
        <f>Orders[[#This Row],[Quantity]]*Orders[[#This Row],[Selling Price]]</f>
        <v>67149.600000000006</v>
      </c>
      <c r="K803" s="13">
        <f>Orders[[#This Row],[Quantity]]*Orders[[#This Row],[Cost Price]]</f>
        <v>57077.16</v>
      </c>
      <c r="L803" s="13">
        <f>Orders[[#This Row],[Revenue]]-Orders[[#This Row],[Expenses]]</f>
        <v>10072.440000000002</v>
      </c>
      <c r="M803" t="s">
        <v>2205</v>
      </c>
      <c r="N803" t="str">
        <f>_xlfn.XLOOKUP(Orders[[#This Row],[CustomerID]],Customers[CustomerID],Customers[CustomerName])</f>
        <v>Ibrahim Igwe</v>
      </c>
      <c r="O803" t="str">
        <f>_xlfn.XLOOKUP(Orders[[#This Row],[CustomerID]],Customers[CustomerID],Customers[City])</f>
        <v>Florida</v>
      </c>
      <c r="P803" t="str">
        <f>_xlfn.XLOOKUP(Orders[[#This Row],[CustomerID]],Customers[CustomerID],Customers[Gender])</f>
        <v>Male</v>
      </c>
      <c r="Q803">
        <f>_xlfn.XLOOKUP(Orders[[#This Row],[CustomerID]],Customers[CustomerID],Customers[CustomerAge])</f>
        <v>19</v>
      </c>
      <c r="R803" t="str">
        <f>IF(Orders[[#This Row],[CustomerAge]]&gt;=35, "Older", "Young")</f>
        <v>Young</v>
      </c>
      <c r="S803" t="str">
        <f>_xlfn.XLOOKUP(Orders[[#This Row],[ProductID]],Products[ProductID],Products[ProductName])</f>
        <v>Badminton Racket</v>
      </c>
      <c r="T803" t="str">
        <f>_xlfn.XLOOKUP(Orders[[#This Row],[ProductID]],Products[ProductID],Products[Category])</f>
        <v>Sports</v>
      </c>
    </row>
    <row r="804" spans="1:20" x14ac:dyDescent="0.25">
      <c r="A804" s="4" t="s">
        <v>993</v>
      </c>
      <c r="B804" s="5">
        <v>46013</v>
      </c>
      <c r="C804" s="15">
        <f>WEEKNUM(Orders[[#This Row],[OrderDate]])</f>
        <v>52</v>
      </c>
      <c r="D804" s="15" t="str">
        <f>TEXT(Orders[[#This Row],[OrderDate]],"mmmm")</f>
        <v>December</v>
      </c>
      <c r="E804" s="4" t="s">
        <v>552</v>
      </c>
      <c r="F804" s="4" t="s">
        <v>9</v>
      </c>
      <c r="G804" s="4">
        <v>3</v>
      </c>
      <c r="H804" s="12">
        <v>18554.599999999999</v>
      </c>
      <c r="I804" s="13">
        <v>15771.41</v>
      </c>
      <c r="J804" s="13">
        <f>Orders[[#This Row],[Quantity]]*Orders[[#This Row],[Selling Price]]</f>
        <v>55663.799999999996</v>
      </c>
      <c r="K804" s="13">
        <f>Orders[[#This Row],[Quantity]]*Orders[[#This Row],[Cost Price]]</f>
        <v>47314.229999999996</v>
      </c>
      <c r="L804" s="13">
        <f>Orders[[#This Row],[Revenue]]-Orders[[#This Row],[Expenses]]</f>
        <v>8349.57</v>
      </c>
      <c r="M804" t="s">
        <v>2199</v>
      </c>
      <c r="N804" t="str">
        <f>_xlfn.XLOOKUP(Orders[[#This Row],[CustomerID]],Customers[CustomerID],Customers[CustomerName])</f>
        <v>Chioma Eze</v>
      </c>
      <c r="O804" t="str">
        <f>_xlfn.XLOOKUP(Orders[[#This Row],[CustomerID]],Customers[CustomerID],Customers[City])</f>
        <v>Georgia</v>
      </c>
      <c r="P804" t="str">
        <f>_xlfn.XLOOKUP(Orders[[#This Row],[CustomerID]],Customers[CustomerID],Customers[Gender])</f>
        <v>Female</v>
      </c>
      <c r="Q804">
        <f>_xlfn.XLOOKUP(Orders[[#This Row],[CustomerID]],Customers[CustomerID],Customers[CustomerAge])</f>
        <v>40</v>
      </c>
      <c r="R804" t="str">
        <f>IF(Orders[[#This Row],[CustomerAge]]&gt;=35, "Older", "Young")</f>
        <v>Older</v>
      </c>
      <c r="S804" t="str">
        <f>_xlfn.XLOOKUP(Orders[[#This Row],[ProductID]],Products[ProductID],Products[ProductName])</f>
        <v>Beaded Earrings And Necklaces</v>
      </c>
      <c r="T804" t="str">
        <f>_xlfn.XLOOKUP(Orders[[#This Row],[ProductID]],Products[ProductID],Products[Category])</f>
        <v>Accessories</v>
      </c>
    </row>
    <row r="805" spans="1:20" x14ac:dyDescent="0.25">
      <c r="A805" s="4" t="s">
        <v>994</v>
      </c>
      <c r="B805" s="5">
        <v>45951</v>
      </c>
      <c r="C805" s="15">
        <f>WEEKNUM(Orders[[#This Row],[OrderDate]])</f>
        <v>43</v>
      </c>
      <c r="D805" s="15" t="str">
        <f>TEXT(Orders[[#This Row],[OrderDate]],"mmmm")</f>
        <v>October</v>
      </c>
      <c r="E805" s="4" t="s">
        <v>607</v>
      </c>
      <c r="F805" s="4" t="s">
        <v>353</v>
      </c>
      <c r="G805" s="4">
        <v>3</v>
      </c>
      <c r="H805" s="12">
        <v>8806.4</v>
      </c>
      <c r="I805" s="13">
        <v>7485.44</v>
      </c>
      <c r="J805" s="13">
        <f>Orders[[#This Row],[Quantity]]*Orders[[#This Row],[Selling Price]]</f>
        <v>26419.199999999997</v>
      </c>
      <c r="K805" s="13">
        <f>Orders[[#This Row],[Quantity]]*Orders[[#This Row],[Cost Price]]</f>
        <v>22456.32</v>
      </c>
      <c r="L805" s="13">
        <f>Orders[[#This Row],[Revenue]]-Orders[[#This Row],[Expenses]]</f>
        <v>3962.8799999999974</v>
      </c>
      <c r="M805" t="s">
        <v>2217</v>
      </c>
      <c r="N805" t="str">
        <f>_xlfn.XLOOKUP(Orders[[#This Row],[CustomerID]],Customers[CustomerID],Customers[CustomerName])</f>
        <v>Folasade Ojo</v>
      </c>
      <c r="O805" t="str">
        <f>_xlfn.XLOOKUP(Orders[[#This Row],[CustomerID]],Customers[CustomerID],Customers[City])</f>
        <v>Texas</v>
      </c>
      <c r="P805" t="str">
        <f>_xlfn.XLOOKUP(Orders[[#This Row],[CustomerID]],Customers[CustomerID],Customers[Gender])</f>
        <v>Female</v>
      </c>
      <c r="Q805">
        <f>_xlfn.XLOOKUP(Orders[[#This Row],[CustomerID]],Customers[CustomerID],Customers[CustomerAge])</f>
        <v>19</v>
      </c>
      <c r="R805" t="str">
        <f>IF(Orders[[#This Row],[CustomerAge]]&gt;=35, "Older", "Young")</f>
        <v>Young</v>
      </c>
      <c r="S805" t="str">
        <f>_xlfn.XLOOKUP(Orders[[#This Row],[ProductID]],Products[ProductID],Products[ProductName])</f>
        <v>Silver Earrings And Necklaces</v>
      </c>
      <c r="T805" t="str">
        <f>_xlfn.XLOOKUP(Orders[[#This Row],[ProductID]],Products[ProductID],Products[Category])</f>
        <v>Accessories</v>
      </c>
    </row>
    <row r="806" spans="1:20" x14ac:dyDescent="0.25">
      <c r="A806" s="4" t="s">
        <v>995</v>
      </c>
      <c r="B806" s="5">
        <v>45977</v>
      </c>
      <c r="C806" s="15">
        <f>WEEKNUM(Orders[[#This Row],[OrderDate]])</f>
        <v>47</v>
      </c>
      <c r="D806" s="15" t="str">
        <f>TEXT(Orders[[#This Row],[OrderDate]],"mmmm")</f>
        <v>November</v>
      </c>
      <c r="E806" s="4" t="s">
        <v>305</v>
      </c>
      <c r="F806" s="4" t="s">
        <v>31</v>
      </c>
      <c r="G806" s="4">
        <v>4</v>
      </c>
      <c r="H806" s="12">
        <v>7545.2</v>
      </c>
      <c r="I806" s="13">
        <v>6413.42</v>
      </c>
      <c r="J806" s="13">
        <f>Orders[[#This Row],[Quantity]]*Orders[[#This Row],[Selling Price]]</f>
        <v>30180.799999999999</v>
      </c>
      <c r="K806" s="13">
        <f>Orders[[#This Row],[Quantity]]*Orders[[#This Row],[Cost Price]]</f>
        <v>25653.68</v>
      </c>
      <c r="L806" s="13">
        <f>Orders[[#This Row],[Revenue]]-Orders[[#This Row],[Expenses]]</f>
        <v>4527.119999999999</v>
      </c>
      <c r="M806" t="s">
        <v>2208</v>
      </c>
      <c r="N806" t="str">
        <f>_xlfn.XLOOKUP(Orders[[#This Row],[CustomerID]],Customers[CustomerID],Customers[CustomerName])</f>
        <v>Tunde Danladi</v>
      </c>
      <c r="O806" t="str">
        <f>_xlfn.XLOOKUP(Orders[[#This Row],[CustomerID]],Customers[CustomerID],Customers[City])</f>
        <v>California</v>
      </c>
      <c r="P806" t="str">
        <f>_xlfn.XLOOKUP(Orders[[#This Row],[CustomerID]],Customers[CustomerID],Customers[Gender])</f>
        <v>Male</v>
      </c>
      <c r="Q806">
        <f>_xlfn.XLOOKUP(Orders[[#This Row],[CustomerID]],Customers[CustomerID],Customers[CustomerAge])</f>
        <v>40</v>
      </c>
      <c r="R806" t="str">
        <f>IF(Orders[[#This Row],[CustomerAge]]&gt;=35, "Older", "Young")</f>
        <v>Older</v>
      </c>
      <c r="S806" t="str">
        <f>_xlfn.XLOOKUP(Orders[[#This Row],[ProductID]],Products[ProductID],Products[ProductName])</f>
        <v>Kids Games</v>
      </c>
      <c r="T806" t="str">
        <f>_xlfn.XLOOKUP(Orders[[#This Row],[ProductID]],Products[ProductID],Products[Category])</f>
        <v>Games</v>
      </c>
    </row>
    <row r="807" spans="1:20" x14ac:dyDescent="0.25">
      <c r="A807" s="4" t="s">
        <v>996</v>
      </c>
      <c r="B807" s="5">
        <v>45948</v>
      </c>
      <c r="C807" s="15">
        <f>WEEKNUM(Orders[[#This Row],[OrderDate]])</f>
        <v>42</v>
      </c>
      <c r="D807" s="15" t="str">
        <f>TEXT(Orders[[#This Row],[OrderDate]],"mmmm")</f>
        <v>October</v>
      </c>
      <c r="E807" s="4" t="s">
        <v>150</v>
      </c>
      <c r="F807" s="4" t="s">
        <v>130</v>
      </c>
      <c r="G807" s="4">
        <v>1</v>
      </c>
      <c r="H807" s="12">
        <v>14154</v>
      </c>
      <c r="I807" s="13">
        <v>12030.9</v>
      </c>
      <c r="J807" s="13">
        <f>Orders[[#This Row],[Quantity]]*Orders[[#This Row],[Selling Price]]</f>
        <v>14154</v>
      </c>
      <c r="K807" s="13">
        <f>Orders[[#This Row],[Quantity]]*Orders[[#This Row],[Cost Price]]</f>
        <v>12030.9</v>
      </c>
      <c r="L807" s="13">
        <f>Orders[[#This Row],[Revenue]]-Orders[[#This Row],[Expenses]]</f>
        <v>2123.1000000000004</v>
      </c>
      <c r="M807" t="s">
        <v>2192</v>
      </c>
      <c r="N807" t="str">
        <f>_xlfn.XLOOKUP(Orders[[#This Row],[CustomerID]],Customers[CustomerID],Customers[CustomerName])</f>
        <v>Ronke Eze</v>
      </c>
      <c r="O807" t="str">
        <f>_xlfn.XLOOKUP(Orders[[#This Row],[CustomerID]],Customers[CustomerID],Customers[City])</f>
        <v>Georgia</v>
      </c>
      <c r="P807" t="str">
        <f>_xlfn.XLOOKUP(Orders[[#This Row],[CustomerID]],Customers[CustomerID],Customers[Gender])</f>
        <v>Female</v>
      </c>
      <c r="Q807">
        <f>_xlfn.XLOOKUP(Orders[[#This Row],[CustomerID]],Customers[CustomerID],Customers[CustomerAge])</f>
        <v>23</v>
      </c>
      <c r="R807" t="str">
        <f>IF(Orders[[#This Row],[CustomerAge]]&gt;=35, "Older", "Young")</f>
        <v>Young</v>
      </c>
      <c r="S807" t="str">
        <f>_xlfn.XLOOKUP(Orders[[#This Row],[ProductID]],Products[ProductID],Products[ProductName])</f>
        <v>Gold Earrings And Necklaces</v>
      </c>
      <c r="T807" t="str">
        <f>_xlfn.XLOOKUP(Orders[[#This Row],[ProductID]],Products[ProductID],Products[Category])</f>
        <v>Accessories</v>
      </c>
    </row>
    <row r="808" spans="1:20" x14ac:dyDescent="0.25">
      <c r="A808" s="4" t="s">
        <v>997</v>
      </c>
      <c r="B808" s="5">
        <v>45978</v>
      </c>
      <c r="C808" s="15">
        <f>WEEKNUM(Orders[[#This Row],[OrderDate]])</f>
        <v>47</v>
      </c>
      <c r="D808" s="15" t="str">
        <f>TEXT(Orders[[#This Row],[OrderDate]],"mmmm")</f>
        <v>November</v>
      </c>
      <c r="E808" s="4" t="s">
        <v>180</v>
      </c>
      <c r="F808" s="4" t="s">
        <v>20</v>
      </c>
      <c r="G808" s="4">
        <v>10</v>
      </c>
      <c r="H808" s="12">
        <v>5149.2999999999993</v>
      </c>
      <c r="I808" s="13">
        <v>4376.9049999999997</v>
      </c>
      <c r="J808" s="13">
        <f>Orders[[#This Row],[Quantity]]*Orders[[#This Row],[Selling Price]]</f>
        <v>51492.999999999993</v>
      </c>
      <c r="K808" s="13">
        <f>Orders[[#This Row],[Quantity]]*Orders[[#This Row],[Cost Price]]</f>
        <v>43769.049999999996</v>
      </c>
      <c r="L808" s="13">
        <f>Orders[[#This Row],[Revenue]]-Orders[[#This Row],[Expenses]]</f>
        <v>7723.9499999999971</v>
      </c>
      <c r="M808" t="s">
        <v>2195</v>
      </c>
      <c r="N808" t="str">
        <f>_xlfn.XLOOKUP(Orders[[#This Row],[CustomerID]],Customers[CustomerID],Customers[CustomerName])</f>
        <v>Jide Okonkwo</v>
      </c>
      <c r="O808" t="str">
        <f>_xlfn.XLOOKUP(Orders[[#This Row],[CustomerID]],Customers[CustomerID],Customers[City])</f>
        <v>Texas</v>
      </c>
      <c r="P808" t="str">
        <f>_xlfn.XLOOKUP(Orders[[#This Row],[CustomerID]],Customers[CustomerID],Customers[Gender])</f>
        <v>Male</v>
      </c>
      <c r="Q808">
        <f>_xlfn.XLOOKUP(Orders[[#This Row],[CustomerID]],Customers[CustomerID],Customers[CustomerAge])</f>
        <v>25</v>
      </c>
      <c r="R808" t="str">
        <f>IF(Orders[[#This Row],[CustomerAge]]&gt;=35, "Older", "Young")</f>
        <v>Young</v>
      </c>
      <c r="S808" t="str">
        <f>_xlfn.XLOOKUP(Orders[[#This Row],[ProductID]],Products[ProductID],Products[ProductName])</f>
        <v>Gym Bag</v>
      </c>
      <c r="T808" t="str">
        <f>_xlfn.XLOOKUP(Orders[[#This Row],[ProductID]],Products[ProductID],Products[Category])</f>
        <v>Gym</v>
      </c>
    </row>
    <row r="809" spans="1:20" x14ac:dyDescent="0.25">
      <c r="A809" s="4" t="s">
        <v>998</v>
      </c>
      <c r="B809" s="5">
        <v>45938</v>
      </c>
      <c r="C809" s="15">
        <f>WEEKNUM(Orders[[#This Row],[OrderDate]])</f>
        <v>41</v>
      </c>
      <c r="D809" s="15" t="str">
        <f>TEXT(Orders[[#This Row],[OrderDate]],"mmmm")</f>
        <v>October</v>
      </c>
      <c r="E809" s="4" t="s">
        <v>400</v>
      </c>
      <c r="F809" s="4" t="s">
        <v>92</v>
      </c>
      <c r="G809" s="4">
        <v>8</v>
      </c>
      <c r="H809" s="12">
        <v>18910.7</v>
      </c>
      <c r="I809" s="13">
        <v>16074.095000000001</v>
      </c>
      <c r="J809" s="13">
        <f>Orders[[#This Row],[Quantity]]*Orders[[#This Row],[Selling Price]]</f>
        <v>151285.6</v>
      </c>
      <c r="K809" s="13">
        <f>Orders[[#This Row],[Quantity]]*Orders[[#This Row],[Cost Price]]</f>
        <v>128592.76000000001</v>
      </c>
      <c r="L809" s="13">
        <f>Orders[[#This Row],[Revenue]]-Orders[[#This Row],[Expenses]]</f>
        <v>22692.839999999997</v>
      </c>
      <c r="M809" t="s">
        <v>2200</v>
      </c>
      <c r="N809" t="str">
        <f>_xlfn.XLOOKUP(Orders[[#This Row],[CustomerID]],Customers[CustomerID],Customers[CustomerName])</f>
        <v>Obi Igwe</v>
      </c>
      <c r="O809" t="str">
        <f>_xlfn.XLOOKUP(Orders[[#This Row],[CustomerID]],Customers[CustomerID],Customers[City])</f>
        <v>Florida</v>
      </c>
      <c r="P809" t="str">
        <f>_xlfn.XLOOKUP(Orders[[#This Row],[CustomerID]],Customers[CustomerID],Customers[Gender])</f>
        <v>Male</v>
      </c>
      <c r="Q809">
        <f>_xlfn.XLOOKUP(Orders[[#This Row],[CustomerID]],Customers[CustomerID],Customers[CustomerAge])</f>
        <v>35</v>
      </c>
      <c r="R809" t="str">
        <f>IF(Orders[[#This Row],[CustomerAge]]&gt;=35, "Older", "Young")</f>
        <v>Older</v>
      </c>
      <c r="S809" t="str">
        <f>_xlfn.XLOOKUP(Orders[[#This Row],[ProductID]],Products[ProductID],Products[ProductName])</f>
        <v>Chest Expander</v>
      </c>
      <c r="T809" t="str">
        <f>_xlfn.XLOOKUP(Orders[[#This Row],[ProductID]],Products[ProductID],Products[Category])</f>
        <v>Gym</v>
      </c>
    </row>
    <row r="810" spans="1:20" x14ac:dyDescent="0.25">
      <c r="A810" s="4" t="s">
        <v>999</v>
      </c>
      <c r="B810" s="5">
        <v>46007</v>
      </c>
      <c r="C810" s="15">
        <f>WEEKNUM(Orders[[#This Row],[OrderDate]])</f>
        <v>51</v>
      </c>
      <c r="D810" s="15" t="str">
        <f>TEXT(Orders[[#This Row],[OrderDate]],"mmmm")</f>
        <v>December</v>
      </c>
      <c r="E810" s="4" t="s">
        <v>383</v>
      </c>
      <c r="F810" s="4" t="s">
        <v>76</v>
      </c>
      <c r="G810" s="4">
        <v>8</v>
      </c>
      <c r="H810" s="12">
        <v>18000.599999999999</v>
      </c>
      <c r="I810" s="13">
        <v>15300.509999999998</v>
      </c>
      <c r="J810" s="13">
        <f>Orders[[#This Row],[Quantity]]*Orders[[#This Row],[Selling Price]]</f>
        <v>144004.79999999999</v>
      </c>
      <c r="K810" s="13">
        <f>Orders[[#This Row],[Quantity]]*Orders[[#This Row],[Cost Price]]</f>
        <v>122404.07999999999</v>
      </c>
      <c r="L810" s="13">
        <f>Orders[[#This Row],[Revenue]]-Orders[[#This Row],[Expenses]]</f>
        <v>21600.720000000001</v>
      </c>
      <c r="M810" t="s">
        <v>2215</v>
      </c>
      <c r="N810" t="str">
        <f>_xlfn.XLOOKUP(Orders[[#This Row],[CustomerID]],Customers[CustomerID],Customers[CustomerName])</f>
        <v>Ibrahim Balogun</v>
      </c>
      <c r="O810" t="str">
        <f>_xlfn.XLOOKUP(Orders[[#This Row],[CustomerID]],Customers[CustomerID],Customers[City])</f>
        <v>Florida</v>
      </c>
      <c r="P810" t="str">
        <f>_xlfn.XLOOKUP(Orders[[#This Row],[CustomerID]],Customers[CustomerID],Customers[Gender])</f>
        <v>Male</v>
      </c>
      <c r="Q810">
        <f>_xlfn.XLOOKUP(Orders[[#This Row],[CustomerID]],Customers[CustomerID],Customers[CustomerAge])</f>
        <v>27</v>
      </c>
      <c r="R810" t="str">
        <f>IF(Orders[[#This Row],[CustomerAge]]&gt;=35, "Older", "Young")</f>
        <v>Young</v>
      </c>
      <c r="S810" t="str">
        <f>_xlfn.XLOOKUP(Orders[[#This Row],[ProductID]],Products[ProductID],Products[ProductName])</f>
        <v>Blender</v>
      </c>
      <c r="T810" t="str">
        <f>_xlfn.XLOOKUP(Orders[[#This Row],[ProductID]],Products[ProductID],Products[Category])</f>
        <v>Electronics</v>
      </c>
    </row>
    <row r="811" spans="1:20" x14ac:dyDescent="0.25">
      <c r="A811" s="4" t="s">
        <v>1000</v>
      </c>
      <c r="B811" s="5">
        <v>45960</v>
      </c>
      <c r="C811" s="15">
        <f>WEEKNUM(Orders[[#This Row],[OrderDate]])</f>
        <v>44</v>
      </c>
      <c r="D811" s="15" t="str">
        <f>TEXT(Orders[[#This Row],[OrderDate]],"mmmm")</f>
        <v>October</v>
      </c>
      <c r="E811" s="4" t="s">
        <v>229</v>
      </c>
      <c r="F811" s="4" t="s">
        <v>70</v>
      </c>
      <c r="G811" s="4">
        <v>2</v>
      </c>
      <c r="H811" s="12">
        <v>19862</v>
      </c>
      <c r="I811" s="13">
        <v>16882.7</v>
      </c>
      <c r="J811" s="13">
        <f>Orders[[#This Row],[Quantity]]*Orders[[#This Row],[Selling Price]]</f>
        <v>39724</v>
      </c>
      <c r="K811" s="13">
        <f>Orders[[#This Row],[Quantity]]*Orders[[#This Row],[Cost Price]]</f>
        <v>33765.4</v>
      </c>
      <c r="L811" s="13">
        <f>Orders[[#This Row],[Revenue]]-Orders[[#This Row],[Expenses]]</f>
        <v>5958.5999999999985</v>
      </c>
      <c r="M811" t="s">
        <v>2202</v>
      </c>
      <c r="N811" t="str">
        <f>_xlfn.XLOOKUP(Orders[[#This Row],[CustomerID]],Customers[CustomerID],Customers[CustomerName])</f>
        <v>Uche Abubakar</v>
      </c>
      <c r="O811" t="str">
        <f>_xlfn.XLOOKUP(Orders[[#This Row],[CustomerID]],Customers[CustomerID],Customers[City])</f>
        <v>Florida</v>
      </c>
      <c r="P811" t="str">
        <f>_xlfn.XLOOKUP(Orders[[#This Row],[CustomerID]],Customers[CustomerID],Customers[Gender])</f>
        <v>Male</v>
      </c>
      <c r="Q811">
        <f>_xlfn.XLOOKUP(Orders[[#This Row],[CustomerID]],Customers[CustomerID],Customers[CustomerAge])</f>
        <v>43</v>
      </c>
      <c r="R811" t="str">
        <f>IF(Orders[[#This Row],[CustomerAge]]&gt;=35, "Older", "Young")</f>
        <v>Older</v>
      </c>
      <c r="S811" t="str">
        <f>_xlfn.XLOOKUP(Orders[[#This Row],[ProductID]],Products[ProductID],Products[ProductName])</f>
        <v>Yoga Mat</v>
      </c>
      <c r="T811" t="str">
        <f>_xlfn.XLOOKUP(Orders[[#This Row],[ProductID]],Products[ProductID],Products[Category])</f>
        <v>Gym</v>
      </c>
    </row>
    <row r="812" spans="1:20" x14ac:dyDescent="0.25">
      <c r="A812" s="4" t="s">
        <v>1001</v>
      </c>
      <c r="B812" s="5">
        <v>46005</v>
      </c>
      <c r="C812" s="15">
        <f>WEEKNUM(Orders[[#This Row],[OrderDate]])</f>
        <v>51</v>
      </c>
      <c r="D812" s="15" t="str">
        <f>TEXT(Orders[[#This Row],[OrderDate]],"mmmm")</f>
        <v>December</v>
      </c>
      <c r="E812" s="4" t="s">
        <v>346</v>
      </c>
      <c r="F812" s="4" t="s">
        <v>12</v>
      </c>
      <c r="G812" s="4">
        <v>3</v>
      </c>
      <c r="H812" s="12">
        <v>1945.3999999999999</v>
      </c>
      <c r="I812" s="13">
        <v>1653.59</v>
      </c>
      <c r="J812" s="13">
        <f>Orders[[#This Row],[Quantity]]*Orders[[#This Row],[Selling Price]]</f>
        <v>5836.2</v>
      </c>
      <c r="K812" s="13">
        <f>Orders[[#This Row],[Quantity]]*Orders[[#This Row],[Cost Price]]</f>
        <v>4960.7699999999995</v>
      </c>
      <c r="L812" s="13">
        <f>Orders[[#This Row],[Revenue]]-Orders[[#This Row],[Expenses]]</f>
        <v>875.43000000000029</v>
      </c>
      <c r="M812" t="s">
        <v>2199</v>
      </c>
      <c r="N812" t="str">
        <f>_xlfn.XLOOKUP(Orders[[#This Row],[CustomerID]],Customers[CustomerID],Customers[CustomerName])</f>
        <v>Ngozi Danladi</v>
      </c>
      <c r="O812" t="str">
        <f>_xlfn.XLOOKUP(Orders[[#This Row],[CustomerID]],Customers[CustomerID],Customers[City])</f>
        <v>California</v>
      </c>
      <c r="P812" t="str">
        <f>_xlfn.XLOOKUP(Orders[[#This Row],[CustomerID]],Customers[CustomerID],Customers[Gender])</f>
        <v>Female</v>
      </c>
      <c r="Q812">
        <f>_xlfn.XLOOKUP(Orders[[#This Row],[CustomerID]],Customers[CustomerID],Customers[CustomerAge])</f>
        <v>30</v>
      </c>
      <c r="R812" t="str">
        <f>IF(Orders[[#This Row],[CustomerAge]]&gt;=35, "Older", "Young")</f>
        <v>Young</v>
      </c>
      <c r="S812" t="str">
        <f>_xlfn.XLOOKUP(Orders[[#This Row],[ProductID]],Products[ProductID],Products[ProductName])</f>
        <v>Boubou</v>
      </c>
      <c r="T812" t="str">
        <f>_xlfn.XLOOKUP(Orders[[#This Row],[ProductID]],Products[ProductID],Products[Category])</f>
        <v>Clothing</v>
      </c>
    </row>
    <row r="813" spans="1:20" x14ac:dyDescent="0.25">
      <c r="A813" s="4" t="s">
        <v>1002</v>
      </c>
      <c r="B813" s="5">
        <v>46004</v>
      </c>
      <c r="C813" s="15">
        <f>WEEKNUM(Orders[[#This Row],[OrderDate]])</f>
        <v>50</v>
      </c>
      <c r="D813" s="15" t="str">
        <f>TEXT(Orders[[#This Row],[OrderDate]],"mmmm")</f>
        <v>December</v>
      </c>
      <c r="E813" s="4" t="s">
        <v>161</v>
      </c>
      <c r="F813" s="4" t="s">
        <v>57</v>
      </c>
      <c r="G813" s="4">
        <v>4</v>
      </c>
      <c r="H813" s="12">
        <v>2450.4</v>
      </c>
      <c r="I813" s="13">
        <v>2082.84</v>
      </c>
      <c r="J813" s="13">
        <f>Orders[[#This Row],[Quantity]]*Orders[[#This Row],[Selling Price]]</f>
        <v>9801.6</v>
      </c>
      <c r="K813" s="13">
        <f>Orders[[#This Row],[Quantity]]*Orders[[#This Row],[Cost Price]]</f>
        <v>8331.36</v>
      </c>
      <c r="L813" s="13">
        <f>Orders[[#This Row],[Revenue]]-Orders[[#This Row],[Expenses]]</f>
        <v>1470.2399999999998</v>
      </c>
      <c r="M813" t="s">
        <v>2213</v>
      </c>
      <c r="N813" t="str">
        <f>_xlfn.XLOOKUP(Orders[[#This Row],[CustomerID]],Customers[CustomerID],Customers[CustomerName])</f>
        <v>Okon Adeyemi</v>
      </c>
      <c r="O813" t="str">
        <f>_xlfn.XLOOKUP(Orders[[#This Row],[CustomerID]],Customers[CustomerID],Customers[City])</f>
        <v>Georgia</v>
      </c>
      <c r="P813" t="str">
        <f>_xlfn.XLOOKUP(Orders[[#This Row],[CustomerID]],Customers[CustomerID],Customers[Gender])</f>
        <v>Male</v>
      </c>
      <c r="Q813">
        <f>_xlfn.XLOOKUP(Orders[[#This Row],[CustomerID]],Customers[CustomerID],Customers[CustomerAge])</f>
        <v>31</v>
      </c>
      <c r="R813" t="str">
        <f>IF(Orders[[#This Row],[CustomerAge]]&gt;=35, "Older", "Young")</f>
        <v>Young</v>
      </c>
      <c r="S813" t="str">
        <f>_xlfn.XLOOKUP(Orders[[#This Row],[ProductID]],Products[ProductID],Products[ProductName])</f>
        <v>Badminton Racket</v>
      </c>
      <c r="T813" t="str">
        <f>_xlfn.XLOOKUP(Orders[[#This Row],[ProductID]],Products[ProductID],Products[Category])</f>
        <v>Sports</v>
      </c>
    </row>
    <row r="814" spans="1:20" x14ac:dyDescent="0.25">
      <c r="A814" s="4" t="s">
        <v>1003</v>
      </c>
      <c r="B814" s="5">
        <v>45999</v>
      </c>
      <c r="C814" s="15">
        <f>WEEKNUM(Orders[[#This Row],[OrderDate]])</f>
        <v>50</v>
      </c>
      <c r="D814" s="15" t="str">
        <f>TEXT(Orders[[#This Row],[OrderDate]],"mmmm")</f>
        <v>December</v>
      </c>
      <c r="E814" s="4" t="s">
        <v>574</v>
      </c>
      <c r="F814" s="4" t="s">
        <v>84</v>
      </c>
      <c r="G814" s="4">
        <v>2</v>
      </c>
      <c r="H814" s="12">
        <v>8082.6</v>
      </c>
      <c r="I814" s="13">
        <v>6870.21</v>
      </c>
      <c r="J814" s="13">
        <f>Orders[[#This Row],[Quantity]]*Orders[[#This Row],[Selling Price]]</f>
        <v>16165.2</v>
      </c>
      <c r="K814" s="13">
        <f>Orders[[#This Row],[Quantity]]*Orders[[#This Row],[Cost Price]]</f>
        <v>13740.42</v>
      </c>
      <c r="L814" s="13">
        <f>Orders[[#This Row],[Revenue]]-Orders[[#This Row],[Expenses]]</f>
        <v>2424.7800000000007</v>
      </c>
      <c r="M814" t="s">
        <v>2194</v>
      </c>
      <c r="N814" t="str">
        <f>_xlfn.XLOOKUP(Orders[[#This Row],[CustomerID]],Customers[CustomerID],Customers[CustomerName])</f>
        <v>Adanma Obi</v>
      </c>
      <c r="O814" t="str">
        <f>_xlfn.XLOOKUP(Orders[[#This Row],[CustomerID]],Customers[CustomerID],Customers[City])</f>
        <v>Texas</v>
      </c>
      <c r="P814" t="str">
        <f>_xlfn.XLOOKUP(Orders[[#This Row],[CustomerID]],Customers[CustomerID],Customers[Gender])</f>
        <v>Female</v>
      </c>
      <c r="Q814">
        <f>_xlfn.XLOOKUP(Orders[[#This Row],[CustomerID]],Customers[CustomerID],Customers[CustomerAge])</f>
        <v>23</v>
      </c>
      <c r="R814" t="str">
        <f>IF(Orders[[#This Row],[CustomerAge]]&gt;=35, "Older", "Young")</f>
        <v>Young</v>
      </c>
      <c r="S814" t="str">
        <f>_xlfn.XLOOKUP(Orders[[#This Row],[ProductID]],Products[ProductID],Products[ProductName])</f>
        <v>Gym Wears</v>
      </c>
      <c r="T814" t="str">
        <f>_xlfn.XLOOKUP(Orders[[#This Row],[ProductID]],Products[ProductID],Products[Category])</f>
        <v>Clothing</v>
      </c>
    </row>
    <row r="815" spans="1:20" x14ac:dyDescent="0.25">
      <c r="A815" s="4" t="s">
        <v>1004</v>
      </c>
      <c r="B815" s="5">
        <v>46017</v>
      </c>
      <c r="C815" s="15">
        <f>WEEKNUM(Orders[[#This Row],[OrderDate]])</f>
        <v>52</v>
      </c>
      <c r="D815" s="15" t="str">
        <f>TEXT(Orders[[#This Row],[OrderDate]],"mmmm")</f>
        <v>December</v>
      </c>
      <c r="E815" s="4" t="s">
        <v>374</v>
      </c>
      <c r="F815" s="4" t="s">
        <v>70</v>
      </c>
      <c r="G815" s="4">
        <v>5</v>
      </c>
      <c r="H815" s="12">
        <v>2581.1999999999998</v>
      </c>
      <c r="I815" s="13">
        <v>2194.02</v>
      </c>
      <c r="J815" s="13">
        <f>Orders[[#This Row],[Quantity]]*Orders[[#This Row],[Selling Price]]</f>
        <v>12906</v>
      </c>
      <c r="K815" s="13">
        <f>Orders[[#This Row],[Quantity]]*Orders[[#This Row],[Cost Price]]</f>
        <v>10970.1</v>
      </c>
      <c r="L815" s="13">
        <f>Orders[[#This Row],[Revenue]]-Orders[[#This Row],[Expenses]]</f>
        <v>1935.8999999999996</v>
      </c>
      <c r="M815" t="s">
        <v>2216</v>
      </c>
      <c r="N815" t="str">
        <f>_xlfn.XLOOKUP(Orders[[#This Row],[CustomerID]],Customers[CustomerID],Customers[CustomerName])</f>
        <v>Uche Okonkwo</v>
      </c>
      <c r="O815" t="str">
        <f>_xlfn.XLOOKUP(Orders[[#This Row],[CustomerID]],Customers[CustomerID],Customers[City])</f>
        <v>Texas</v>
      </c>
      <c r="P815" t="str">
        <f>_xlfn.XLOOKUP(Orders[[#This Row],[CustomerID]],Customers[CustomerID],Customers[Gender])</f>
        <v>Male</v>
      </c>
      <c r="Q815">
        <f>_xlfn.XLOOKUP(Orders[[#This Row],[CustomerID]],Customers[CustomerID],Customers[CustomerAge])</f>
        <v>27</v>
      </c>
      <c r="R815" t="str">
        <f>IF(Orders[[#This Row],[CustomerAge]]&gt;=35, "Older", "Young")</f>
        <v>Young</v>
      </c>
      <c r="S815" t="str">
        <f>_xlfn.XLOOKUP(Orders[[#This Row],[ProductID]],Products[ProductID],Products[ProductName])</f>
        <v>Yoga Mat</v>
      </c>
      <c r="T815" t="str">
        <f>_xlfn.XLOOKUP(Orders[[#This Row],[ProductID]],Products[ProductID],Products[Category])</f>
        <v>Gym</v>
      </c>
    </row>
    <row r="816" spans="1:20" x14ac:dyDescent="0.25">
      <c r="A816" s="4" t="s">
        <v>1005</v>
      </c>
      <c r="B816" s="5">
        <v>45947</v>
      </c>
      <c r="C816" s="15">
        <f>WEEKNUM(Orders[[#This Row],[OrderDate]])</f>
        <v>42</v>
      </c>
      <c r="D816" s="15" t="str">
        <f>TEXT(Orders[[#This Row],[OrderDate]],"mmmm")</f>
        <v>October</v>
      </c>
      <c r="E816" s="4" t="s">
        <v>22</v>
      </c>
      <c r="F816" s="4" t="s">
        <v>46</v>
      </c>
      <c r="G816" s="4">
        <v>9</v>
      </c>
      <c r="H816" s="12">
        <v>1987.1000000000001</v>
      </c>
      <c r="I816" s="13">
        <v>1689.0350000000001</v>
      </c>
      <c r="J816" s="13">
        <f>Orders[[#This Row],[Quantity]]*Orders[[#This Row],[Selling Price]]</f>
        <v>17883.900000000001</v>
      </c>
      <c r="K816" s="13">
        <f>Orders[[#This Row],[Quantity]]*Orders[[#This Row],[Cost Price]]</f>
        <v>15201.315000000001</v>
      </c>
      <c r="L816" s="13">
        <f>Orders[[#This Row],[Revenue]]-Orders[[#This Row],[Expenses]]</f>
        <v>2682.5850000000009</v>
      </c>
      <c r="M816" t="s">
        <v>2201</v>
      </c>
      <c r="N816" t="str">
        <f>_xlfn.XLOOKUP(Orders[[#This Row],[CustomerID]],Customers[CustomerID],Customers[CustomerName])</f>
        <v>Temi Bello</v>
      </c>
      <c r="O816" t="str">
        <f>_xlfn.XLOOKUP(Orders[[#This Row],[CustomerID]],Customers[CustomerID],Customers[City])</f>
        <v>Texas</v>
      </c>
      <c r="P816" t="str">
        <f>_xlfn.XLOOKUP(Orders[[#This Row],[CustomerID]],Customers[CustomerID],Customers[Gender])</f>
        <v>Female</v>
      </c>
      <c r="Q816">
        <f>_xlfn.XLOOKUP(Orders[[#This Row],[CustomerID]],Customers[CustomerID],Customers[CustomerAge])</f>
        <v>52</v>
      </c>
      <c r="R816" t="str">
        <f>IF(Orders[[#This Row],[CustomerAge]]&gt;=35, "Older", "Young")</f>
        <v>Older</v>
      </c>
      <c r="S816" t="str">
        <f>_xlfn.XLOOKUP(Orders[[#This Row],[ProductID]],Products[ProductID],Products[ProductName])</f>
        <v>Turtle Neck</v>
      </c>
      <c r="T816" t="str">
        <f>_xlfn.XLOOKUP(Orders[[#This Row],[ProductID]],Products[ProductID],Products[Category])</f>
        <v>Clothing</v>
      </c>
    </row>
    <row r="817" spans="1:20" x14ac:dyDescent="0.25">
      <c r="A817" s="4" t="s">
        <v>1006</v>
      </c>
      <c r="B817" s="5">
        <v>45944</v>
      </c>
      <c r="C817" s="15">
        <f>WEEKNUM(Orders[[#This Row],[OrderDate]])</f>
        <v>42</v>
      </c>
      <c r="D817" s="15" t="str">
        <f>TEXT(Orders[[#This Row],[OrderDate]],"mmmm")</f>
        <v>October</v>
      </c>
      <c r="E817" s="4" t="s">
        <v>156</v>
      </c>
      <c r="F817" s="4" t="s">
        <v>63</v>
      </c>
      <c r="G817" s="4">
        <v>9</v>
      </c>
      <c r="H817" s="12">
        <v>12298.199999999999</v>
      </c>
      <c r="I817" s="13">
        <v>10453.469999999999</v>
      </c>
      <c r="J817" s="13">
        <f>Orders[[#This Row],[Quantity]]*Orders[[#This Row],[Selling Price]]</f>
        <v>110683.79999999999</v>
      </c>
      <c r="K817" s="13">
        <f>Orders[[#This Row],[Quantity]]*Orders[[#This Row],[Cost Price]]</f>
        <v>94081.23</v>
      </c>
      <c r="L817" s="13">
        <f>Orders[[#This Row],[Revenue]]-Orders[[#This Row],[Expenses]]</f>
        <v>16602.569999999992</v>
      </c>
      <c r="M817" t="s">
        <v>2218</v>
      </c>
      <c r="N817" t="str">
        <f>_xlfn.XLOOKUP(Orders[[#This Row],[CustomerID]],Customers[CustomerID],Customers[CustomerName])</f>
        <v>Obi Okonkwo</v>
      </c>
      <c r="O817" t="str">
        <f>_xlfn.XLOOKUP(Orders[[#This Row],[CustomerID]],Customers[CustomerID],Customers[City])</f>
        <v>Florida</v>
      </c>
      <c r="P817" t="str">
        <f>_xlfn.XLOOKUP(Orders[[#This Row],[CustomerID]],Customers[CustomerID],Customers[Gender])</f>
        <v>Male</v>
      </c>
      <c r="Q817">
        <f>_xlfn.XLOOKUP(Orders[[#This Row],[CustomerID]],Customers[CustomerID],Customers[CustomerAge])</f>
        <v>52</v>
      </c>
      <c r="R817" t="str">
        <f>IF(Orders[[#This Row],[CustomerAge]]&gt;=35, "Older", "Young")</f>
        <v>Older</v>
      </c>
      <c r="S817" t="str">
        <f>_xlfn.XLOOKUP(Orders[[#This Row],[ProductID]],Products[ProductID],Products[ProductName])</f>
        <v>Tennis Bat</v>
      </c>
      <c r="T817" t="str">
        <f>_xlfn.XLOOKUP(Orders[[#This Row],[ProductID]],Products[ProductID],Products[Category])</f>
        <v>Sports</v>
      </c>
    </row>
    <row r="818" spans="1:20" x14ac:dyDescent="0.25">
      <c r="A818" s="4" t="s">
        <v>1007</v>
      </c>
      <c r="B818" s="5">
        <v>45940</v>
      </c>
      <c r="C818" s="15">
        <f>WEEKNUM(Orders[[#This Row],[OrderDate]])</f>
        <v>41</v>
      </c>
      <c r="D818" s="15" t="str">
        <f>TEXT(Orders[[#This Row],[OrderDate]],"mmmm")</f>
        <v>October</v>
      </c>
      <c r="E818" s="4" t="s">
        <v>410</v>
      </c>
      <c r="F818" s="4" t="s">
        <v>168</v>
      </c>
      <c r="G818" s="4">
        <v>1</v>
      </c>
      <c r="H818" s="12">
        <v>1254.0999999999999</v>
      </c>
      <c r="I818" s="13">
        <v>1065.9849999999999</v>
      </c>
      <c r="J818" s="13">
        <f>Orders[[#This Row],[Quantity]]*Orders[[#This Row],[Selling Price]]</f>
        <v>1254.0999999999999</v>
      </c>
      <c r="K818" s="13">
        <f>Orders[[#This Row],[Quantity]]*Orders[[#This Row],[Cost Price]]</f>
        <v>1065.9849999999999</v>
      </c>
      <c r="L818" s="13">
        <f>Orders[[#This Row],[Revenue]]-Orders[[#This Row],[Expenses]]</f>
        <v>188.11500000000001</v>
      </c>
      <c r="M818" t="s">
        <v>2219</v>
      </c>
      <c r="N818" t="str">
        <f>_xlfn.XLOOKUP(Orders[[#This Row],[CustomerID]],Customers[CustomerID],Customers[CustomerName])</f>
        <v>Jane Thomas</v>
      </c>
      <c r="O818" t="str">
        <f>_xlfn.XLOOKUP(Orders[[#This Row],[CustomerID]],Customers[CustomerID],Customers[City])</f>
        <v>Texas</v>
      </c>
      <c r="P818" t="str">
        <f>_xlfn.XLOOKUP(Orders[[#This Row],[CustomerID]],Customers[CustomerID],Customers[Gender])</f>
        <v>Male</v>
      </c>
      <c r="Q818">
        <f>_xlfn.XLOOKUP(Orders[[#This Row],[CustomerID]],Customers[CustomerID],Customers[CustomerAge])</f>
        <v>21</v>
      </c>
      <c r="R818" t="str">
        <f>IF(Orders[[#This Row],[CustomerAge]]&gt;=35, "Older", "Young")</f>
        <v>Young</v>
      </c>
      <c r="S818" t="str">
        <f>_xlfn.XLOOKUP(Orders[[#This Row],[ProductID]],Products[ProductID],Products[ProductName])</f>
        <v>Dumb Bells</v>
      </c>
      <c r="T818" t="str">
        <f>_xlfn.XLOOKUP(Orders[[#This Row],[ProductID]],Products[ProductID],Products[Category])</f>
        <v>Gym</v>
      </c>
    </row>
    <row r="819" spans="1:20" x14ac:dyDescent="0.25">
      <c r="A819" s="4" t="s">
        <v>1008</v>
      </c>
      <c r="B819" s="5">
        <v>45968</v>
      </c>
      <c r="C819" s="15">
        <f>WEEKNUM(Orders[[#This Row],[OrderDate]])</f>
        <v>45</v>
      </c>
      <c r="D819" s="15" t="str">
        <f>TEXT(Orders[[#This Row],[OrderDate]],"mmmm")</f>
        <v>November</v>
      </c>
      <c r="E819" s="4" t="s">
        <v>280</v>
      </c>
      <c r="F819" s="4" t="s">
        <v>130</v>
      </c>
      <c r="G819" s="4">
        <v>4</v>
      </c>
      <c r="H819" s="12">
        <v>12418.099999999999</v>
      </c>
      <c r="I819" s="13">
        <v>10555.384999999998</v>
      </c>
      <c r="J819" s="13">
        <f>Orders[[#This Row],[Quantity]]*Orders[[#This Row],[Selling Price]]</f>
        <v>49672.399999999994</v>
      </c>
      <c r="K819" s="13">
        <f>Orders[[#This Row],[Quantity]]*Orders[[#This Row],[Cost Price]]</f>
        <v>42221.539999999994</v>
      </c>
      <c r="L819" s="13">
        <f>Orders[[#This Row],[Revenue]]-Orders[[#This Row],[Expenses]]</f>
        <v>7450.8600000000006</v>
      </c>
      <c r="M819" t="s">
        <v>2212</v>
      </c>
      <c r="N819" t="str">
        <f>_xlfn.XLOOKUP(Orders[[#This Row],[CustomerID]],Customers[CustomerID],Customers[CustomerName])</f>
        <v>Folasade Okonkwo</v>
      </c>
      <c r="O819" t="str">
        <f>_xlfn.XLOOKUP(Orders[[#This Row],[CustomerID]],Customers[CustomerID],Customers[City])</f>
        <v>Texas</v>
      </c>
      <c r="P819" t="str">
        <f>_xlfn.XLOOKUP(Orders[[#This Row],[CustomerID]],Customers[CustomerID],Customers[Gender])</f>
        <v>Female</v>
      </c>
      <c r="Q819">
        <f>_xlfn.XLOOKUP(Orders[[#This Row],[CustomerID]],Customers[CustomerID],Customers[CustomerAge])</f>
        <v>21</v>
      </c>
      <c r="R819" t="str">
        <f>IF(Orders[[#This Row],[CustomerAge]]&gt;=35, "Older", "Young")</f>
        <v>Young</v>
      </c>
      <c r="S819" t="str">
        <f>_xlfn.XLOOKUP(Orders[[#This Row],[ProductID]],Products[ProductID],Products[ProductName])</f>
        <v>Gold Earrings And Necklaces</v>
      </c>
      <c r="T819" t="str">
        <f>_xlfn.XLOOKUP(Orders[[#This Row],[ProductID]],Products[ProductID],Products[Category])</f>
        <v>Accessories</v>
      </c>
    </row>
    <row r="820" spans="1:20" x14ac:dyDescent="0.25">
      <c r="A820" s="4" t="s">
        <v>1009</v>
      </c>
      <c r="B820" s="5">
        <v>45978</v>
      </c>
      <c r="C820" s="15">
        <f>WEEKNUM(Orders[[#This Row],[OrderDate]])</f>
        <v>47</v>
      </c>
      <c r="D820" s="15" t="str">
        <f>TEXT(Orders[[#This Row],[OrderDate]],"mmmm")</f>
        <v>November</v>
      </c>
      <c r="E820" s="4" t="s">
        <v>156</v>
      </c>
      <c r="F820" s="4" t="s">
        <v>168</v>
      </c>
      <c r="G820" s="4">
        <v>9</v>
      </c>
      <c r="H820" s="12">
        <v>15940.1</v>
      </c>
      <c r="I820" s="13">
        <v>13549.085000000001</v>
      </c>
      <c r="J820" s="13">
        <f>Orders[[#This Row],[Quantity]]*Orders[[#This Row],[Selling Price]]</f>
        <v>143460.9</v>
      </c>
      <c r="K820" s="13">
        <f>Orders[[#This Row],[Quantity]]*Orders[[#This Row],[Cost Price]]</f>
        <v>121941.76500000001</v>
      </c>
      <c r="L820" s="13">
        <f>Orders[[#This Row],[Revenue]]-Orders[[#This Row],[Expenses]]</f>
        <v>21519.13499999998</v>
      </c>
      <c r="M820" t="s">
        <v>2201</v>
      </c>
      <c r="N820" t="str">
        <f>_xlfn.XLOOKUP(Orders[[#This Row],[CustomerID]],Customers[CustomerID],Customers[CustomerName])</f>
        <v>Obi Okonkwo</v>
      </c>
      <c r="O820" t="str">
        <f>_xlfn.XLOOKUP(Orders[[#This Row],[CustomerID]],Customers[CustomerID],Customers[City])</f>
        <v>Florida</v>
      </c>
      <c r="P820" t="str">
        <f>_xlfn.XLOOKUP(Orders[[#This Row],[CustomerID]],Customers[CustomerID],Customers[Gender])</f>
        <v>Male</v>
      </c>
      <c r="Q820">
        <f>_xlfn.XLOOKUP(Orders[[#This Row],[CustomerID]],Customers[CustomerID],Customers[CustomerAge])</f>
        <v>52</v>
      </c>
      <c r="R820" t="str">
        <f>IF(Orders[[#This Row],[CustomerAge]]&gt;=35, "Older", "Young")</f>
        <v>Older</v>
      </c>
      <c r="S820" t="str">
        <f>_xlfn.XLOOKUP(Orders[[#This Row],[ProductID]],Products[ProductID],Products[ProductName])</f>
        <v>Dumb Bells</v>
      </c>
      <c r="T820" t="str">
        <f>_xlfn.XLOOKUP(Orders[[#This Row],[ProductID]],Products[ProductID],Products[Category])</f>
        <v>Gym</v>
      </c>
    </row>
    <row r="821" spans="1:20" x14ac:dyDescent="0.25">
      <c r="A821" s="4" t="s">
        <v>1010</v>
      </c>
      <c r="B821" s="5">
        <v>46013</v>
      </c>
      <c r="C821" s="15">
        <f>WEEKNUM(Orders[[#This Row],[OrderDate]])</f>
        <v>52</v>
      </c>
      <c r="D821" s="15" t="str">
        <f>TEXT(Orders[[#This Row],[OrderDate]],"mmmm")</f>
        <v>December</v>
      </c>
      <c r="E821" s="4" t="s">
        <v>80</v>
      </c>
      <c r="F821" s="4" t="s">
        <v>189</v>
      </c>
      <c r="G821" s="4">
        <v>9</v>
      </c>
      <c r="H821" s="12">
        <v>3937.7999999999997</v>
      </c>
      <c r="I821" s="13">
        <v>3347.1299999999997</v>
      </c>
      <c r="J821" s="13">
        <f>Orders[[#This Row],[Quantity]]*Orders[[#This Row],[Selling Price]]</f>
        <v>35440.199999999997</v>
      </c>
      <c r="K821" s="13">
        <f>Orders[[#This Row],[Quantity]]*Orders[[#This Row],[Cost Price]]</f>
        <v>30124.17</v>
      </c>
      <c r="L821" s="13">
        <f>Orders[[#This Row],[Revenue]]-Orders[[#This Row],[Expenses]]</f>
        <v>5316.0299999999988</v>
      </c>
      <c r="M821" t="s">
        <v>2196</v>
      </c>
      <c r="N821" t="str">
        <f>_xlfn.XLOOKUP(Orders[[#This Row],[CustomerID]],Customers[CustomerID],Customers[CustomerName])</f>
        <v>Sani Ojo</v>
      </c>
      <c r="O821" t="str">
        <f>_xlfn.XLOOKUP(Orders[[#This Row],[CustomerID]],Customers[CustomerID],Customers[City])</f>
        <v>Texas</v>
      </c>
      <c r="P821" t="str">
        <f>_xlfn.XLOOKUP(Orders[[#This Row],[CustomerID]],Customers[CustomerID],Customers[Gender])</f>
        <v>Male</v>
      </c>
      <c r="Q821">
        <f>_xlfn.XLOOKUP(Orders[[#This Row],[CustomerID]],Customers[CustomerID],Customers[CustomerAge])</f>
        <v>35</v>
      </c>
      <c r="R821" t="str">
        <f>IF(Orders[[#This Row],[CustomerAge]]&gt;=35, "Older", "Young")</f>
        <v>Older</v>
      </c>
      <c r="S821" t="str">
        <f>_xlfn.XLOOKUP(Orders[[#This Row],[ProductID]],Products[ProductID],Products[ProductName])</f>
        <v>Scrabble</v>
      </c>
      <c r="T821" t="str">
        <f>_xlfn.XLOOKUP(Orders[[#This Row],[ProductID]],Products[ProductID],Products[Category])</f>
        <v>Games</v>
      </c>
    </row>
    <row r="822" spans="1:20" x14ac:dyDescent="0.25">
      <c r="A822" s="4" t="s">
        <v>1011</v>
      </c>
      <c r="B822" s="5">
        <v>46013</v>
      </c>
      <c r="C822" s="15">
        <f>WEEKNUM(Orders[[#This Row],[OrderDate]])</f>
        <v>52</v>
      </c>
      <c r="D822" s="15" t="str">
        <f>TEXT(Orders[[#This Row],[OrderDate]],"mmmm")</f>
        <v>December</v>
      </c>
      <c r="E822" s="4" t="s">
        <v>43</v>
      </c>
      <c r="F822" s="4" t="s">
        <v>70</v>
      </c>
      <c r="G822" s="4">
        <v>4</v>
      </c>
      <c r="H822" s="12">
        <v>13935.3</v>
      </c>
      <c r="I822" s="13">
        <v>11845.004999999999</v>
      </c>
      <c r="J822" s="13">
        <f>Orders[[#This Row],[Quantity]]*Orders[[#This Row],[Selling Price]]</f>
        <v>55741.2</v>
      </c>
      <c r="K822" s="13">
        <f>Orders[[#This Row],[Quantity]]*Orders[[#This Row],[Cost Price]]</f>
        <v>47380.02</v>
      </c>
      <c r="L822" s="13">
        <f>Orders[[#This Row],[Revenue]]-Orders[[#This Row],[Expenses]]</f>
        <v>8361.18</v>
      </c>
      <c r="M822" t="s">
        <v>2205</v>
      </c>
      <c r="N822" t="str">
        <f>_xlfn.XLOOKUP(Orders[[#This Row],[CustomerID]],Customers[CustomerID],Customers[CustomerName])</f>
        <v>Mustafa Danladi</v>
      </c>
      <c r="O822" t="str">
        <f>_xlfn.XLOOKUP(Orders[[#This Row],[CustomerID]],Customers[CustomerID],Customers[City])</f>
        <v>Georgia</v>
      </c>
      <c r="P822" t="str">
        <f>_xlfn.XLOOKUP(Orders[[#This Row],[CustomerID]],Customers[CustomerID],Customers[Gender])</f>
        <v>Male</v>
      </c>
      <c r="Q822">
        <f>_xlfn.XLOOKUP(Orders[[#This Row],[CustomerID]],Customers[CustomerID],Customers[CustomerAge])</f>
        <v>49</v>
      </c>
      <c r="R822" t="str">
        <f>IF(Orders[[#This Row],[CustomerAge]]&gt;=35, "Older", "Young")</f>
        <v>Older</v>
      </c>
      <c r="S822" t="str">
        <f>_xlfn.XLOOKUP(Orders[[#This Row],[ProductID]],Products[ProductID],Products[ProductName])</f>
        <v>Yoga Mat</v>
      </c>
      <c r="T822" t="str">
        <f>_xlfn.XLOOKUP(Orders[[#This Row],[ProductID]],Products[ProductID],Products[Category])</f>
        <v>Gym</v>
      </c>
    </row>
    <row r="823" spans="1:20" x14ac:dyDescent="0.25">
      <c r="A823" s="4" t="s">
        <v>1012</v>
      </c>
      <c r="B823" s="5">
        <v>46014</v>
      </c>
      <c r="C823" s="15">
        <f>WEEKNUM(Orders[[#This Row],[OrderDate]])</f>
        <v>52</v>
      </c>
      <c r="D823" s="15" t="str">
        <f>TEXT(Orders[[#This Row],[OrderDate]],"mmmm")</f>
        <v>December</v>
      </c>
      <c r="E823" s="4" t="s">
        <v>340</v>
      </c>
      <c r="F823" s="4" t="s">
        <v>31</v>
      </c>
      <c r="G823" s="4">
        <v>7</v>
      </c>
      <c r="H823" s="12">
        <v>15809.400000000001</v>
      </c>
      <c r="I823" s="13">
        <v>13437.990000000002</v>
      </c>
      <c r="J823" s="13">
        <f>Orders[[#This Row],[Quantity]]*Orders[[#This Row],[Selling Price]]</f>
        <v>110665.80000000002</v>
      </c>
      <c r="K823" s="13">
        <f>Orders[[#This Row],[Quantity]]*Orders[[#This Row],[Cost Price]]</f>
        <v>94065.930000000008</v>
      </c>
      <c r="L823" s="13">
        <f>Orders[[#This Row],[Revenue]]-Orders[[#This Row],[Expenses]]</f>
        <v>16599.87000000001</v>
      </c>
      <c r="M823" t="s">
        <v>2198</v>
      </c>
      <c r="N823" t="str">
        <f>_xlfn.XLOOKUP(Orders[[#This Row],[CustomerID]],Customers[CustomerID],Customers[CustomerName])</f>
        <v>Uche Abubakar</v>
      </c>
      <c r="O823" t="str">
        <f>_xlfn.XLOOKUP(Orders[[#This Row],[CustomerID]],Customers[CustomerID],Customers[City])</f>
        <v>Illinois</v>
      </c>
      <c r="P823" t="str">
        <f>_xlfn.XLOOKUP(Orders[[#This Row],[CustomerID]],Customers[CustomerID],Customers[Gender])</f>
        <v>Male</v>
      </c>
      <c r="Q823">
        <f>_xlfn.XLOOKUP(Orders[[#This Row],[CustomerID]],Customers[CustomerID],Customers[CustomerAge])</f>
        <v>18</v>
      </c>
      <c r="R823" t="str">
        <f>IF(Orders[[#This Row],[CustomerAge]]&gt;=35, "Older", "Young")</f>
        <v>Young</v>
      </c>
      <c r="S823" t="str">
        <f>_xlfn.XLOOKUP(Orders[[#This Row],[ProductID]],Products[ProductID],Products[ProductName])</f>
        <v>Kids Games</v>
      </c>
      <c r="T823" t="str">
        <f>_xlfn.XLOOKUP(Orders[[#This Row],[ProductID]],Products[ProductID],Products[Category])</f>
        <v>Games</v>
      </c>
    </row>
    <row r="824" spans="1:20" x14ac:dyDescent="0.25">
      <c r="A824" s="4" t="s">
        <v>1013</v>
      </c>
      <c r="B824" s="5">
        <v>45941</v>
      </c>
      <c r="C824" s="15">
        <f>WEEKNUM(Orders[[#This Row],[OrderDate]])</f>
        <v>41</v>
      </c>
      <c r="D824" s="15" t="str">
        <f>TEXT(Orders[[#This Row],[OrderDate]],"mmmm")</f>
        <v>October</v>
      </c>
      <c r="E824" s="4" t="s">
        <v>203</v>
      </c>
      <c r="F824" s="4" t="s">
        <v>60</v>
      </c>
      <c r="G824" s="4">
        <v>6</v>
      </c>
      <c r="H824" s="12">
        <v>19129.3</v>
      </c>
      <c r="I824" s="13">
        <v>16259.904999999999</v>
      </c>
      <c r="J824" s="13">
        <f>Orders[[#This Row],[Quantity]]*Orders[[#This Row],[Selling Price]]</f>
        <v>114775.79999999999</v>
      </c>
      <c r="K824" s="13">
        <f>Orders[[#This Row],[Quantity]]*Orders[[#This Row],[Cost Price]]</f>
        <v>97559.43</v>
      </c>
      <c r="L824" s="13">
        <f>Orders[[#This Row],[Revenue]]-Orders[[#This Row],[Expenses]]</f>
        <v>17216.369999999995</v>
      </c>
      <c r="M824" t="s">
        <v>2212</v>
      </c>
      <c r="N824" t="str">
        <f>_xlfn.XLOOKUP(Orders[[#This Row],[CustomerID]],Customers[CustomerID],Customers[CustomerName])</f>
        <v>Okon Bello</v>
      </c>
      <c r="O824" t="str">
        <f>_xlfn.XLOOKUP(Orders[[#This Row],[CustomerID]],Customers[CustomerID],Customers[City])</f>
        <v>Texas</v>
      </c>
      <c r="P824" t="str">
        <f>_xlfn.XLOOKUP(Orders[[#This Row],[CustomerID]],Customers[CustomerID],Customers[Gender])</f>
        <v>Male</v>
      </c>
      <c r="Q824">
        <f>_xlfn.XLOOKUP(Orders[[#This Row],[CustomerID]],Customers[CustomerID],Customers[CustomerAge])</f>
        <v>20</v>
      </c>
      <c r="R824" t="str">
        <f>IF(Orders[[#This Row],[CustomerAge]]&gt;=35, "Older", "Young")</f>
        <v>Young</v>
      </c>
      <c r="S824" t="str">
        <f>_xlfn.XLOOKUP(Orders[[#This Row],[ProductID]],Products[ProductID],Products[ProductName])</f>
        <v>Silver Rings</v>
      </c>
      <c r="T824" t="str">
        <f>_xlfn.XLOOKUP(Orders[[#This Row],[ProductID]],Products[ProductID],Products[Category])</f>
        <v>Accessories</v>
      </c>
    </row>
    <row r="825" spans="1:20" x14ac:dyDescent="0.25">
      <c r="A825" s="4" t="s">
        <v>1014</v>
      </c>
      <c r="B825" s="5">
        <v>45977</v>
      </c>
      <c r="C825" s="15">
        <f>WEEKNUM(Orders[[#This Row],[OrderDate]])</f>
        <v>47</v>
      </c>
      <c r="D825" s="15" t="str">
        <f>TEXT(Orders[[#This Row],[OrderDate]],"mmmm")</f>
        <v>November</v>
      </c>
      <c r="E825" s="4" t="s">
        <v>322</v>
      </c>
      <c r="F825" s="4" t="s">
        <v>28</v>
      </c>
      <c r="G825" s="4">
        <v>7</v>
      </c>
      <c r="H825" s="12">
        <v>2867.3</v>
      </c>
      <c r="I825" s="13">
        <v>2437.2049999999999</v>
      </c>
      <c r="J825" s="13">
        <f>Orders[[#This Row],[Quantity]]*Orders[[#This Row],[Selling Price]]</f>
        <v>20071.100000000002</v>
      </c>
      <c r="K825" s="13">
        <f>Orders[[#This Row],[Quantity]]*Orders[[#This Row],[Cost Price]]</f>
        <v>17060.434999999998</v>
      </c>
      <c r="L825" s="13">
        <f>Orders[[#This Row],[Revenue]]-Orders[[#This Row],[Expenses]]</f>
        <v>3010.6650000000045</v>
      </c>
      <c r="M825" t="s">
        <v>2215</v>
      </c>
      <c r="N825" t="str">
        <f>_xlfn.XLOOKUP(Orders[[#This Row],[CustomerID]],Customers[CustomerID],Customers[CustomerName])</f>
        <v>Ngozi Bello</v>
      </c>
      <c r="O825" t="str">
        <f>_xlfn.XLOOKUP(Orders[[#This Row],[CustomerID]],Customers[CustomerID],Customers[City])</f>
        <v>Washington</v>
      </c>
      <c r="P825" t="str">
        <f>_xlfn.XLOOKUP(Orders[[#This Row],[CustomerID]],Customers[CustomerID],Customers[Gender])</f>
        <v>Female</v>
      </c>
      <c r="Q825">
        <f>_xlfn.XLOOKUP(Orders[[#This Row],[CustomerID]],Customers[CustomerID],Customers[CustomerAge])</f>
        <v>32</v>
      </c>
      <c r="R825" t="str">
        <f>IF(Orders[[#This Row],[CustomerAge]]&gt;=35, "Older", "Young")</f>
        <v>Young</v>
      </c>
      <c r="S825" t="str">
        <f>_xlfn.XLOOKUP(Orders[[#This Row],[ProductID]],Products[ProductID],Products[ProductName])</f>
        <v>Sneakers</v>
      </c>
      <c r="T825" t="str">
        <f>_xlfn.XLOOKUP(Orders[[#This Row],[ProductID]],Products[ProductID],Products[Category])</f>
        <v>Sports</v>
      </c>
    </row>
    <row r="826" spans="1:20" x14ac:dyDescent="0.25">
      <c r="A826" s="4" t="s">
        <v>1015</v>
      </c>
      <c r="B826" s="5">
        <v>45980</v>
      </c>
      <c r="C826" s="15">
        <f>WEEKNUM(Orders[[#This Row],[OrderDate]])</f>
        <v>47</v>
      </c>
      <c r="D826" s="15" t="str">
        <f>TEXT(Orders[[#This Row],[OrderDate]],"mmmm")</f>
        <v>November</v>
      </c>
      <c r="E826" s="4" t="s">
        <v>605</v>
      </c>
      <c r="F826" s="4" t="s">
        <v>20</v>
      </c>
      <c r="G826" s="4">
        <v>7</v>
      </c>
      <c r="H826" s="12">
        <v>16762.2</v>
      </c>
      <c r="I826" s="13">
        <v>14247.87</v>
      </c>
      <c r="J826" s="13">
        <f>Orders[[#This Row],[Quantity]]*Orders[[#This Row],[Selling Price]]</f>
        <v>117335.40000000001</v>
      </c>
      <c r="K826" s="13">
        <f>Orders[[#This Row],[Quantity]]*Orders[[#This Row],[Cost Price]]</f>
        <v>99735.090000000011</v>
      </c>
      <c r="L826" s="13">
        <f>Orders[[#This Row],[Revenue]]-Orders[[#This Row],[Expenses]]</f>
        <v>17600.309999999998</v>
      </c>
      <c r="M826" t="s">
        <v>2220</v>
      </c>
      <c r="N826" t="str">
        <f>_xlfn.XLOOKUP(Orders[[#This Row],[CustomerID]],Customers[CustomerID],Customers[CustomerName])</f>
        <v>Blessing Abubakar</v>
      </c>
      <c r="O826" t="str">
        <f>_xlfn.XLOOKUP(Orders[[#This Row],[CustomerID]],Customers[CustomerID],Customers[City])</f>
        <v>Texas</v>
      </c>
      <c r="P826" t="str">
        <f>_xlfn.XLOOKUP(Orders[[#This Row],[CustomerID]],Customers[CustomerID],Customers[Gender])</f>
        <v>Female</v>
      </c>
      <c r="Q826">
        <f>_xlfn.XLOOKUP(Orders[[#This Row],[CustomerID]],Customers[CustomerID],Customers[CustomerAge])</f>
        <v>44</v>
      </c>
      <c r="R826" t="str">
        <f>IF(Orders[[#This Row],[CustomerAge]]&gt;=35, "Older", "Young")</f>
        <v>Older</v>
      </c>
      <c r="S826" t="str">
        <f>_xlfn.XLOOKUP(Orders[[#This Row],[ProductID]],Products[ProductID],Products[ProductName])</f>
        <v>Gym Bag</v>
      </c>
      <c r="T826" t="str">
        <f>_xlfn.XLOOKUP(Orders[[#This Row],[ProductID]],Products[ProductID],Products[Category])</f>
        <v>Gym</v>
      </c>
    </row>
    <row r="827" spans="1:20" x14ac:dyDescent="0.25">
      <c r="A827" s="4" t="s">
        <v>1016</v>
      </c>
      <c r="B827" s="5">
        <v>45942</v>
      </c>
      <c r="C827" s="15">
        <f>WEEKNUM(Orders[[#This Row],[OrderDate]])</f>
        <v>42</v>
      </c>
      <c r="D827" s="15" t="str">
        <f>TEXT(Orders[[#This Row],[OrderDate]],"mmmm")</f>
        <v>October</v>
      </c>
      <c r="E827" s="4" t="s">
        <v>258</v>
      </c>
      <c r="F827" s="4" t="s">
        <v>81</v>
      </c>
      <c r="G827" s="4">
        <v>2</v>
      </c>
      <c r="H827" s="12">
        <v>16468.3</v>
      </c>
      <c r="I827" s="13">
        <v>13998.055</v>
      </c>
      <c r="J827" s="13">
        <f>Orders[[#This Row],[Quantity]]*Orders[[#This Row],[Selling Price]]</f>
        <v>32936.6</v>
      </c>
      <c r="K827" s="13">
        <f>Orders[[#This Row],[Quantity]]*Orders[[#This Row],[Cost Price]]</f>
        <v>27996.11</v>
      </c>
      <c r="L827" s="13">
        <f>Orders[[#This Row],[Revenue]]-Orders[[#This Row],[Expenses]]</f>
        <v>4940.489999999998</v>
      </c>
      <c r="M827" t="s">
        <v>2209</v>
      </c>
      <c r="N827" t="str">
        <f>_xlfn.XLOOKUP(Orders[[#This Row],[CustomerID]],Customers[CustomerID],Customers[CustomerName])</f>
        <v>Sani Abubakar</v>
      </c>
      <c r="O827" t="str">
        <f>_xlfn.XLOOKUP(Orders[[#This Row],[CustomerID]],Customers[CustomerID],Customers[City])</f>
        <v>Washington</v>
      </c>
      <c r="P827" t="str">
        <f>_xlfn.XLOOKUP(Orders[[#This Row],[CustomerID]],Customers[CustomerID],Customers[Gender])</f>
        <v>Male</v>
      </c>
      <c r="Q827">
        <f>_xlfn.XLOOKUP(Orders[[#This Row],[CustomerID]],Customers[CustomerID],Customers[CustomerAge])</f>
        <v>37</v>
      </c>
      <c r="R827" t="str">
        <f>IF(Orders[[#This Row],[CustomerAge]]&gt;=35, "Older", "Young")</f>
        <v>Older</v>
      </c>
      <c r="S827" t="str">
        <f>_xlfn.XLOOKUP(Orders[[#This Row],[ProductID]],Products[ProductID],Products[ProductName])</f>
        <v>Trousers</v>
      </c>
      <c r="T827" t="str">
        <f>_xlfn.XLOOKUP(Orders[[#This Row],[ProductID]],Products[ProductID],Products[Category])</f>
        <v>Clothing</v>
      </c>
    </row>
    <row r="828" spans="1:20" x14ac:dyDescent="0.25">
      <c r="A828" s="4" t="s">
        <v>1017</v>
      </c>
      <c r="B828" s="5">
        <v>45935</v>
      </c>
      <c r="C828" s="15">
        <f>WEEKNUM(Orders[[#This Row],[OrderDate]])</f>
        <v>41</v>
      </c>
      <c r="D828" s="15" t="str">
        <f>TEXT(Orders[[#This Row],[OrderDate]],"mmmm")</f>
        <v>October</v>
      </c>
      <c r="E828" s="4" t="s">
        <v>324</v>
      </c>
      <c r="F828" s="4" t="s">
        <v>34</v>
      </c>
      <c r="G828" s="4">
        <v>2</v>
      </c>
      <c r="H828" s="12">
        <v>16197</v>
      </c>
      <c r="I828" s="13">
        <v>13767.45</v>
      </c>
      <c r="J828" s="13">
        <f>Orders[[#This Row],[Quantity]]*Orders[[#This Row],[Selling Price]]</f>
        <v>32394</v>
      </c>
      <c r="K828" s="13">
        <f>Orders[[#This Row],[Quantity]]*Orders[[#This Row],[Cost Price]]</f>
        <v>27534.9</v>
      </c>
      <c r="L828" s="13">
        <f>Orders[[#This Row],[Revenue]]-Orders[[#This Row],[Expenses]]</f>
        <v>4859.0999999999985</v>
      </c>
      <c r="M828" t="s">
        <v>2216</v>
      </c>
      <c r="N828" t="str">
        <f>_xlfn.XLOOKUP(Orders[[#This Row],[CustomerID]],Customers[CustomerID],Customers[CustomerName])</f>
        <v>Tunde Okonkwo</v>
      </c>
      <c r="O828" t="str">
        <f>_xlfn.XLOOKUP(Orders[[#This Row],[CustomerID]],Customers[CustomerID],Customers[City])</f>
        <v>Texas</v>
      </c>
      <c r="P828" t="str">
        <f>_xlfn.XLOOKUP(Orders[[#This Row],[CustomerID]],Customers[CustomerID],Customers[Gender])</f>
        <v>Male</v>
      </c>
      <c r="Q828">
        <f>_xlfn.XLOOKUP(Orders[[#This Row],[CustomerID]],Customers[CustomerID],Customers[CustomerAge])</f>
        <v>25</v>
      </c>
      <c r="R828" t="str">
        <f>IF(Orders[[#This Row],[CustomerAge]]&gt;=35, "Older", "Young")</f>
        <v>Young</v>
      </c>
      <c r="S828" t="str">
        <f>_xlfn.XLOOKUP(Orders[[#This Row],[ProductID]],Products[ProductID],Products[ProductName])</f>
        <v>Gold Bracelets</v>
      </c>
      <c r="T828" t="str">
        <f>_xlfn.XLOOKUP(Orders[[#This Row],[ProductID]],Products[ProductID],Products[Category])</f>
        <v>Accessories</v>
      </c>
    </row>
    <row r="829" spans="1:20" x14ac:dyDescent="0.25">
      <c r="A829" s="4" t="s">
        <v>1018</v>
      </c>
      <c r="B829" s="5">
        <v>45987</v>
      </c>
      <c r="C829" s="15">
        <f>WEEKNUM(Orders[[#This Row],[OrderDate]])</f>
        <v>48</v>
      </c>
      <c r="D829" s="15" t="str">
        <f>TEXT(Orders[[#This Row],[OrderDate]],"mmmm")</f>
        <v>November</v>
      </c>
      <c r="E829" s="4" t="s">
        <v>184</v>
      </c>
      <c r="F829" s="4" t="s">
        <v>31</v>
      </c>
      <c r="G829" s="4">
        <v>10</v>
      </c>
      <c r="H829" s="12">
        <v>17352.7</v>
      </c>
      <c r="I829" s="13">
        <v>14749.795</v>
      </c>
      <c r="J829" s="13">
        <f>Orders[[#This Row],[Quantity]]*Orders[[#This Row],[Selling Price]]</f>
        <v>173527</v>
      </c>
      <c r="K829" s="13">
        <f>Orders[[#This Row],[Quantity]]*Orders[[#This Row],[Cost Price]]</f>
        <v>147497.95000000001</v>
      </c>
      <c r="L829" s="13">
        <f>Orders[[#This Row],[Revenue]]-Orders[[#This Row],[Expenses]]</f>
        <v>26029.049999999988</v>
      </c>
      <c r="M829" t="s">
        <v>2192</v>
      </c>
      <c r="N829" t="str">
        <f>_xlfn.XLOOKUP(Orders[[#This Row],[CustomerID]],Customers[CustomerID],Customers[CustomerName])</f>
        <v>Ngozi Obi</v>
      </c>
      <c r="O829" t="str">
        <f>_xlfn.XLOOKUP(Orders[[#This Row],[CustomerID]],Customers[CustomerID],Customers[City])</f>
        <v>Washington</v>
      </c>
      <c r="P829" t="str">
        <f>_xlfn.XLOOKUP(Orders[[#This Row],[CustomerID]],Customers[CustomerID],Customers[Gender])</f>
        <v>Female</v>
      </c>
      <c r="Q829">
        <f>_xlfn.XLOOKUP(Orders[[#This Row],[CustomerID]],Customers[CustomerID],Customers[CustomerAge])</f>
        <v>32</v>
      </c>
      <c r="R829" t="str">
        <f>IF(Orders[[#This Row],[CustomerAge]]&gt;=35, "Older", "Young")</f>
        <v>Young</v>
      </c>
      <c r="S829" t="str">
        <f>_xlfn.XLOOKUP(Orders[[#This Row],[ProductID]],Products[ProductID],Products[ProductName])</f>
        <v>Kids Games</v>
      </c>
      <c r="T829" t="str">
        <f>_xlfn.XLOOKUP(Orders[[#This Row],[ProductID]],Products[ProductID],Products[Category])</f>
        <v>Games</v>
      </c>
    </row>
    <row r="830" spans="1:20" x14ac:dyDescent="0.25">
      <c r="A830" s="4" t="s">
        <v>1019</v>
      </c>
      <c r="B830" s="5">
        <v>46009</v>
      </c>
      <c r="C830" s="15">
        <f>WEEKNUM(Orders[[#This Row],[OrderDate]])</f>
        <v>51</v>
      </c>
      <c r="D830" s="15" t="str">
        <f>TEXT(Orders[[#This Row],[OrderDate]],"mmmm")</f>
        <v>December</v>
      </c>
      <c r="E830" s="4" t="s">
        <v>605</v>
      </c>
      <c r="F830" s="4" t="s">
        <v>53</v>
      </c>
      <c r="G830" s="4">
        <v>1</v>
      </c>
      <c r="H830" s="12">
        <v>11390.1</v>
      </c>
      <c r="I830" s="13">
        <v>9681.5850000000009</v>
      </c>
      <c r="J830" s="13">
        <f>Orders[[#This Row],[Quantity]]*Orders[[#This Row],[Selling Price]]</f>
        <v>11390.1</v>
      </c>
      <c r="K830" s="13">
        <f>Orders[[#This Row],[Quantity]]*Orders[[#This Row],[Cost Price]]</f>
        <v>9681.5850000000009</v>
      </c>
      <c r="L830" s="13">
        <f>Orders[[#This Row],[Revenue]]-Orders[[#This Row],[Expenses]]</f>
        <v>1708.5149999999994</v>
      </c>
      <c r="M830" t="s">
        <v>2196</v>
      </c>
      <c r="N830" t="str">
        <f>_xlfn.XLOOKUP(Orders[[#This Row],[CustomerID]],Customers[CustomerID],Customers[CustomerName])</f>
        <v>Blessing Abubakar</v>
      </c>
      <c r="O830" t="str">
        <f>_xlfn.XLOOKUP(Orders[[#This Row],[CustomerID]],Customers[CustomerID],Customers[City])</f>
        <v>Texas</v>
      </c>
      <c r="P830" t="str">
        <f>_xlfn.XLOOKUP(Orders[[#This Row],[CustomerID]],Customers[CustomerID],Customers[Gender])</f>
        <v>Female</v>
      </c>
      <c r="Q830">
        <f>_xlfn.XLOOKUP(Orders[[#This Row],[CustomerID]],Customers[CustomerID],Customers[CustomerAge])</f>
        <v>44</v>
      </c>
      <c r="R830" t="str">
        <f>IF(Orders[[#This Row],[CustomerAge]]&gt;=35, "Older", "Young")</f>
        <v>Older</v>
      </c>
      <c r="S830" t="str">
        <f>_xlfn.XLOOKUP(Orders[[#This Row],[ProductID]],Products[ProductID],Products[ProductName])</f>
        <v>Silver Bangles</v>
      </c>
      <c r="T830" t="str">
        <f>_xlfn.XLOOKUP(Orders[[#This Row],[ProductID]],Products[ProductID],Products[Category])</f>
        <v>Accessories</v>
      </c>
    </row>
    <row r="831" spans="1:20" x14ac:dyDescent="0.25">
      <c r="A831" s="4" t="s">
        <v>1020</v>
      </c>
      <c r="B831" s="5">
        <v>45986</v>
      </c>
      <c r="C831" s="15">
        <f>WEEKNUM(Orders[[#This Row],[OrderDate]])</f>
        <v>48</v>
      </c>
      <c r="D831" s="15" t="str">
        <f>TEXT(Orders[[#This Row],[OrderDate]],"mmmm")</f>
        <v>November</v>
      </c>
      <c r="E831" s="4" t="s">
        <v>246</v>
      </c>
      <c r="F831" s="4" t="s">
        <v>60</v>
      </c>
      <c r="G831" s="4">
        <v>2</v>
      </c>
      <c r="H831" s="12">
        <v>12535.9</v>
      </c>
      <c r="I831" s="13">
        <v>10655.514999999999</v>
      </c>
      <c r="J831" s="13">
        <f>Orders[[#This Row],[Quantity]]*Orders[[#This Row],[Selling Price]]</f>
        <v>25071.8</v>
      </c>
      <c r="K831" s="13">
        <f>Orders[[#This Row],[Quantity]]*Orders[[#This Row],[Cost Price]]</f>
        <v>21311.03</v>
      </c>
      <c r="L831" s="13">
        <f>Orders[[#This Row],[Revenue]]-Orders[[#This Row],[Expenses]]</f>
        <v>3760.7700000000004</v>
      </c>
      <c r="M831" t="s">
        <v>2206</v>
      </c>
      <c r="N831" t="str">
        <f>_xlfn.XLOOKUP(Orders[[#This Row],[CustomerID]],Customers[CustomerID],Customers[CustomerName])</f>
        <v>Emeka Abubakar</v>
      </c>
      <c r="O831" t="str">
        <f>_xlfn.XLOOKUP(Orders[[#This Row],[CustomerID]],Customers[CustomerID],Customers[City])</f>
        <v>Florida</v>
      </c>
      <c r="P831" t="str">
        <f>_xlfn.XLOOKUP(Orders[[#This Row],[CustomerID]],Customers[CustomerID],Customers[Gender])</f>
        <v>Male</v>
      </c>
      <c r="Q831">
        <f>_xlfn.XLOOKUP(Orders[[#This Row],[CustomerID]],Customers[CustomerID],Customers[CustomerAge])</f>
        <v>28</v>
      </c>
      <c r="R831" t="str">
        <f>IF(Orders[[#This Row],[CustomerAge]]&gt;=35, "Older", "Young")</f>
        <v>Young</v>
      </c>
      <c r="S831" t="str">
        <f>_xlfn.XLOOKUP(Orders[[#This Row],[ProductID]],Products[ProductID],Products[ProductName])</f>
        <v>Silver Rings</v>
      </c>
      <c r="T831" t="str">
        <f>_xlfn.XLOOKUP(Orders[[#This Row],[ProductID]],Products[ProductID],Products[Category])</f>
        <v>Accessories</v>
      </c>
    </row>
    <row r="832" spans="1:20" x14ac:dyDescent="0.25">
      <c r="A832" s="4" t="s">
        <v>1021</v>
      </c>
      <c r="B832" s="5">
        <v>46011</v>
      </c>
      <c r="C832" s="15">
        <f>WEEKNUM(Orders[[#This Row],[OrderDate]])</f>
        <v>51</v>
      </c>
      <c r="D832" s="15" t="str">
        <f>TEXT(Orders[[#This Row],[OrderDate]],"mmmm")</f>
        <v>December</v>
      </c>
      <c r="E832" s="4" t="s">
        <v>132</v>
      </c>
      <c r="F832" s="4" t="s">
        <v>60</v>
      </c>
      <c r="G832" s="4">
        <v>6</v>
      </c>
      <c r="H832" s="12">
        <v>11469.8</v>
      </c>
      <c r="I832" s="13">
        <v>9749.33</v>
      </c>
      <c r="J832" s="13">
        <f>Orders[[#This Row],[Quantity]]*Orders[[#This Row],[Selling Price]]</f>
        <v>68818.799999999988</v>
      </c>
      <c r="K832" s="13">
        <f>Orders[[#This Row],[Quantity]]*Orders[[#This Row],[Cost Price]]</f>
        <v>58495.979999999996</v>
      </c>
      <c r="L832" s="13">
        <f>Orders[[#This Row],[Revenue]]-Orders[[#This Row],[Expenses]]</f>
        <v>10322.819999999992</v>
      </c>
      <c r="M832" t="s">
        <v>2204</v>
      </c>
      <c r="N832" t="str">
        <f>_xlfn.XLOOKUP(Orders[[#This Row],[CustomerID]],Customers[CustomerID],Customers[CustomerName])</f>
        <v>Emeka Balogun</v>
      </c>
      <c r="O832" t="str">
        <f>_xlfn.XLOOKUP(Orders[[#This Row],[CustomerID]],Customers[CustomerID],Customers[City])</f>
        <v>Illinois</v>
      </c>
      <c r="P832" t="str">
        <f>_xlfn.XLOOKUP(Orders[[#This Row],[CustomerID]],Customers[CustomerID],Customers[Gender])</f>
        <v>Male</v>
      </c>
      <c r="Q832">
        <f>_xlfn.XLOOKUP(Orders[[#This Row],[CustomerID]],Customers[CustomerID],Customers[CustomerAge])</f>
        <v>36</v>
      </c>
      <c r="R832" t="str">
        <f>IF(Orders[[#This Row],[CustomerAge]]&gt;=35, "Older", "Young")</f>
        <v>Older</v>
      </c>
      <c r="S832" t="str">
        <f>_xlfn.XLOOKUP(Orders[[#This Row],[ProductID]],Products[ProductID],Products[ProductName])</f>
        <v>Silver Rings</v>
      </c>
      <c r="T832" t="str">
        <f>_xlfn.XLOOKUP(Orders[[#This Row],[ProductID]],Products[ProductID],Products[Category])</f>
        <v>Accessories</v>
      </c>
    </row>
    <row r="833" spans="1:20" x14ac:dyDescent="0.25">
      <c r="A833" s="4" t="s">
        <v>1022</v>
      </c>
      <c r="B833" s="5">
        <v>46009</v>
      </c>
      <c r="C833" s="15">
        <f>WEEKNUM(Orders[[#This Row],[OrderDate]])</f>
        <v>51</v>
      </c>
      <c r="D833" s="15" t="str">
        <f>TEXT(Orders[[#This Row],[OrderDate]],"mmmm")</f>
        <v>December</v>
      </c>
      <c r="E833" s="4" t="s">
        <v>33</v>
      </c>
      <c r="F833" s="4" t="s">
        <v>60</v>
      </c>
      <c r="G833" s="4">
        <v>5</v>
      </c>
      <c r="H833" s="12">
        <v>8415.5999999999985</v>
      </c>
      <c r="I833" s="13">
        <v>7153.2599999999984</v>
      </c>
      <c r="J833" s="13">
        <f>Orders[[#This Row],[Quantity]]*Orders[[#This Row],[Selling Price]]</f>
        <v>42077.999999999993</v>
      </c>
      <c r="K833" s="13">
        <f>Orders[[#This Row],[Quantity]]*Orders[[#This Row],[Cost Price]]</f>
        <v>35766.299999999988</v>
      </c>
      <c r="L833" s="13">
        <f>Orders[[#This Row],[Revenue]]-Orders[[#This Row],[Expenses]]</f>
        <v>6311.7000000000044</v>
      </c>
      <c r="M833" t="s">
        <v>2204</v>
      </c>
      <c r="N833" t="str">
        <f>_xlfn.XLOOKUP(Orders[[#This Row],[CustomerID]],Customers[CustomerID],Customers[CustomerName])</f>
        <v>Okon Balogun</v>
      </c>
      <c r="O833" t="str">
        <f>_xlfn.XLOOKUP(Orders[[#This Row],[CustomerID]],Customers[CustomerID],Customers[City])</f>
        <v>Texas</v>
      </c>
      <c r="P833" t="str">
        <f>_xlfn.XLOOKUP(Orders[[#This Row],[CustomerID]],Customers[CustomerID],Customers[Gender])</f>
        <v>Male</v>
      </c>
      <c r="Q833">
        <f>_xlfn.XLOOKUP(Orders[[#This Row],[CustomerID]],Customers[CustomerID],Customers[CustomerAge])</f>
        <v>28</v>
      </c>
      <c r="R833" t="str">
        <f>IF(Orders[[#This Row],[CustomerAge]]&gt;=35, "Older", "Young")</f>
        <v>Young</v>
      </c>
      <c r="S833" t="str">
        <f>_xlfn.XLOOKUP(Orders[[#This Row],[ProductID]],Products[ProductID],Products[ProductName])</f>
        <v>Silver Rings</v>
      </c>
      <c r="T833" t="str">
        <f>_xlfn.XLOOKUP(Orders[[#This Row],[ProductID]],Products[ProductID],Products[Category])</f>
        <v>Accessories</v>
      </c>
    </row>
    <row r="834" spans="1:20" x14ac:dyDescent="0.25">
      <c r="A834" s="4" t="s">
        <v>1023</v>
      </c>
      <c r="B834" s="5">
        <v>45935</v>
      </c>
      <c r="C834" s="15">
        <f>WEEKNUM(Orders[[#This Row],[OrderDate]])</f>
        <v>41</v>
      </c>
      <c r="D834" s="15" t="str">
        <f>TEXT(Orders[[#This Row],[OrderDate]],"mmmm")</f>
        <v>October</v>
      </c>
      <c r="E834" s="4" t="s">
        <v>148</v>
      </c>
      <c r="F834" s="4" t="s">
        <v>31</v>
      </c>
      <c r="G834" s="4">
        <v>1</v>
      </c>
      <c r="H834" s="12">
        <v>17410.2</v>
      </c>
      <c r="I834" s="13">
        <v>14798.67</v>
      </c>
      <c r="J834" s="13">
        <f>Orders[[#This Row],[Quantity]]*Orders[[#This Row],[Selling Price]]</f>
        <v>17410.2</v>
      </c>
      <c r="K834" s="13">
        <f>Orders[[#This Row],[Quantity]]*Orders[[#This Row],[Cost Price]]</f>
        <v>14798.67</v>
      </c>
      <c r="L834" s="13">
        <f>Orders[[#This Row],[Revenue]]-Orders[[#This Row],[Expenses]]</f>
        <v>2611.5300000000007</v>
      </c>
      <c r="M834" t="s">
        <v>2193</v>
      </c>
      <c r="N834" t="str">
        <f>_xlfn.XLOOKUP(Orders[[#This Row],[CustomerID]],Customers[CustomerID],Customers[CustomerName])</f>
        <v>Zainab Abubakar</v>
      </c>
      <c r="O834" t="str">
        <f>_xlfn.XLOOKUP(Orders[[#This Row],[CustomerID]],Customers[CustomerID],Customers[City])</f>
        <v>Florida</v>
      </c>
      <c r="P834" t="str">
        <f>_xlfn.XLOOKUP(Orders[[#This Row],[CustomerID]],Customers[CustomerID],Customers[Gender])</f>
        <v>Female</v>
      </c>
      <c r="Q834">
        <f>_xlfn.XLOOKUP(Orders[[#This Row],[CustomerID]],Customers[CustomerID],Customers[CustomerAge])</f>
        <v>29</v>
      </c>
      <c r="R834" t="str">
        <f>IF(Orders[[#This Row],[CustomerAge]]&gt;=35, "Older", "Young")</f>
        <v>Young</v>
      </c>
      <c r="S834" t="str">
        <f>_xlfn.XLOOKUP(Orders[[#This Row],[ProductID]],Products[ProductID],Products[ProductName])</f>
        <v>Kids Games</v>
      </c>
      <c r="T834" t="str">
        <f>_xlfn.XLOOKUP(Orders[[#This Row],[ProductID]],Products[ProductID],Products[Category])</f>
        <v>Games</v>
      </c>
    </row>
    <row r="835" spans="1:20" x14ac:dyDescent="0.25">
      <c r="A835" s="4" t="s">
        <v>1024</v>
      </c>
      <c r="B835" s="5">
        <v>45957</v>
      </c>
      <c r="C835" s="15">
        <f>WEEKNUM(Orders[[#This Row],[OrderDate]])</f>
        <v>44</v>
      </c>
      <c r="D835" s="15" t="str">
        <f>TEXT(Orders[[#This Row],[OrderDate]],"mmmm")</f>
        <v>October</v>
      </c>
      <c r="E835" s="4" t="s">
        <v>298</v>
      </c>
      <c r="F835" s="4" t="s">
        <v>63</v>
      </c>
      <c r="G835" s="4">
        <v>7</v>
      </c>
      <c r="H835" s="12">
        <v>1880.9</v>
      </c>
      <c r="I835" s="13">
        <v>1598.7650000000001</v>
      </c>
      <c r="J835" s="13">
        <f>Orders[[#This Row],[Quantity]]*Orders[[#This Row],[Selling Price]]</f>
        <v>13166.300000000001</v>
      </c>
      <c r="K835" s="13">
        <f>Orders[[#This Row],[Quantity]]*Orders[[#This Row],[Cost Price]]</f>
        <v>11191.355000000001</v>
      </c>
      <c r="L835" s="13">
        <f>Orders[[#This Row],[Revenue]]-Orders[[#This Row],[Expenses]]</f>
        <v>1974.9449999999997</v>
      </c>
      <c r="M835" t="s">
        <v>2213</v>
      </c>
      <c r="N835" t="str">
        <f>_xlfn.XLOOKUP(Orders[[#This Row],[CustomerID]],Customers[CustomerID],Customers[CustomerName])</f>
        <v>Amina Obi</v>
      </c>
      <c r="O835" t="str">
        <f>_xlfn.XLOOKUP(Orders[[#This Row],[CustomerID]],Customers[CustomerID],Customers[City])</f>
        <v>Florida</v>
      </c>
      <c r="P835" t="str">
        <f>_xlfn.XLOOKUP(Orders[[#This Row],[CustomerID]],Customers[CustomerID],Customers[Gender])</f>
        <v>Female</v>
      </c>
      <c r="Q835">
        <f>_xlfn.XLOOKUP(Orders[[#This Row],[CustomerID]],Customers[CustomerID],Customers[CustomerAge])</f>
        <v>19</v>
      </c>
      <c r="R835" t="str">
        <f>IF(Orders[[#This Row],[CustomerAge]]&gt;=35, "Older", "Young")</f>
        <v>Young</v>
      </c>
      <c r="S835" t="str">
        <f>_xlfn.XLOOKUP(Orders[[#This Row],[ProductID]],Products[ProductID],Products[ProductName])</f>
        <v>Tennis Bat</v>
      </c>
      <c r="T835" t="str">
        <f>_xlfn.XLOOKUP(Orders[[#This Row],[ProductID]],Products[ProductID],Products[Category])</f>
        <v>Sports</v>
      </c>
    </row>
    <row r="836" spans="1:20" x14ac:dyDescent="0.25">
      <c r="A836" s="4" t="s">
        <v>1025</v>
      </c>
      <c r="B836" s="5">
        <v>46000</v>
      </c>
      <c r="C836" s="15">
        <f>WEEKNUM(Orders[[#This Row],[OrderDate]])</f>
        <v>50</v>
      </c>
      <c r="D836" s="15" t="str">
        <f>TEXT(Orders[[#This Row],[OrderDate]],"mmmm")</f>
        <v>December</v>
      </c>
      <c r="E836" s="4" t="s">
        <v>78</v>
      </c>
      <c r="F836" s="4" t="s">
        <v>92</v>
      </c>
      <c r="G836" s="4">
        <v>1</v>
      </c>
      <c r="H836" s="12">
        <v>18692.8</v>
      </c>
      <c r="I836" s="13">
        <v>15888.88</v>
      </c>
      <c r="J836" s="13">
        <f>Orders[[#This Row],[Quantity]]*Orders[[#This Row],[Selling Price]]</f>
        <v>18692.8</v>
      </c>
      <c r="K836" s="13">
        <f>Orders[[#This Row],[Quantity]]*Orders[[#This Row],[Cost Price]]</f>
        <v>15888.88</v>
      </c>
      <c r="L836" s="13">
        <f>Orders[[#This Row],[Revenue]]-Orders[[#This Row],[Expenses]]</f>
        <v>2803.92</v>
      </c>
      <c r="M836" t="s">
        <v>2196</v>
      </c>
      <c r="N836" t="str">
        <f>_xlfn.XLOOKUP(Orders[[#This Row],[CustomerID]],Customers[CustomerID],Customers[CustomerName])</f>
        <v>Chinedu Obi</v>
      </c>
      <c r="O836" t="str">
        <f>_xlfn.XLOOKUP(Orders[[#This Row],[CustomerID]],Customers[CustomerID],Customers[City])</f>
        <v>Washington</v>
      </c>
      <c r="P836" t="str">
        <f>_xlfn.XLOOKUP(Orders[[#This Row],[CustomerID]],Customers[CustomerID],Customers[Gender])</f>
        <v>Male</v>
      </c>
      <c r="Q836">
        <f>_xlfn.XLOOKUP(Orders[[#This Row],[CustomerID]],Customers[CustomerID],Customers[CustomerAge])</f>
        <v>38</v>
      </c>
      <c r="R836" t="str">
        <f>IF(Orders[[#This Row],[CustomerAge]]&gt;=35, "Older", "Young")</f>
        <v>Older</v>
      </c>
      <c r="S836" t="str">
        <f>_xlfn.XLOOKUP(Orders[[#This Row],[ProductID]],Products[ProductID],Products[ProductName])</f>
        <v>Chest Expander</v>
      </c>
      <c r="T836" t="str">
        <f>_xlfn.XLOOKUP(Orders[[#This Row],[ProductID]],Products[ProductID],Products[Category])</f>
        <v>Gym</v>
      </c>
    </row>
    <row r="837" spans="1:20" x14ac:dyDescent="0.25">
      <c r="A837" s="4" t="s">
        <v>1026</v>
      </c>
      <c r="B837" s="5">
        <v>46005</v>
      </c>
      <c r="C837" s="15">
        <f>WEEKNUM(Orders[[#This Row],[OrderDate]])</f>
        <v>51</v>
      </c>
      <c r="D837" s="15" t="str">
        <f>TEXT(Orders[[#This Row],[OrderDate]],"mmmm")</f>
        <v>December</v>
      </c>
      <c r="E837" s="4" t="s">
        <v>105</v>
      </c>
      <c r="F837" s="4" t="s">
        <v>20</v>
      </c>
      <c r="G837" s="4">
        <v>7</v>
      </c>
      <c r="H837" s="12">
        <v>12076</v>
      </c>
      <c r="I837" s="13">
        <v>10264.6</v>
      </c>
      <c r="J837" s="13">
        <f>Orders[[#This Row],[Quantity]]*Orders[[#This Row],[Selling Price]]</f>
        <v>84532</v>
      </c>
      <c r="K837" s="13">
        <f>Orders[[#This Row],[Quantity]]*Orders[[#This Row],[Cost Price]]</f>
        <v>71852.2</v>
      </c>
      <c r="L837" s="13">
        <f>Orders[[#This Row],[Revenue]]-Orders[[#This Row],[Expenses]]</f>
        <v>12679.800000000003</v>
      </c>
      <c r="M837" t="s">
        <v>2194</v>
      </c>
      <c r="N837" t="str">
        <f>_xlfn.XLOOKUP(Orders[[#This Row],[CustomerID]],Customers[CustomerID],Customers[CustomerName])</f>
        <v>Folasade Adeyemi</v>
      </c>
      <c r="O837" t="str">
        <f>_xlfn.XLOOKUP(Orders[[#This Row],[CustomerID]],Customers[CustomerID],Customers[City])</f>
        <v>Georgia</v>
      </c>
      <c r="P837" t="str">
        <f>_xlfn.XLOOKUP(Orders[[#This Row],[CustomerID]],Customers[CustomerID],Customers[Gender])</f>
        <v>Female</v>
      </c>
      <c r="Q837">
        <f>_xlfn.XLOOKUP(Orders[[#This Row],[CustomerID]],Customers[CustomerID],Customers[CustomerAge])</f>
        <v>42</v>
      </c>
      <c r="R837" t="str">
        <f>IF(Orders[[#This Row],[CustomerAge]]&gt;=35, "Older", "Young")</f>
        <v>Older</v>
      </c>
      <c r="S837" t="str">
        <f>_xlfn.XLOOKUP(Orders[[#This Row],[ProductID]],Products[ProductID],Products[ProductName])</f>
        <v>Gym Bag</v>
      </c>
      <c r="T837" t="str">
        <f>_xlfn.XLOOKUP(Orders[[#This Row],[ProductID]],Products[ProductID],Products[Category])</f>
        <v>Gym</v>
      </c>
    </row>
    <row r="838" spans="1:20" x14ac:dyDescent="0.25">
      <c r="A838" s="4" t="s">
        <v>1027</v>
      </c>
      <c r="B838" s="5">
        <v>45934</v>
      </c>
      <c r="C838" s="15">
        <f>WEEKNUM(Orders[[#This Row],[OrderDate]])</f>
        <v>40</v>
      </c>
      <c r="D838" s="15" t="str">
        <f>TEXT(Orders[[#This Row],[OrderDate]],"mmmm")</f>
        <v>October</v>
      </c>
      <c r="E838" s="4" t="s">
        <v>33</v>
      </c>
      <c r="F838" s="4" t="s">
        <v>81</v>
      </c>
      <c r="G838" s="4">
        <v>5</v>
      </c>
      <c r="H838" s="12">
        <v>10762.7</v>
      </c>
      <c r="I838" s="13">
        <v>9148.2950000000001</v>
      </c>
      <c r="J838" s="13">
        <f>Orders[[#This Row],[Quantity]]*Orders[[#This Row],[Selling Price]]</f>
        <v>53813.5</v>
      </c>
      <c r="K838" s="13">
        <f>Orders[[#This Row],[Quantity]]*Orders[[#This Row],[Cost Price]]</f>
        <v>45741.474999999999</v>
      </c>
      <c r="L838" s="13">
        <f>Orders[[#This Row],[Revenue]]-Orders[[#This Row],[Expenses]]</f>
        <v>8072.0250000000015</v>
      </c>
      <c r="M838" t="s">
        <v>2199</v>
      </c>
      <c r="N838" t="str">
        <f>_xlfn.XLOOKUP(Orders[[#This Row],[CustomerID]],Customers[CustomerID],Customers[CustomerName])</f>
        <v>Okon Balogun</v>
      </c>
      <c r="O838" t="str">
        <f>_xlfn.XLOOKUP(Orders[[#This Row],[CustomerID]],Customers[CustomerID],Customers[City])</f>
        <v>Texas</v>
      </c>
      <c r="P838" t="str">
        <f>_xlfn.XLOOKUP(Orders[[#This Row],[CustomerID]],Customers[CustomerID],Customers[Gender])</f>
        <v>Male</v>
      </c>
      <c r="Q838">
        <f>_xlfn.XLOOKUP(Orders[[#This Row],[CustomerID]],Customers[CustomerID],Customers[CustomerAge])</f>
        <v>28</v>
      </c>
      <c r="R838" t="str">
        <f>IF(Orders[[#This Row],[CustomerAge]]&gt;=35, "Older", "Young")</f>
        <v>Young</v>
      </c>
      <c r="S838" t="str">
        <f>_xlfn.XLOOKUP(Orders[[#This Row],[ProductID]],Products[ProductID],Products[ProductName])</f>
        <v>Trousers</v>
      </c>
      <c r="T838" t="str">
        <f>_xlfn.XLOOKUP(Orders[[#This Row],[ProductID]],Products[ProductID],Products[Category])</f>
        <v>Clothing</v>
      </c>
    </row>
    <row r="839" spans="1:20" x14ac:dyDescent="0.25">
      <c r="A839" s="4" t="s">
        <v>1028</v>
      </c>
      <c r="B839" s="5">
        <v>45962</v>
      </c>
      <c r="C839" s="15">
        <f>WEEKNUM(Orders[[#This Row],[OrderDate]])</f>
        <v>44</v>
      </c>
      <c r="D839" s="15" t="str">
        <f>TEXT(Orders[[#This Row],[OrderDate]],"mmmm")</f>
        <v>November</v>
      </c>
      <c r="E839" s="4" t="s">
        <v>256</v>
      </c>
      <c r="F839" s="4" t="s">
        <v>53</v>
      </c>
      <c r="G839" s="4">
        <v>2</v>
      </c>
      <c r="H839" s="12">
        <v>10122.200000000001</v>
      </c>
      <c r="I839" s="13">
        <v>8603.8700000000008</v>
      </c>
      <c r="J839" s="13">
        <f>Orders[[#This Row],[Quantity]]*Orders[[#This Row],[Selling Price]]</f>
        <v>20244.400000000001</v>
      </c>
      <c r="K839" s="13">
        <f>Orders[[#This Row],[Quantity]]*Orders[[#This Row],[Cost Price]]</f>
        <v>17207.740000000002</v>
      </c>
      <c r="L839" s="13">
        <f>Orders[[#This Row],[Revenue]]-Orders[[#This Row],[Expenses]]</f>
        <v>3036.66</v>
      </c>
      <c r="M839" t="s">
        <v>2208</v>
      </c>
      <c r="N839" t="str">
        <f>_xlfn.XLOOKUP(Orders[[#This Row],[CustomerID]],Customers[CustomerID],Customers[CustomerName])</f>
        <v>Efe Ojo</v>
      </c>
      <c r="O839" t="str">
        <f>_xlfn.XLOOKUP(Orders[[#This Row],[CustomerID]],Customers[CustomerID],Customers[City])</f>
        <v>Georgia</v>
      </c>
      <c r="P839" t="str">
        <f>_xlfn.XLOOKUP(Orders[[#This Row],[CustomerID]],Customers[CustomerID],Customers[Gender])</f>
        <v>Female</v>
      </c>
      <c r="Q839">
        <f>_xlfn.XLOOKUP(Orders[[#This Row],[CustomerID]],Customers[CustomerID],Customers[CustomerAge])</f>
        <v>23</v>
      </c>
      <c r="R839" t="str">
        <f>IF(Orders[[#This Row],[CustomerAge]]&gt;=35, "Older", "Young")</f>
        <v>Young</v>
      </c>
      <c r="S839" t="str">
        <f>_xlfn.XLOOKUP(Orders[[#This Row],[ProductID]],Products[ProductID],Products[ProductName])</f>
        <v>Silver Bangles</v>
      </c>
      <c r="T839" t="str">
        <f>_xlfn.XLOOKUP(Orders[[#This Row],[ProductID]],Products[ProductID],Products[Category])</f>
        <v>Accessories</v>
      </c>
    </row>
    <row r="840" spans="1:20" x14ac:dyDescent="0.25">
      <c r="A840" s="4" t="s">
        <v>1029</v>
      </c>
      <c r="B840" s="5">
        <v>45961</v>
      </c>
      <c r="C840" s="15">
        <f>WEEKNUM(Orders[[#This Row],[OrderDate]])</f>
        <v>44</v>
      </c>
      <c r="D840" s="15" t="str">
        <f>TEXT(Orders[[#This Row],[OrderDate]],"mmmm")</f>
        <v>October</v>
      </c>
      <c r="E840" s="4" t="s">
        <v>124</v>
      </c>
      <c r="F840" s="4" t="s">
        <v>53</v>
      </c>
      <c r="G840" s="4">
        <v>1</v>
      </c>
      <c r="H840" s="12">
        <v>11766.099999999999</v>
      </c>
      <c r="I840" s="13">
        <v>10001.184999999999</v>
      </c>
      <c r="J840" s="13">
        <f>Orders[[#This Row],[Quantity]]*Orders[[#This Row],[Selling Price]]</f>
        <v>11766.099999999999</v>
      </c>
      <c r="K840" s="13">
        <f>Orders[[#This Row],[Quantity]]*Orders[[#This Row],[Cost Price]]</f>
        <v>10001.184999999999</v>
      </c>
      <c r="L840" s="13">
        <f>Orders[[#This Row],[Revenue]]-Orders[[#This Row],[Expenses]]</f>
        <v>1764.9149999999991</v>
      </c>
      <c r="M840" t="s">
        <v>2213</v>
      </c>
      <c r="N840" t="str">
        <f>_xlfn.XLOOKUP(Orders[[#This Row],[CustomerID]],Customers[CustomerID],Customers[CustomerName])</f>
        <v>Ngozi Ojo</v>
      </c>
      <c r="O840" t="str">
        <f>_xlfn.XLOOKUP(Orders[[#This Row],[CustomerID]],Customers[CustomerID],Customers[City])</f>
        <v>Texas</v>
      </c>
      <c r="P840" t="str">
        <f>_xlfn.XLOOKUP(Orders[[#This Row],[CustomerID]],Customers[CustomerID],Customers[Gender])</f>
        <v>Female</v>
      </c>
      <c r="Q840">
        <f>_xlfn.XLOOKUP(Orders[[#This Row],[CustomerID]],Customers[CustomerID],Customers[CustomerAge])</f>
        <v>22</v>
      </c>
      <c r="R840" t="str">
        <f>IF(Orders[[#This Row],[CustomerAge]]&gt;=35, "Older", "Young")</f>
        <v>Young</v>
      </c>
      <c r="S840" t="str">
        <f>_xlfn.XLOOKUP(Orders[[#This Row],[ProductID]],Products[ProductID],Products[ProductName])</f>
        <v>Silver Bangles</v>
      </c>
      <c r="T840" t="str">
        <f>_xlfn.XLOOKUP(Orders[[#This Row],[ProductID]],Products[ProductID],Products[Category])</f>
        <v>Accessories</v>
      </c>
    </row>
    <row r="841" spans="1:20" x14ac:dyDescent="0.25">
      <c r="A841" s="4" t="s">
        <v>1030</v>
      </c>
      <c r="B841" s="5">
        <v>45937</v>
      </c>
      <c r="C841" s="15">
        <f>WEEKNUM(Orders[[#This Row],[OrderDate]])</f>
        <v>41</v>
      </c>
      <c r="D841" s="15" t="str">
        <f>TEXT(Orders[[#This Row],[OrderDate]],"mmmm")</f>
        <v>October</v>
      </c>
      <c r="E841" s="4" t="s">
        <v>62</v>
      </c>
      <c r="F841" s="4" t="s">
        <v>130</v>
      </c>
      <c r="G841" s="4">
        <v>9</v>
      </c>
      <c r="H841" s="12">
        <v>10332.299999999999</v>
      </c>
      <c r="I841" s="13">
        <v>8782.4549999999999</v>
      </c>
      <c r="J841" s="13">
        <f>Orders[[#This Row],[Quantity]]*Orders[[#This Row],[Selling Price]]</f>
        <v>92990.7</v>
      </c>
      <c r="K841" s="13">
        <f>Orders[[#This Row],[Quantity]]*Orders[[#This Row],[Cost Price]]</f>
        <v>79042.095000000001</v>
      </c>
      <c r="L841" s="13">
        <f>Orders[[#This Row],[Revenue]]-Orders[[#This Row],[Expenses]]</f>
        <v>13948.604999999996</v>
      </c>
      <c r="M841" t="s">
        <v>2199</v>
      </c>
      <c r="N841" t="str">
        <f>_xlfn.XLOOKUP(Orders[[#This Row],[CustomerID]],Customers[CustomerID],Customers[CustomerName])</f>
        <v>Ronke Okonkwo</v>
      </c>
      <c r="O841" t="str">
        <f>_xlfn.XLOOKUP(Orders[[#This Row],[CustomerID]],Customers[CustomerID],Customers[City])</f>
        <v>Texas</v>
      </c>
      <c r="P841" t="str">
        <f>_xlfn.XLOOKUP(Orders[[#This Row],[CustomerID]],Customers[CustomerID],Customers[Gender])</f>
        <v>Female</v>
      </c>
      <c r="Q841">
        <f>_xlfn.XLOOKUP(Orders[[#This Row],[CustomerID]],Customers[CustomerID],Customers[CustomerAge])</f>
        <v>36</v>
      </c>
      <c r="R841" t="str">
        <f>IF(Orders[[#This Row],[CustomerAge]]&gt;=35, "Older", "Young")</f>
        <v>Older</v>
      </c>
      <c r="S841" t="str">
        <f>_xlfn.XLOOKUP(Orders[[#This Row],[ProductID]],Products[ProductID],Products[ProductName])</f>
        <v>Gold Earrings And Necklaces</v>
      </c>
      <c r="T841" t="str">
        <f>_xlfn.XLOOKUP(Orders[[#This Row],[ProductID]],Products[ProductID],Products[Category])</f>
        <v>Accessories</v>
      </c>
    </row>
    <row r="842" spans="1:20" x14ac:dyDescent="0.25">
      <c r="A842" s="4" t="s">
        <v>1031</v>
      </c>
      <c r="B842" s="5">
        <v>45951</v>
      </c>
      <c r="C842" s="15">
        <f>WEEKNUM(Orders[[#This Row],[OrderDate]])</f>
        <v>43</v>
      </c>
      <c r="D842" s="15" t="str">
        <f>TEXT(Orders[[#This Row],[OrderDate]],"mmmm")</f>
        <v>October</v>
      </c>
      <c r="E842" s="4" t="s">
        <v>134</v>
      </c>
      <c r="F842" s="4" t="s">
        <v>208</v>
      </c>
      <c r="G842" s="4">
        <v>8</v>
      </c>
      <c r="H842" s="12">
        <v>10424</v>
      </c>
      <c r="I842" s="13">
        <v>8860.4</v>
      </c>
      <c r="J842" s="13">
        <f>Orders[[#This Row],[Quantity]]*Orders[[#This Row],[Selling Price]]</f>
        <v>83392</v>
      </c>
      <c r="K842" s="13">
        <f>Orders[[#This Row],[Quantity]]*Orders[[#This Row],[Cost Price]]</f>
        <v>70883.199999999997</v>
      </c>
      <c r="L842" s="13">
        <f>Orders[[#This Row],[Revenue]]-Orders[[#This Row],[Expenses]]</f>
        <v>12508.800000000003</v>
      </c>
      <c r="M842" t="s">
        <v>2197</v>
      </c>
      <c r="N842" t="str">
        <f>_xlfn.XLOOKUP(Orders[[#This Row],[CustomerID]],Customers[CustomerID],Customers[CustomerName])</f>
        <v>Ngozi Ojo</v>
      </c>
      <c r="O842" t="str">
        <f>_xlfn.XLOOKUP(Orders[[#This Row],[CustomerID]],Customers[CustomerID],Customers[City])</f>
        <v>Florida</v>
      </c>
      <c r="P842" t="str">
        <f>_xlfn.XLOOKUP(Orders[[#This Row],[CustomerID]],Customers[CustomerID],Customers[Gender])</f>
        <v>Female</v>
      </c>
      <c r="Q842">
        <f>_xlfn.XLOOKUP(Orders[[#This Row],[CustomerID]],Customers[CustomerID],Customers[CustomerAge])</f>
        <v>18</v>
      </c>
      <c r="R842" t="str">
        <f>IF(Orders[[#This Row],[CustomerAge]]&gt;=35, "Older", "Young")</f>
        <v>Young</v>
      </c>
      <c r="S842" t="str">
        <f>_xlfn.XLOOKUP(Orders[[#This Row],[ProductID]],Products[ProductID],Products[ProductName])</f>
        <v>Skipping Rope</v>
      </c>
      <c r="T842" t="str">
        <f>_xlfn.XLOOKUP(Orders[[#This Row],[ProductID]],Products[ProductID],Products[Category])</f>
        <v>Sports</v>
      </c>
    </row>
    <row r="843" spans="1:20" x14ac:dyDescent="0.25">
      <c r="A843" s="4" t="s">
        <v>1032</v>
      </c>
      <c r="B843" s="5">
        <v>45932</v>
      </c>
      <c r="C843" s="15">
        <f>WEEKNUM(Orders[[#This Row],[OrderDate]])</f>
        <v>40</v>
      </c>
      <c r="D843" s="15" t="str">
        <f>TEXT(Orders[[#This Row],[OrderDate]],"mmmm")</f>
        <v>October</v>
      </c>
      <c r="E843" s="4" t="s">
        <v>174</v>
      </c>
      <c r="F843" s="4" t="s">
        <v>60</v>
      </c>
      <c r="G843" s="4">
        <v>5</v>
      </c>
      <c r="H843" s="12">
        <v>14667.7</v>
      </c>
      <c r="I843" s="13">
        <v>12467.545</v>
      </c>
      <c r="J843" s="13">
        <f>Orders[[#This Row],[Quantity]]*Orders[[#This Row],[Selling Price]]</f>
        <v>73338.5</v>
      </c>
      <c r="K843" s="13">
        <f>Orders[[#This Row],[Quantity]]*Orders[[#This Row],[Cost Price]]</f>
        <v>62337.724999999999</v>
      </c>
      <c r="L843" s="13">
        <f>Orders[[#This Row],[Revenue]]-Orders[[#This Row],[Expenses]]</f>
        <v>11000.775000000001</v>
      </c>
      <c r="M843" t="s">
        <v>2220</v>
      </c>
      <c r="N843" t="str">
        <f>_xlfn.XLOOKUP(Orders[[#This Row],[CustomerID]],Customers[CustomerID],Customers[CustomerName])</f>
        <v>Zainab Obi</v>
      </c>
      <c r="O843" t="str">
        <f>_xlfn.XLOOKUP(Orders[[#This Row],[CustomerID]],Customers[CustomerID],Customers[City])</f>
        <v>California</v>
      </c>
      <c r="P843" t="str">
        <f>_xlfn.XLOOKUP(Orders[[#This Row],[CustomerID]],Customers[CustomerID],Customers[Gender])</f>
        <v>Female</v>
      </c>
      <c r="Q843">
        <f>_xlfn.XLOOKUP(Orders[[#This Row],[CustomerID]],Customers[CustomerID],Customers[CustomerAge])</f>
        <v>18</v>
      </c>
      <c r="R843" t="str">
        <f>IF(Orders[[#This Row],[CustomerAge]]&gt;=35, "Older", "Young")</f>
        <v>Young</v>
      </c>
      <c r="S843" t="str">
        <f>_xlfn.XLOOKUP(Orders[[#This Row],[ProductID]],Products[ProductID],Products[ProductName])</f>
        <v>Silver Rings</v>
      </c>
      <c r="T843" t="str">
        <f>_xlfn.XLOOKUP(Orders[[#This Row],[ProductID]],Products[ProductID],Products[Category])</f>
        <v>Accessories</v>
      </c>
    </row>
    <row r="844" spans="1:20" x14ac:dyDescent="0.25">
      <c r="A844" s="4" t="s">
        <v>1033</v>
      </c>
      <c r="B844" s="5">
        <v>46017</v>
      </c>
      <c r="C844" s="15">
        <f>WEEKNUM(Orders[[#This Row],[OrderDate]])</f>
        <v>52</v>
      </c>
      <c r="D844" s="15" t="str">
        <f>TEXT(Orders[[#This Row],[OrderDate]],"mmmm")</f>
        <v>December</v>
      </c>
      <c r="E844" s="4" t="s">
        <v>161</v>
      </c>
      <c r="F844" s="4" t="s">
        <v>60</v>
      </c>
      <c r="G844" s="4">
        <v>1</v>
      </c>
      <c r="H844" s="12">
        <v>17262.5</v>
      </c>
      <c r="I844" s="13">
        <v>14673.125</v>
      </c>
      <c r="J844" s="13">
        <f>Orders[[#This Row],[Quantity]]*Orders[[#This Row],[Selling Price]]</f>
        <v>17262.5</v>
      </c>
      <c r="K844" s="13">
        <f>Orders[[#This Row],[Quantity]]*Orders[[#This Row],[Cost Price]]</f>
        <v>14673.125</v>
      </c>
      <c r="L844" s="13">
        <f>Orders[[#This Row],[Revenue]]-Orders[[#This Row],[Expenses]]</f>
        <v>2589.375</v>
      </c>
      <c r="M844" t="s">
        <v>2211</v>
      </c>
      <c r="N844" t="str">
        <f>_xlfn.XLOOKUP(Orders[[#This Row],[CustomerID]],Customers[CustomerID],Customers[CustomerName])</f>
        <v>Okon Adeyemi</v>
      </c>
      <c r="O844" t="str">
        <f>_xlfn.XLOOKUP(Orders[[#This Row],[CustomerID]],Customers[CustomerID],Customers[City])</f>
        <v>Georgia</v>
      </c>
      <c r="P844" t="str">
        <f>_xlfn.XLOOKUP(Orders[[#This Row],[CustomerID]],Customers[CustomerID],Customers[Gender])</f>
        <v>Male</v>
      </c>
      <c r="Q844">
        <f>_xlfn.XLOOKUP(Orders[[#This Row],[CustomerID]],Customers[CustomerID],Customers[CustomerAge])</f>
        <v>31</v>
      </c>
      <c r="R844" t="str">
        <f>IF(Orders[[#This Row],[CustomerAge]]&gt;=35, "Older", "Young")</f>
        <v>Young</v>
      </c>
      <c r="S844" t="str">
        <f>_xlfn.XLOOKUP(Orders[[#This Row],[ProductID]],Products[ProductID],Products[ProductName])</f>
        <v>Silver Rings</v>
      </c>
      <c r="T844" t="str">
        <f>_xlfn.XLOOKUP(Orders[[#This Row],[ProductID]],Products[ProductID],Products[Category])</f>
        <v>Accessories</v>
      </c>
    </row>
    <row r="845" spans="1:20" x14ac:dyDescent="0.25">
      <c r="A845" s="4" t="s">
        <v>1034</v>
      </c>
      <c r="B845" s="5">
        <v>45963</v>
      </c>
      <c r="C845" s="15">
        <f>WEEKNUM(Orders[[#This Row],[OrderDate]])</f>
        <v>45</v>
      </c>
      <c r="D845" s="15" t="str">
        <f>TEXT(Orders[[#This Row],[OrderDate]],"mmmm")</f>
        <v>November</v>
      </c>
      <c r="E845" s="4" t="s">
        <v>468</v>
      </c>
      <c r="F845" s="4" t="s">
        <v>34</v>
      </c>
      <c r="G845" s="4">
        <v>8</v>
      </c>
      <c r="H845" s="12">
        <v>3756</v>
      </c>
      <c r="I845" s="13">
        <v>3192.6</v>
      </c>
      <c r="J845" s="13">
        <f>Orders[[#This Row],[Quantity]]*Orders[[#This Row],[Selling Price]]</f>
        <v>30048</v>
      </c>
      <c r="K845" s="13">
        <f>Orders[[#This Row],[Quantity]]*Orders[[#This Row],[Cost Price]]</f>
        <v>25540.799999999999</v>
      </c>
      <c r="L845" s="13">
        <f>Orders[[#This Row],[Revenue]]-Orders[[#This Row],[Expenses]]</f>
        <v>4507.2000000000007</v>
      </c>
      <c r="M845" t="s">
        <v>2198</v>
      </c>
      <c r="N845" t="str">
        <f>_xlfn.XLOOKUP(Orders[[#This Row],[CustomerID]],Customers[CustomerID],Customers[CustomerName])</f>
        <v>Chioma Adeyemi</v>
      </c>
      <c r="O845" t="str">
        <f>_xlfn.XLOOKUP(Orders[[#This Row],[CustomerID]],Customers[CustomerID],Customers[City])</f>
        <v>California</v>
      </c>
      <c r="P845" t="str">
        <f>_xlfn.XLOOKUP(Orders[[#This Row],[CustomerID]],Customers[CustomerID],Customers[Gender])</f>
        <v>Female</v>
      </c>
      <c r="Q845">
        <f>_xlfn.XLOOKUP(Orders[[#This Row],[CustomerID]],Customers[CustomerID],Customers[CustomerAge])</f>
        <v>23</v>
      </c>
      <c r="R845" t="str">
        <f>IF(Orders[[#This Row],[CustomerAge]]&gt;=35, "Older", "Young")</f>
        <v>Young</v>
      </c>
      <c r="S845" t="str">
        <f>_xlfn.XLOOKUP(Orders[[#This Row],[ProductID]],Products[ProductID],Products[ProductName])</f>
        <v>Gold Bracelets</v>
      </c>
      <c r="T845" t="str">
        <f>_xlfn.XLOOKUP(Orders[[#This Row],[ProductID]],Products[ProductID],Products[Category])</f>
        <v>Accessories</v>
      </c>
    </row>
    <row r="846" spans="1:20" x14ac:dyDescent="0.25">
      <c r="A846" s="4" t="s">
        <v>1035</v>
      </c>
      <c r="B846" s="5">
        <v>45970</v>
      </c>
      <c r="C846" s="15">
        <f>WEEKNUM(Orders[[#This Row],[OrderDate]])</f>
        <v>46</v>
      </c>
      <c r="D846" s="15" t="str">
        <f>TEXT(Orders[[#This Row],[OrderDate]],"mmmm")</f>
        <v>November</v>
      </c>
      <c r="E846" s="4" t="s">
        <v>317</v>
      </c>
      <c r="F846" s="4" t="s">
        <v>130</v>
      </c>
      <c r="G846" s="4">
        <v>4</v>
      </c>
      <c r="H846" s="12">
        <v>8306.2999999999993</v>
      </c>
      <c r="I846" s="13">
        <v>7060.3549999999996</v>
      </c>
      <c r="J846" s="13">
        <f>Orders[[#This Row],[Quantity]]*Orders[[#This Row],[Selling Price]]</f>
        <v>33225.199999999997</v>
      </c>
      <c r="K846" s="13">
        <f>Orders[[#This Row],[Quantity]]*Orders[[#This Row],[Cost Price]]</f>
        <v>28241.42</v>
      </c>
      <c r="L846" s="13">
        <f>Orders[[#This Row],[Revenue]]-Orders[[#This Row],[Expenses]]</f>
        <v>4983.7799999999988</v>
      </c>
      <c r="M846" t="s">
        <v>2199</v>
      </c>
      <c r="N846" t="str">
        <f>_xlfn.XLOOKUP(Orders[[#This Row],[CustomerID]],Customers[CustomerID],Customers[CustomerName])</f>
        <v>Folasade Danladi</v>
      </c>
      <c r="O846" t="str">
        <f>_xlfn.XLOOKUP(Orders[[#This Row],[CustomerID]],Customers[CustomerID],Customers[City])</f>
        <v>Texas</v>
      </c>
      <c r="P846" t="str">
        <f>_xlfn.XLOOKUP(Orders[[#This Row],[CustomerID]],Customers[CustomerID],Customers[Gender])</f>
        <v>Female</v>
      </c>
      <c r="Q846">
        <f>_xlfn.XLOOKUP(Orders[[#This Row],[CustomerID]],Customers[CustomerID],Customers[CustomerAge])</f>
        <v>28</v>
      </c>
      <c r="R846" t="str">
        <f>IF(Orders[[#This Row],[CustomerAge]]&gt;=35, "Older", "Young")</f>
        <v>Young</v>
      </c>
      <c r="S846" t="str">
        <f>_xlfn.XLOOKUP(Orders[[#This Row],[ProductID]],Products[ProductID],Products[ProductName])</f>
        <v>Gold Earrings And Necklaces</v>
      </c>
      <c r="T846" t="str">
        <f>_xlfn.XLOOKUP(Orders[[#This Row],[ProductID]],Products[ProductID],Products[Category])</f>
        <v>Accessories</v>
      </c>
    </row>
    <row r="847" spans="1:20" x14ac:dyDescent="0.25">
      <c r="A847" s="4" t="s">
        <v>1036</v>
      </c>
      <c r="B847" s="5">
        <v>45959</v>
      </c>
      <c r="C847" s="15">
        <f>WEEKNUM(Orders[[#This Row],[OrderDate]])</f>
        <v>44</v>
      </c>
      <c r="D847" s="15" t="str">
        <f>TEXT(Orders[[#This Row],[OrderDate]],"mmmm")</f>
        <v>October</v>
      </c>
      <c r="E847" s="4" t="s">
        <v>369</v>
      </c>
      <c r="F847" s="4" t="s">
        <v>157</v>
      </c>
      <c r="G847" s="4">
        <v>5</v>
      </c>
      <c r="H847" s="12">
        <v>12173.599999999999</v>
      </c>
      <c r="I847" s="13">
        <v>10347.56</v>
      </c>
      <c r="J847" s="13">
        <f>Orders[[#This Row],[Quantity]]*Orders[[#This Row],[Selling Price]]</f>
        <v>60867.999999999993</v>
      </c>
      <c r="K847" s="13">
        <f>Orders[[#This Row],[Quantity]]*Orders[[#This Row],[Cost Price]]</f>
        <v>51737.799999999996</v>
      </c>
      <c r="L847" s="13">
        <f>Orders[[#This Row],[Revenue]]-Orders[[#This Row],[Expenses]]</f>
        <v>9130.1999999999971</v>
      </c>
      <c r="M847" t="s">
        <v>2219</v>
      </c>
      <c r="N847" t="str">
        <f>_xlfn.XLOOKUP(Orders[[#This Row],[CustomerID]],Customers[CustomerID],Customers[CustomerName])</f>
        <v>Ibrahim Bello</v>
      </c>
      <c r="O847" t="str">
        <f>_xlfn.XLOOKUP(Orders[[#This Row],[CustomerID]],Customers[CustomerID],Customers[City])</f>
        <v>Washington</v>
      </c>
      <c r="P847" t="str">
        <f>_xlfn.XLOOKUP(Orders[[#This Row],[CustomerID]],Customers[CustomerID],Customers[Gender])</f>
        <v>Male</v>
      </c>
      <c r="Q847">
        <f>_xlfn.XLOOKUP(Orders[[#This Row],[CustomerID]],Customers[CustomerID],Customers[CustomerAge])</f>
        <v>40</v>
      </c>
      <c r="R847" t="str">
        <f>IF(Orders[[#This Row],[CustomerAge]]&gt;=35, "Older", "Young")</f>
        <v>Older</v>
      </c>
      <c r="S847" t="str">
        <f>_xlfn.XLOOKUP(Orders[[#This Row],[ProductID]],Products[ProductID],Products[ProductName])</f>
        <v>Football</v>
      </c>
      <c r="T847" t="str">
        <f>_xlfn.XLOOKUP(Orders[[#This Row],[ProductID]],Products[ProductID],Products[Category])</f>
        <v>Sports</v>
      </c>
    </row>
    <row r="848" spans="1:20" x14ac:dyDescent="0.25">
      <c r="A848" s="4" t="s">
        <v>1037</v>
      </c>
      <c r="B848" s="5">
        <v>45988</v>
      </c>
      <c r="C848" s="15">
        <f>WEEKNUM(Orders[[#This Row],[OrderDate]])</f>
        <v>48</v>
      </c>
      <c r="D848" s="15" t="str">
        <f>TEXT(Orders[[#This Row],[OrderDate]],"mmmm")</f>
        <v>November</v>
      </c>
      <c r="E848" s="4" t="s">
        <v>275</v>
      </c>
      <c r="F848" s="4" t="s">
        <v>84</v>
      </c>
      <c r="G848" s="4">
        <v>9</v>
      </c>
      <c r="H848" s="12">
        <v>2424.9</v>
      </c>
      <c r="I848" s="13">
        <v>2061.165</v>
      </c>
      <c r="J848" s="13">
        <f>Orders[[#This Row],[Quantity]]*Orders[[#This Row],[Selling Price]]</f>
        <v>21824.100000000002</v>
      </c>
      <c r="K848" s="13">
        <f>Orders[[#This Row],[Quantity]]*Orders[[#This Row],[Cost Price]]</f>
        <v>18550.485000000001</v>
      </c>
      <c r="L848" s="13">
        <f>Orders[[#This Row],[Revenue]]-Orders[[#This Row],[Expenses]]</f>
        <v>3273.6150000000016</v>
      </c>
      <c r="M848" t="s">
        <v>2196</v>
      </c>
      <c r="N848" t="str">
        <f>_xlfn.XLOOKUP(Orders[[#This Row],[CustomerID]],Customers[CustomerID],Customers[CustomerName])</f>
        <v>Ngozi Danladi</v>
      </c>
      <c r="O848" t="str">
        <f>_xlfn.XLOOKUP(Orders[[#This Row],[CustomerID]],Customers[CustomerID],Customers[City])</f>
        <v>Texas</v>
      </c>
      <c r="P848" t="str">
        <f>_xlfn.XLOOKUP(Orders[[#This Row],[CustomerID]],Customers[CustomerID],Customers[Gender])</f>
        <v>Female</v>
      </c>
      <c r="Q848">
        <f>_xlfn.XLOOKUP(Orders[[#This Row],[CustomerID]],Customers[CustomerID],Customers[CustomerAge])</f>
        <v>25</v>
      </c>
      <c r="R848" t="str">
        <f>IF(Orders[[#This Row],[CustomerAge]]&gt;=35, "Older", "Young")</f>
        <v>Young</v>
      </c>
      <c r="S848" t="str">
        <f>_xlfn.XLOOKUP(Orders[[#This Row],[ProductID]],Products[ProductID],Products[ProductName])</f>
        <v>Gym Wears</v>
      </c>
      <c r="T848" t="str">
        <f>_xlfn.XLOOKUP(Orders[[#This Row],[ProductID]],Products[ProductID],Products[Category])</f>
        <v>Clothing</v>
      </c>
    </row>
    <row r="849" spans="1:20" x14ac:dyDescent="0.25">
      <c r="A849" s="4" t="s">
        <v>1038</v>
      </c>
      <c r="B849" s="5">
        <v>45999</v>
      </c>
      <c r="C849" s="15">
        <f>WEEKNUM(Orders[[#This Row],[OrderDate]])</f>
        <v>50</v>
      </c>
      <c r="D849" s="15" t="str">
        <f>TEXT(Orders[[#This Row],[OrderDate]],"mmmm")</f>
        <v>December</v>
      </c>
      <c r="E849" s="4" t="s">
        <v>320</v>
      </c>
      <c r="F849" s="4" t="s">
        <v>63</v>
      </c>
      <c r="G849" s="4">
        <v>5</v>
      </c>
      <c r="H849" s="12">
        <v>14749</v>
      </c>
      <c r="I849" s="13">
        <v>12536.65</v>
      </c>
      <c r="J849" s="13">
        <f>Orders[[#This Row],[Quantity]]*Orders[[#This Row],[Selling Price]]</f>
        <v>73745</v>
      </c>
      <c r="K849" s="13">
        <f>Orders[[#This Row],[Quantity]]*Orders[[#This Row],[Cost Price]]</f>
        <v>62683.25</v>
      </c>
      <c r="L849" s="13">
        <f>Orders[[#This Row],[Revenue]]-Orders[[#This Row],[Expenses]]</f>
        <v>11061.75</v>
      </c>
      <c r="M849" t="s">
        <v>2199</v>
      </c>
      <c r="N849" t="str">
        <f>_xlfn.XLOOKUP(Orders[[#This Row],[CustomerID]],Customers[CustomerID],Customers[CustomerName])</f>
        <v>Temi Okonkwo</v>
      </c>
      <c r="O849" t="str">
        <f>_xlfn.XLOOKUP(Orders[[#This Row],[CustomerID]],Customers[CustomerID],Customers[City])</f>
        <v>Texas</v>
      </c>
      <c r="P849" t="str">
        <f>_xlfn.XLOOKUP(Orders[[#This Row],[CustomerID]],Customers[CustomerID],Customers[Gender])</f>
        <v>Female</v>
      </c>
      <c r="Q849">
        <f>_xlfn.XLOOKUP(Orders[[#This Row],[CustomerID]],Customers[CustomerID],Customers[CustomerAge])</f>
        <v>31</v>
      </c>
      <c r="R849" t="str">
        <f>IF(Orders[[#This Row],[CustomerAge]]&gt;=35, "Older", "Young")</f>
        <v>Young</v>
      </c>
      <c r="S849" t="str">
        <f>_xlfn.XLOOKUP(Orders[[#This Row],[ProductID]],Products[ProductID],Products[ProductName])</f>
        <v>Tennis Bat</v>
      </c>
      <c r="T849" t="str">
        <f>_xlfn.XLOOKUP(Orders[[#This Row],[ProductID]],Products[ProductID],Products[Category])</f>
        <v>Sports</v>
      </c>
    </row>
    <row r="850" spans="1:20" x14ac:dyDescent="0.25">
      <c r="A850" s="4" t="s">
        <v>1039</v>
      </c>
      <c r="B850" s="5">
        <v>45945</v>
      </c>
      <c r="C850" s="15">
        <f>WEEKNUM(Orders[[#This Row],[OrderDate]])</f>
        <v>42</v>
      </c>
      <c r="D850" s="15" t="str">
        <f>TEXT(Orders[[#This Row],[OrderDate]],"mmmm")</f>
        <v>October</v>
      </c>
      <c r="E850" s="4" t="s">
        <v>201</v>
      </c>
      <c r="F850" s="4" t="s">
        <v>15</v>
      </c>
      <c r="G850" s="4">
        <v>7</v>
      </c>
      <c r="H850" s="12">
        <v>16469.7</v>
      </c>
      <c r="I850" s="13">
        <v>13999.245000000001</v>
      </c>
      <c r="J850" s="13">
        <f>Orders[[#This Row],[Quantity]]*Orders[[#This Row],[Selling Price]]</f>
        <v>115287.90000000001</v>
      </c>
      <c r="K850" s="13">
        <f>Orders[[#This Row],[Quantity]]*Orders[[#This Row],[Cost Price]]</f>
        <v>97994.715000000011</v>
      </c>
      <c r="L850" s="13">
        <f>Orders[[#This Row],[Revenue]]-Orders[[#This Row],[Expenses]]</f>
        <v>17293.184999999998</v>
      </c>
      <c r="M850" t="s">
        <v>2210</v>
      </c>
      <c r="N850" t="str">
        <f>_xlfn.XLOOKUP(Orders[[#This Row],[CustomerID]],Customers[CustomerID],Customers[CustomerName])</f>
        <v>Sani Igwe</v>
      </c>
      <c r="O850" t="str">
        <f>_xlfn.XLOOKUP(Orders[[#This Row],[CustomerID]],Customers[CustomerID],Customers[City])</f>
        <v>Georgia</v>
      </c>
      <c r="P850" t="str">
        <f>_xlfn.XLOOKUP(Orders[[#This Row],[CustomerID]],Customers[CustomerID],Customers[Gender])</f>
        <v>Male</v>
      </c>
      <c r="Q850">
        <f>_xlfn.XLOOKUP(Orders[[#This Row],[CustomerID]],Customers[CustomerID],Customers[CustomerAge])</f>
        <v>20</v>
      </c>
      <c r="R850" t="str">
        <f>IF(Orders[[#This Row],[CustomerAge]]&gt;=35, "Older", "Young")</f>
        <v>Young</v>
      </c>
      <c r="S850" t="str">
        <f>_xlfn.XLOOKUP(Orders[[#This Row],[ProductID]],Products[ProductID],Products[ProductName])</f>
        <v>Monopoly</v>
      </c>
      <c r="T850" t="str">
        <f>_xlfn.XLOOKUP(Orders[[#This Row],[ProductID]],Products[ProductID],Products[Category])</f>
        <v>Games</v>
      </c>
    </row>
    <row r="851" spans="1:20" x14ac:dyDescent="0.25">
      <c r="A851" s="4" t="s">
        <v>1040</v>
      </c>
      <c r="B851" s="5">
        <v>45983</v>
      </c>
      <c r="C851" s="15">
        <f>WEEKNUM(Orders[[#This Row],[OrderDate]])</f>
        <v>47</v>
      </c>
      <c r="D851" s="15" t="str">
        <f>TEXT(Orders[[#This Row],[OrderDate]],"mmmm")</f>
        <v>November</v>
      </c>
      <c r="E851" s="4" t="s">
        <v>68</v>
      </c>
      <c r="F851" s="4" t="s">
        <v>63</v>
      </c>
      <c r="G851" s="4">
        <v>3</v>
      </c>
      <c r="H851" s="12">
        <v>6637.6</v>
      </c>
      <c r="I851" s="13">
        <v>5641.96</v>
      </c>
      <c r="J851" s="13">
        <f>Orders[[#This Row],[Quantity]]*Orders[[#This Row],[Selling Price]]</f>
        <v>19912.800000000003</v>
      </c>
      <c r="K851" s="13">
        <f>Orders[[#This Row],[Quantity]]*Orders[[#This Row],[Cost Price]]</f>
        <v>16925.88</v>
      </c>
      <c r="L851" s="13">
        <f>Orders[[#This Row],[Revenue]]-Orders[[#This Row],[Expenses]]</f>
        <v>2986.9200000000019</v>
      </c>
      <c r="M851" t="s">
        <v>2220</v>
      </c>
      <c r="N851" t="str">
        <f>_xlfn.XLOOKUP(Orders[[#This Row],[CustomerID]],Customers[CustomerID],Customers[CustomerName])</f>
        <v>Abiola Balogun</v>
      </c>
      <c r="O851" t="str">
        <f>_xlfn.XLOOKUP(Orders[[#This Row],[CustomerID]],Customers[CustomerID],Customers[City])</f>
        <v>Texas</v>
      </c>
      <c r="P851" t="str">
        <f>_xlfn.XLOOKUP(Orders[[#This Row],[CustomerID]],Customers[CustomerID],Customers[Gender])</f>
        <v>Male</v>
      </c>
      <c r="Q851">
        <f>_xlfn.XLOOKUP(Orders[[#This Row],[CustomerID]],Customers[CustomerID],Customers[CustomerAge])</f>
        <v>29</v>
      </c>
      <c r="R851" t="str">
        <f>IF(Orders[[#This Row],[CustomerAge]]&gt;=35, "Older", "Young")</f>
        <v>Young</v>
      </c>
      <c r="S851" t="str">
        <f>_xlfn.XLOOKUP(Orders[[#This Row],[ProductID]],Products[ProductID],Products[ProductName])</f>
        <v>Tennis Bat</v>
      </c>
      <c r="T851" t="str">
        <f>_xlfn.XLOOKUP(Orders[[#This Row],[ProductID]],Products[ProductID],Products[Category])</f>
        <v>Sports</v>
      </c>
    </row>
    <row r="852" spans="1:20" x14ac:dyDescent="0.25">
      <c r="A852" s="4" t="s">
        <v>1041</v>
      </c>
      <c r="B852" s="5">
        <v>45943</v>
      </c>
      <c r="C852" s="15">
        <f>WEEKNUM(Orders[[#This Row],[OrderDate]])</f>
        <v>42</v>
      </c>
      <c r="D852" s="15" t="str">
        <f>TEXT(Orders[[#This Row],[OrderDate]],"mmmm")</f>
        <v>October</v>
      </c>
      <c r="E852" s="4" t="s">
        <v>457</v>
      </c>
      <c r="F852" s="4" t="s">
        <v>37</v>
      </c>
      <c r="G852" s="4">
        <v>2</v>
      </c>
      <c r="H852" s="12">
        <v>11393.099999999999</v>
      </c>
      <c r="I852" s="13">
        <v>9684.1349999999984</v>
      </c>
      <c r="J852" s="13">
        <f>Orders[[#This Row],[Quantity]]*Orders[[#This Row],[Selling Price]]</f>
        <v>22786.199999999997</v>
      </c>
      <c r="K852" s="13">
        <f>Orders[[#This Row],[Quantity]]*Orders[[#This Row],[Cost Price]]</f>
        <v>19368.269999999997</v>
      </c>
      <c r="L852" s="13">
        <f>Orders[[#This Row],[Revenue]]-Orders[[#This Row],[Expenses]]</f>
        <v>3417.9300000000003</v>
      </c>
      <c r="M852" t="s">
        <v>2213</v>
      </c>
      <c r="N852" t="str">
        <f>_xlfn.XLOOKUP(Orders[[#This Row],[CustomerID]],Customers[CustomerID],Customers[CustomerName])</f>
        <v>Tunde Okonkwo</v>
      </c>
      <c r="O852" t="str">
        <f>_xlfn.XLOOKUP(Orders[[#This Row],[CustomerID]],Customers[CustomerID],Customers[City])</f>
        <v>Illinois</v>
      </c>
      <c r="P852" t="str">
        <f>_xlfn.XLOOKUP(Orders[[#This Row],[CustomerID]],Customers[CustomerID],Customers[Gender])</f>
        <v>Male</v>
      </c>
      <c r="Q852">
        <f>_xlfn.XLOOKUP(Orders[[#This Row],[CustomerID]],Customers[CustomerID],Customers[CustomerAge])</f>
        <v>23</v>
      </c>
      <c r="R852" t="str">
        <f>IF(Orders[[#This Row],[CustomerAge]]&gt;=35, "Older", "Young")</f>
        <v>Young</v>
      </c>
      <c r="S852" t="str">
        <f>_xlfn.XLOOKUP(Orders[[#This Row],[ProductID]],Products[ProductID],Products[ProductName])</f>
        <v>Iron</v>
      </c>
      <c r="T852" t="str">
        <f>_xlfn.XLOOKUP(Orders[[#This Row],[ProductID]],Products[ProductID],Products[Category])</f>
        <v>Electronics</v>
      </c>
    </row>
    <row r="853" spans="1:20" x14ac:dyDescent="0.25">
      <c r="A853" s="4" t="s">
        <v>1042</v>
      </c>
      <c r="B853" s="5">
        <v>46010</v>
      </c>
      <c r="C853" s="15">
        <f>WEEKNUM(Orders[[#This Row],[OrderDate]])</f>
        <v>51</v>
      </c>
      <c r="D853" s="15" t="str">
        <f>TEXT(Orders[[#This Row],[OrderDate]],"mmmm")</f>
        <v>December</v>
      </c>
      <c r="E853" s="4" t="s">
        <v>607</v>
      </c>
      <c r="F853" s="4" t="s">
        <v>130</v>
      </c>
      <c r="G853" s="4">
        <v>7</v>
      </c>
      <c r="H853" s="12">
        <v>13159.300000000001</v>
      </c>
      <c r="I853" s="13">
        <v>11185.405000000001</v>
      </c>
      <c r="J853" s="13">
        <f>Orders[[#This Row],[Quantity]]*Orders[[#This Row],[Selling Price]]</f>
        <v>92115.1</v>
      </c>
      <c r="K853" s="13">
        <f>Orders[[#This Row],[Quantity]]*Orders[[#This Row],[Cost Price]]</f>
        <v>78297.835000000006</v>
      </c>
      <c r="L853" s="13">
        <f>Orders[[#This Row],[Revenue]]-Orders[[#This Row],[Expenses]]</f>
        <v>13817.264999999999</v>
      </c>
      <c r="M853" t="s">
        <v>2208</v>
      </c>
      <c r="N853" t="str">
        <f>_xlfn.XLOOKUP(Orders[[#This Row],[CustomerID]],Customers[CustomerID],Customers[CustomerName])</f>
        <v>Folasade Ojo</v>
      </c>
      <c r="O853" t="str">
        <f>_xlfn.XLOOKUP(Orders[[#This Row],[CustomerID]],Customers[CustomerID],Customers[City])</f>
        <v>Texas</v>
      </c>
      <c r="P853" t="str">
        <f>_xlfn.XLOOKUP(Orders[[#This Row],[CustomerID]],Customers[CustomerID],Customers[Gender])</f>
        <v>Female</v>
      </c>
      <c r="Q853">
        <f>_xlfn.XLOOKUP(Orders[[#This Row],[CustomerID]],Customers[CustomerID],Customers[CustomerAge])</f>
        <v>19</v>
      </c>
      <c r="R853" t="str">
        <f>IF(Orders[[#This Row],[CustomerAge]]&gt;=35, "Older", "Young")</f>
        <v>Young</v>
      </c>
      <c r="S853" t="str">
        <f>_xlfn.XLOOKUP(Orders[[#This Row],[ProductID]],Products[ProductID],Products[ProductName])</f>
        <v>Gold Earrings And Necklaces</v>
      </c>
      <c r="T853" t="str">
        <f>_xlfn.XLOOKUP(Orders[[#This Row],[ProductID]],Products[ProductID],Products[Category])</f>
        <v>Accessories</v>
      </c>
    </row>
    <row r="854" spans="1:20" x14ac:dyDescent="0.25">
      <c r="A854" s="4" t="s">
        <v>1043</v>
      </c>
      <c r="B854" s="5">
        <v>46015</v>
      </c>
      <c r="C854" s="15">
        <f>WEEKNUM(Orders[[#This Row],[OrderDate]])</f>
        <v>52</v>
      </c>
      <c r="D854" s="15" t="str">
        <f>TEXT(Orders[[#This Row],[OrderDate]],"mmmm")</f>
        <v>December</v>
      </c>
      <c r="E854" s="4" t="s">
        <v>435</v>
      </c>
      <c r="F854" s="4" t="s">
        <v>208</v>
      </c>
      <c r="G854" s="4">
        <v>1</v>
      </c>
      <c r="H854" s="12">
        <v>11531.099999999999</v>
      </c>
      <c r="I854" s="13">
        <v>9801.4349999999995</v>
      </c>
      <c r="J854" s="13">
        <f>Orders[[#This Row],[Quantity]]*Orders[[#This Row],[Selling Price]]</f>
        <v>11531.099999999999</v>
      </c>
      <c r="K854" s="13">
        <f>Orders[[#This Row],[Quantity]]*Orders[[#This Row],[Cost Price]]</f>
        <v>9801.4349999999995</v>
      </c>
      <c r="L854" s="13">
        <f>Orders[[#This Row],[Revenue]]-Orders[[#This Row],[Expenses]]</f>
        <v>1729.6649999999991</v>
      </c>
      <c r="M854" t="s">
        <v>2219</v>
      </c>
      <c r="N854" t="str">
        <f>_xlfn.XLOOKUP(Orders[[#This Row],[CustomerID]],Customers[CustomerID],Customers[CustomerName])</f>
        <v>Amina Balogun</v>
      </c>
      <c r="O854" t="str">
        <f>_xlfn.XLOOKUP(Orders[[#This Row],[CustomerID]],Customers[CustomerID],Customers[City])</f>
        <v>Texas</v>
      </c>
      <c r="P854" t="str">
        <f>_xlfn.XLOOKUP(Orders[[#This Row],[CustomerID]],Customers[CustomerID],Customers[Gender])</f>
        <v>Female</v>
      </c>
      <c r="Q854">
        <f>_xlfn.XLOOKUP(Orders[[#This Row],[CustomerID]],Customers[CustomerID],Customers[CustomerAge])</f>
        <v>32</v>
      </c>
      <c r="R854" t="str">
        <f>IF(Orders[[#This Row],[CustomerAge]]&gt;=35, "Older", "Young")</f>
        <v>Young</v>
      </c>
      <c r="S854" t="str">
        <f>_xlfn.XLOOKUP(Orders[[#This Row],[ProductID]],Products[ProductID],Products[ProductName])</f>
        <v>Skipping Rope</v>
      </c>
      <c r="T854" t="str">
        <f>_xlfn.XLOOKUP(Orders[[#This Row],[ProductID]],Products[ProductID],Products[Category])</f>
        <v>Sports</v>
      </c>
    </row>
    <row r="855" spans="1:20" x14ac:dyDescent="0.25">
      <c r="A855" s="4" t="s">
        <v>1044</v>
      </c>
      <c r="B855" s="5">
        <v>45974</v>
      </c>
      <c r="C855" s="15">
        <f>WEEKNUM(Orders[[#This Row],[OrderDate]])</f>
        <v>46</v>
      </c>
      <c r="D855" s="15" t="str">
        <f>TEXT(Orders[[#This Row],[OrderDate]],"mmmm")</f>
        <v>November</v>
      </c>
      <c r="E855" s="4" t="s">
        <v>264</v>
      </c>
      <c r="F855" s="4" t="s">
        <v>84</v>
      </c>
      <c r="G855" s="4">
        <v>7</v>
      </c>
      <c r="H855" s="12">
        <v>15136.300000000001</v>
      </c>
      <c r="I855" s="13">
        <v>12865.855000000001</v>
      </c>
      <c r="J855" s="13">
        <f>Orders[[#This Row],[Quantity]]*Orders[[#This Row],[Selling Price]]</f>
        <v>105954.1</v>
      </c>
      <c r="K855" s="13">
        <f>Orders[[#This Row],[Quantity]]*Orders[[#This Row],[Cost Price]]</f>
        <v>90060.985000000015</v>
      </c>
      <c r="L855" s="13">
        <f>Orders[[#This Row],[Revenue]]-Orders[[#This Row],[Expenses]]</f>
        <v>15893.114999999991</v>
      </c>
      <c r="M855" t="s">
        <v>2194</v>
      </c>
      <c r="N855" t="str">
        <f>_xlfn.XLOOKUP(Orders[[#This Row],[CustomerID]],Customers[CustomerID],Customers[CustomerName])</f>
        <v>Ronke Adeyemi</v>
      </c>
      <c r="O855" t="str">
        <f>_xlfn.XLOOKUP(Orders[[#This Row],[CustomerID]],Customers[CustomerID],Customers[City])</f>
        <v>Georgia</v>
      </c>
      <c r="P855" t="str">
        <f>_xlfn.XLOOKUP(Orders[[#This Row],[CustomerID]],Customers[CustomerID],Customers[Gender])</f>
        <v>Female</v>
      </c>
      <c r="Q855">
        <f>_xlfn.XLOOKUP(Orders[[#This Row],[CustomerID]],Customers[CustomerID],Customers[CustomerAge])</f>
        <v>19</v>
      </c>
      <c r="R855" t="str">
        <f>IF(Orders[[#This Row],[CustomerAge]]&gt;=35, "Older", "Young")</f>
        <v>Young</v>
      </c>
      <c r="S855" t="str">
        <f>_xlfn.XLOOKUP(Orders[[#This Row],[ProductID]],Products[ProductID],Products[ProductName])</f>
        <v>Gym Wears</v>
      </c>
      <c r="T855" t="str">
        <f>_xlfn.XLOOKUP(Orders[[#This Row],[ProductID]],Products[ProductID],Products[Category])</f>
        <v>Clothing</v>
      </c>
    </row>
    <row r="856" spans="1:20" x14ac:dyDescent="0.25">
      <c r="A856" s="4" t="s">
        <v>1045</v>
      </c>
      <c r="B856" s="5">
        <v>45938</v>
      </c>
      <c r="C856" s="15">
        <f>WEEKNUM(Orders[[#This Row],[OrderDate]])</f>
        <v>41</v>
      </c>
      <c r="D856" s="15" t="str">
        <f>TEXT(Orders[[#This Row],[OrderDate]],"mmmm")</f>
        <v>October</v>
      </c>
      <c r="E856" s="4" t="s">
        <v>507</v>
      </c>
      <c r="F856" s="4" t="s">
        <v>208</v>
      </c>
      <c r="G856" s="4">
        <v>6</v>
      </c>
      <c r="H856" s="12">
        <v>5981.5</v>
      </c>
      <c r="I856" s="13">
        <v>5084.2749999999996</v>
      </c>
      <c r="J856" s="13">
        <f>Orders[[#This Row],[Quantity]]*Orders[[#This Row],[Selling Price]]</f>
        <v>35889</v>
      </c>
      <c r="K856" s="13">
        <f>Orders[[#This Row],[Quantity]]*Orders[[#This Row],[Cost Price]]</f>
        <v>30505.649999999998</v>
      </c>
      <c r="L856" s="13">
        <f>Orders[[#This Row],[Revenue]]-Orders[[#This Row],[Expenses]]</f>
        <v>5383.3500000000022</v>
      </c>
      <c r="M856" t="s">
        <v>2199</v>
      </c>
      <c r="N856" t="str">
        <f>_xlfn.XLOOKUP(Orders[[#This Row],[CustomerID]],Customers[CustomerID],Customers[CustomerName])</f>
        <v>Temi Okonkwo</v>
      </c>
      <c r="O856" t="str">
        <f>_xlfn.XLOOKUP(Orders[[#This Row],[CustomerID]],Customers[CustomerID],Customers[City])</f>
        <v>Washington</v>
      </c>
      <c r="P856" t="str">
        <f>_xlfn.XLOOKUP(Orders[[#This Row],[CustomerID]],Customers[CustomerID],Customers[Gender])</f>
        <v>Female</v>
      </c>
      <c r="Q856">
        <f>_xlfn.XLOOKUP(Orders[[#This Row],[CustomerID]],Customers[CustomerID],Customers[CustomerAge])</f>
        <v>35</v>
      </c>
      <c r="R856" t="str">
        <f>IF(Orders[[#This Row],[CustomerAge]]&gt;=35, "Older", "Young")</f>
        <v>Older</v>
      </c>
      <c r="S856" t="str">
        <f>_xlfn.XLOOKUP(Orders[[#This Row],[ProductID]],Products[ProductID],Products[ProductName])</f>
        <v>Skipping Rope</v>
      </c>
      <c r="T856" t="str">
        <f>_xlfn.XLOOKUP(Orders[[#This Row],[ProductID]],Products[ProductID],Products[Category])</f>
        <v>Sports</v>
      </c>
    </row>
    <row r="857" spans="1:20" x14ac:dyDescent="0.25">
      <c r="A857" s="4" t="s">
        <v>1046</v>
      </c>
      <c r="B857" s="5">
        <v>45959</v>
      </c>
      <c r="C857" s="15">
        <f>WEEKNUM(Orders[[#This Row],[OrderDate]])</f>
        <v>44</v>
      </c>
      <c r="D857" s="15" t="str">
        <f>TEXT(Orders[[#This Row],[OrderDate]],"mmmm")</f>
        <v>October</v>
      </c>
      <c r="E857" s="4" t="s">
        <v>98</v>
      </c>
      <c r="F857" s="4" t="s">
        <v>353</v>
      </c>
      <c r="G857" s="4">
        <v>10</v>
      </c>
      <c r="H857" s="12">
        <v>5234.7000000000007</v>
      </c>
      <c r="I857" s="13">
        <v>4449.4950000000008</v>
      </c>
      <c r="J857" s="13">
        <f>Orders[[#This Row],[Quantity]]*Orders[[#This Row],[Selling Price]]</f>
        <v>52347.000000000007</v>
      </c>
      <c r="K857" s="13">
        <f>Orders[[#This Row],[Quantity]]*Orders[[#This Row],[Cost Price]]</f>
        <v>44494.950000000012</v>
      </c>
      <c r="L857" s="13">
        <f>Orders[[#This Row],[Revenue]]-Orders[[#This Row],[Expenses]]</f>
        <v>7852.0499999999956</v>
      </c>
      <c r="M857" t="s">
        <v>2195</v>
      </c>
      <c r="N857" t="str">
        <f>_xlfn.XLOOKUP(Orders[[#This Row],[CustomerID]],Customers[CustomerID],Customers[CustomerName])</f>
        <v>Chioma Adeyemi</v>
      </c>
      <c r="O857" t="str">
        <f>_xlfn.XLOOKUP(Orders[[#This Row],[CustomerID]],Customers[CustomerID],Customers[City])</f>
        <v>Illinois</v>
      </c>
      <c r="P857" t="str">
        <f>_xlfn.XLOOKUP(Orders[[#This Row],[CustomerID]],Customers[CustomerID],Customers[Gender])</f>
        <v>Female</v>
      </c>
      <c r="Q857">
        <f>_xlfn.XLOOKUP(Orders[[#This Row],[CustomerID]],Customers[CustomerID],Customers[CustomerAge])</f>
        <v>23</v>
      </c>
      <c r="R857" t="str">
        <f>IF(Orders[[#This Row],[CustomerAge]]&gt;=35, "Older", "Young")</f>
        <v>Young</v>
      </c>
      <c r="S857" t="str">
        <f>_xlfn.XLOOKUP(Orders[[#This Row],[ProductID]],Products[ProductID],Products[ProductName])</f>
        <v>Silver Earrings And Necklaces</v>
      </c>
      <c r="T857" t="str">
        <f>_xlfn.XLOOKUP(Orders[[#This Row],[ProductID]],Products[ProductID],Products[Category])</f>
        <v>Accessories</v>
      </c>
    </row>
    <row r="858" spans="1:20" x14ac:dyDescent="0.25">
      <c r="A858" s="4" t="s">
        <v>1047</v>
      </c>
      <c r="B858" s="5">
        <v>45975</v>
      </c>
      <c r="C858" s="15">
        <f>WEEKNUM(Orders[[#This Row],[OrderDate]])</f>
        <v>46</v>
      </c>
      <c r="D858" s="15" t="str">
        <f>TEXT(Orders[[#This Row],[OrderDate]],"mmmm")</f>
        <v>November</v>
      </c>
      <c r="E858" s="4" t="s">
        <v>514</v>
      </c>
      <c r="F858" s="4" t="s">
        <v>60</v>
      </c>
      <c r="G858" s="4">
        <v>7</v>
      </c>
      <c r="H858" s="12">
        <v>15248.3</v>
      </c>
      <c r="I858" s="13">
        <v>12961.055</v>
      </c>
      <c r="J858" s="13">
        <f>Orders[[#This Row],[Quantity]]*Orders[[#This Row],[Selling Price]]</f>
        <v>106738.09999999999</v>
      </c>
      <c r="K858" s="13">
        <f>Orders[[#This Row],[Quantity]]*Orders[[#This Row],[Cost Price]]</f>
        <v>90727.385000000009</v>
      </c>
      <c r="L858" s="13">
        <f>Orders[[#This Row],[Revenue]]-Orders[[#This Row],[Expenses]]</f>
        <v>16010.714999999982</v>
      </c>
      <c r="M858" t="s">
        <v>2218</v>
      </c>
      <c r="N858" t="str">
        <f>_xlfn.XLOOKUP(Orders[[#This Row],[CustomerID]],Customers[CustomerID],Customers[CustomerName])</f>
        <v>Ibrahim Okonkwo</v>
      </c>
      <c r="O858" t="str">
        <f>_xlfn.XLOOKUP(Orders[[#This Row],[CustomerID]],Customers[CustomerID],Customers[City])</f>
        <v>Florida</v>
      </c>
      <c r="P858" t="str">
        <f>_xlfn.XLOOKUP(Orders[[#This Row],[CustomerID]],Customers[CustomerID],Customers[Gender])</f>
        <v>Male</v>
      </c>
      <c r="Q858">
        <f>_xlfn.XLOOKUP(Orders[[#This Row],[CustomerID]],Customers[CustomerID],Customers[CustomerAge])</f>
        <v>28</v>
      </c>
      <c r="R858" t="str">
        <f>IF(Orders[[#This Row],[CustomerAge]]&gt;=35, "Older", "Young")</f>
        <v>Young</v>
      </c>
      <c r="S858" t="str">
        <f>_xlfn.XLOOKUP(Orders[[#This Row],[ProductID]],Products[ProductID],Products[ProductName])</f>
        <v>Silver Rings</v>
      </c>
      <c r="T858" t="str">
        <f>_xlfn.XLOOKUP(Orders[[#This Row],[ProductID]],Products[ProductID],Products[Category])</f>
        <v>Accessories</v>
      </c>
    </row>
    <row r="859" spans="1:20" x14ac:dyDescent="0.25">
      <c r="A859" s="4" t="s">
        <v>1048</v>
      </c>
      <c r="B859" s="5">
        <v>46008</v>
      </c>
      <c r="C859" s="15">
        <f>WEEKNUM(Orders[[#This Row],[OrderDate]])</f>
        <v>51</v>
      </c>
      <c r="D859" s="15" t="str">
        <f>TEXT(Orders[[#This Row],[OrderDate]],"mmmm")</f>
        <v>December</v>
      </c>
      <c r="E859" s="4" t="s">
        <v>649</v>
      </c>
      <c r="F859" s="4" t="s">
        <v>232</v>
      </c>
      <c r="G859" s="4">
        <v>8</v>
      </c>
      <c r="H859" s="12">
        <v>5772.1</v>
      </c>
      <c r="I859" s="13">
        <v>4906.2849999999999</v>
      </c>
      <c r="J859" s="13">
        <f>Orders[[#This Row],[Quantity]]*Orders[[#This Row],[Selling Price]]</f>
        <v>46176.800000000003</v>
      </c>
      <c r="K859" s="13">
        <f>Orders[[#This Row],[Quantity]]*Orders[[#This Row],[Cost Price]]</f>
        <v>39250.28</v>
      </c>
      <c r="L859" s="13">
        <f>Orders[[#This Row],[Revenue]]-Orders[[#This Row],[Expenses]]</f>
        <v>6926.5200000000041</v>
      </c>
      <c r="M859" t="s">
        <v>2205</v>
      </c>
      <c r="N859" t="str">
        <f>_xlfn.XLOOKUP(Orders[[#This Row],[CustomerID]],Customers[CustomerID],Customers[CustomerName])</f>
        <v>Bisi Abubakar</v>
      </c>
      <c r="O859" t="str">
        <f>_xlfn.XLOOKUP(Orders[[#This Row],[CustomerID]],Customers[CustomerID],Customers[City])</f>
        <v>Washington</v>
      </c>
      <c r="P859" t="str">
        <f>_xlfn.XLOOKUP(Orders[[#This Row],[CustomerID]],Customers[CustomerID],Customers[Gender])</f>
        <v>Female</v>
      </c>
      <c r="Q859">
        <f>_xlfn.XLOOKUP(Orders[[#This Row],[CustomerID]],Customers[CustomerID],Customers[CustomerAge])</f>
        <v>35</v>
      </c>
      <c r="R859" t="str">
        <f>IF(Orders[[#This Row],[CustomerAge]]&gt;=35, "Older", "Young")</f>
        <v>Older</v>
      </c>
      <c r="S859" t="str">
        <f>_xlfn.XLOOKUP(Orders[[#This Row],[ProductID]],Products[ProductID],Products[ProductName])</f>
        <v>Ankara</v>
      </c>
      <c r="T859" t="str">
        <f>_xlfn.XLOOKUP(Orders[[#This Row],[ProductID]],Products[ProductID],Products[Category])</f>
        <v>Clothing</v>
      </c>
    </row>
    <row r="860" spans="1:20" x14ac:dyDescent="0.25">
      <c r="A860" s="4" t="s">
        <v>1049</v>
      </c>
      <c r="B860" s="5">
        <v>45968</v>
      </c>
      <c r="C860" s="15">
        <f>WEEKNUM(Orders[[#This Row],[OrderDate]])</f>
        <v>45</v>
      </c>
      <c r="D860" s="15" t="str">
        <f>TEXT(Orders[[#This Row],[OrderDate]],"mmmm")</f>
        <v>November</v>
      </c>
      <c r="E860" s="4" t="s">
        <v>55</v>
      </c>
      <c r="F860" s="4" t="s">
        <v>31</v>
      </c>
      <c r="G860" s="4">
        <v>5</v>
      </c>
      <c r="H860" s="12">
        <v>5246.2</v>
      </c>
      <c r="I860" s="13">
        <v>4459.2699999999995</v>
      </c>
      <c r="J860" s="13">
        <f>Orders[[#This Row],[Quantity]]*Orders[[#This Row],[Selling Price]]</f>
        <v>26231</v>
      </c>
      <c r="K860" s="13">
        <f>Orders[[#This Row],[Quantity]]*Orders[[#This Row],[Cost Price]]</f>
        <v>22296.35</v>
      </c>
      <c r="L860" s="13">
        <f>Orders[[#This Row],[Revenue]]-Orders[[#This Row],[Expenses]]</f>
        <v>3934.6500000000015</v>
      </c>
      <c r="M860" t="s">
        <v>2199</v>
      </c>
      <c r="N860" t="str">
        <f>_xlfn.XLOOKUP(Orders[[#This Row],[CustomerID]],Customers[CustomerID],Customers[CustomerName])</f>
        <v>Adanma Ojo</v>
      </c>
      <c r="O860" t="str">
        <f>_xlfn.XLOOKUP(Orders[[#This Row],[CustomerID]],Customers[CustomerID],Customers[City])</f>
        <v>California</v>
      </c>
      <c r="P860" t="str">
        <f>_xlfn.XLOOKUP(Orders[[#This Row],[CustomerID]],Customers[CustomerID],Customers[Gender])</f>
        <v>Female</v>
      </c>
      <c r="Q860">
        <f>_xlfn.XLOOKUP(Orders[[#This Row],[CustomerID]],Customers[CustomerID],Customers[CustomerAge])</f>
        <v>48</v>
      </c>
      <c r="R860" t="str">
        <f>IF(Orders[[#This Row],[CustomerAge]]&gt;=35, "Older", "Young")</f>
        <v>Older</v>
      </c>
      <c r="S860" t="str">
        <f>_xlfn.XLOOKUP(Orders[[#This Row],[ProductID]],Products[ProductID],Products[ProductName])</f>
        <v>Kids Games</v>
      </c>
      <c r="T860" t="str">
        <f>_xlfn.XLOOKUP(Orders[[#This Row],[ProductID]],Products[ProductID],Products[Category])</f>
        <v>Games</v>
      </c>
    </row>
    <row r="861" spans="1:20" x14ac:dyDescent="0.25">
      <c r="A861" s="4" t="s">
        <v>1050</v>
      </c>
      <c r="B861" s="5">
        <v>46019</v>
      </c>
      <c r="C861" s="15">
        <f>WEEKNUM(Orders[[#This Row],[OrderDate]])</f>
        <v>53</v>
      </c>
      <c r="D861" s="15" t="str">
        <f>TEXT(Orders[[#This Row],[OrderDate]],"mmmm")</f>
        <v>December</v>
      </c>
      <c r="E861" s="4" t="s">
        <v>671</v>
      </c>
      <c r="F861" s="4" t="s">
        <v>189</v>
      </c>
      <c r="G861" s="4">
        <v>8</v>
      </c>
      <c r="H861" s="12">
        <v>16119</v>
      </c>
      <c r="I861" s="13">
        <v>13701.15</v>
      </c>
      <c r="J861" s="13">
        <f>Orders[[#This Row],[Quantity]]*Orders[[#This Row],[Selling Price]]</f>
        <v>128952</v>
      </c>
      <c r="K861" s="13">
        <f>Orders[[#This Row],[Quantity]]*Orders[[#This Row],[Cost Price]]</f>
        <v>109609.2</v>
      </c>
      <c r="L861" s="13">
        <f>Orders[[#This Row],[Revenue]]-Orders[[#This Row],[Expenses]]</f>
        <v>19342.800000000003</v>
      </c>
      <c r="M861" t="s">
        <v>2196</v>
      </c>
      <c r="N861" t="str">
        <f>_xlfn.XLOOKUP(Orders[[#This Row],[CustomerID]],Customers[CustomerID],Customers[CustomerName])</f>
        <v>Tunde Abubakar</v>
      </c>
      <c r="O861" t="str">
        <f>_xlfn.XLOOKUP(Orders[[#This Row],[CustomerID]],Customers[CustomerID],Customers[City])</f>
        <v>Texas</v>
      </c>
      <c r="P861" t="str">
        <f>_xlfn.XLOOKUP(Orders[[#This Row],[CustomerID]],Customers[CustomerID],Customers[Gender])</f>
        <v>Male</v>
      </c>
      <c r="Q861">
        <f>_xlfn.XLOOKUP(Orders[[#This Row],[CustomerID]],Customers[CustomerID],Customers[CustomerAge])</f>
        <v>26</v>
      </c>
      <c r="R861" t="str">
        <f>IF(Orders[[#This Row],[CustomerAge]]&gt;=35, "Older", "Young")</f>
        <v>Young</v>
      </c>
      <c r="S861" t="str">
        <f>_xlfn.XLOOKUP(Orders[[#This Row],[ProductID]],Products[ProductID],Products[ProductName])</f>
        <v>Scrabble</v>
      </c>
      <c r="T861" t="str">
        <f>_xlfn.XLOOKUP(Orders[[#This Row],[ProductID]],Products[ProductID],Products[Category])</f>
        <v>Games</v>
      </c>
    </row>
    <row r="862" spans="1:20" x14ac:dyDescent="0.25">
      <c r="A862" s="4" t="s">
        <v>1051</v>
      </c>
      <c r="B862" s="5">
        <v>46014</v>
      </c>
      <c r="C862" s="15">
        <f>WEEKNUM(Orders[[#This Row],[OrderDate]])</f>
        <v>52</v>
      </c>
      <c r="D862" s="15" t="str">
        <f>TEXT(Orders[[#This Row],[OrderDate]],"mmmm")</f>
        <v>December</v>
      </c>
      <c r="E862" s="4" t="s">
        <v>94</v>
      </c>
      <c r="F862" s="4" t="s">
        <v>120</v>
      </c>
      <c r="G862" s="4">
        <v>4</v>
      </c>
      <c r="H862" s="12">
        <v>18554.100000000002</v>
      </c>
      <c r="I862" s="13">
        <v>15770.985000000002</v>
      </c>
      <c r="J862" s="13">
        <f>Orders[[#This Row],[Quantity]]*Orders[[#This Row],[Selling Price]]</f>
        <v>74216.400000000009</v>
      </c>
      <c r="K862" s="13">
        <f>Orders[[#This Row],[Quantity]]*Orders[[#This Row],[Cost Price]]</f>
        <v>63083.94000000001</v>
      </c>
      <c r="L862" s="13">
        <f>Orders[[#This Row],[Revenue]]-Orders[[#This Row],[Expenses]]</f>
        <v>11132.46</v>
      </c>
      <c r="M862" t="s">
        <v>2217</v>
      </c>
      <c r="N862" t="str">
        <f>_xlfn.XLOOKUP(Orders[[#This Row],[CustomerID]],Customers[CustomerID],Customers[CustomerName])</f>
        <v>Uche Abubakar</v>
      </c>
      <c r="O862" t="str">
        <f>_xlfn.XLOOKUP(Orders[[#This Row],[CustomerID]],Customers[CustomerID],Customers[City])</f>
        <v>Texas</v>
      </c>
      <c r="P862" t="str">
        <f>_xlfn.XLOOKUP(Orders[[#This Row],[CustomerID]],Customers[CustomerID],Customers[Gender])</f>
        <v>Male</v>
      </c>
      <c r="Q862">
        <f>_xlfn.XLOOKUP(Orders[[#This Row],[CustomerID]],Customers[CustomerID],Customers[CustomerAge])</f>
        <v>26</v>
      </c>
      <c r="R862" t="str">
        <f>IF(Orders[[#This Row],[CustomerAge]]&gt;=35, "Older", "Young")</f>
        <v>Young</v>
      </c>
      <c r="S862" t="str">
        <f>_xlfn.XLOOKUP(Orders[[#This Row],[ProductID]],Products[ProductID],Products[ProductName])</f>
        <v>Chess</v>
      </c>
      <c r="T862" t="str">
        <f>_xlfn.XLOOKUP(Orders[[#This Row],[ProductID]],Products[ProductID],Products[Category])</f>
        <v>Games</v>
      </c>
    </row>
    <row r="863" spans="1:20" x14ac:dyDescent="0.25">
      <c r="A863" s="4" t="s">
        <v>1052</v>
      </c>
      <c r="B863" s="5">
        <v>45965</v>
      </c>
      <c r="C863" s="15">
        <f>WEEKNUM(Orders[[#This Row],[OrderDate]])</f>
        <v>45</v>
      </c>
      <c r="D863" s="15" t="str">
        <f>TEXT(Orders[[#This Row],[OrderDate]],"mmmm")</f>
        <v>November</v>
      </c>
      <c r="E863" s="4" t="s">
        <v>833</v>
      </c>
      <c r="F863" s="4" t="s">
        <v>31</v>
      </c>
      <c r="G863" s="4">
        <v>10</v>
      </c>
      <c r="H863" s="12">
        <v>3818.6000000000004</v>
      </c>
      <c r="I863" s="13">
        <v>3245.8100000000004</v>
      </c>
      <c r="J863" s="13">
        <f>Orders[[#This Row],[Quantity]]*Orders[[#This Row],[Selling Price]]</f>
        <v>38186</v>
      </c>
      <c r="K863" s="13">
        <f>Orders[[#This Row],[Quantity]]*Orders[[#This Row],[Cost Price]]</f>
        <v>32458.100000000006</v>
      </c>
      <c r="L863" s="13">
        <f>Orders[[#This Row],[Revenue]]-Orders[[#This Row],[Expenses]]</f>
        <v>5727.8999999999942</v>
      </c>
      <c r="M863" t="s">
        <v>2198</v>
      </c>
      <c r="N863" t="str">
        <f>_xlfn.XLOOKUP(Orders[[#This Row],[CustomerID]],Customers[CustomerID],Customers[CustomerName])</f>
        <v>Abiola Adeyemi</v>
      </c>
      <c r="O863" t="str">
        <f>_xlfn.XLOOKUP(Orders[[#This Row],[CustomerID]],Customers[CustomerID],Customers[City])</f>
        <v>Washington</v>
      </c>
      <c r="P863" t="str">
        <f>_xlfn.XLOOKUP(Orders[[#This Row],[CustomerID]],Customers[CustomerID],Customers[Gender])</f>
        <v>Male</v>
      </c>
      <c r="Q863">
        <f>_xlfn.XLOOKUP(Orders[[#This Row],[CustomerID]],Customers[CustomerID],Customers[CustomerAge])</f>
        <v>53</v>
      </c>
      <c r="R863" t="str">
        <f>IF(Orders[[#This Row],[CustomerAge]]&gt;=35, "Older", "Young")</f>
        <v>Older</v>
      </c>
      <c r="S863" t="str">
        <f>_xlfn.XLOOKUP(Orders[[#This Row],[ProductID]],Products[ProductID],Products[ProductName])</f>
        <v>Kids Games</v>
      </c>
      <c r="T863" t="str">
        <f>_xlfn.XLOOKUP(Orders[[#This Row],[ProductID]],Products[ProductID],Products[Category])</f>
        <v>Games</v>
      </c>
    </row>
    <row r="864" spans="1:20" x14ac:dyDescent="0.25">
      <c r="A864" s="4" t="s">
        <v>1053</v>
      </c>
      <c r="B864" s="5">
        <v>46004</v>
      </c>
      <c r="C864" s="15">
        <f>WEEKNUM(Orders[[#This Row],[OrderDate]])</f>
        <v>50</v>
      </c>
      <c r="D864" s="15" t="str">
        <f>TEXT(Orders[[#This Row],[OrderDate]],"mmmm")</f>
        <v>December</v>
      </c>
      <c r="E864" s="4" t="s">
        <v>305</v>
      </c>
      <c r="F864" s="4" t="s">
        <v>70</v>
      </c>
      <c r="G864" s="4">
        <v>8</v>
      </c>
      <c r="H864" s="12">
        <v>17353.3</v>
      </c>
      <c r="I864" s="13">
        <v>14750.305</v>
      </c>
      <c r="J864" s="13">
        <f>Orders[[#This Row],[Quantity]]*Orders[[#This Row],[Selling Price]]</f>
        <v>138826.4</v>
      </c>
      <c r="K864" s="13">
        <f>Orders[[#This Row],[Quantity]]*Orders[[#This Row],[Cost Price]]</f>
        <v>118002.44</v>
      </c>
      <c r="L864" s="13">
        <f>Orders[[#This Row],[Revenue]]-Orders[[#This Row],[Expenses]]</f>
        <v>20823.959999999992</v>
      </c>
      <c r="M864" t="s">
        <v>2215</v>
      </c>
      <c r="N864" t="str">
        <f>_xlfn.XLOOKUP(Orders[[#This Row],[CustomerID]],Customers[CustomerID],Customers[CustomerName])</f>
        <v>Tunde Danladi</v>
      </c>
      <c r="O864" t="str">
        <f>_xlfn.XLOOKUP(Orders[[#This Row],[CustomerID]],Customers[CustomerID],Customers[City])</f>
        <v>California</v>
      </c>
      <c r="P864" t="str">
        <f>_xlfn.XLOOKUP(Orders[[#This Row],[CustomerID]],Customers[CustomerID],Customers[Gender])</f>
        <v>Male</v>
      </c>
      <c r="Q864">
        <f>_xlfn.XLOOKUP(Orders[[#This Row],[CustomerID]],Customers[CustomerID],Customers[CustomerAge])</f>
        <v>40</v>
      </c>
      <c r="R864" t="str">
        <f>IF(Orders[[#This Row],[CustomerAge]]&gt;=35, "Older", "Young")</f>
        <v>Older</v>
      </c>
      <c r="S864" t="str">
        <f>_xlfn.XLOOKUP(Orders[[#This Row],[ProductID]],Products[ProductID],Products[ProductName])</f>
        <v>Yoga Mat</v>
      </c>
      <c r="T864" t="str">
        <f>_xlfn.XLOOKUP(Orders[[#This Row],[ProductID]],Products[ProductID],Products[Category])</f>
        <v>Gym</v>
      </c>
    </row>
    <row r="865" spans="1:20" x14ac:dyDescent="0.25">
      <c r="A865" s="4" t="s">
        <v>1054</v>
      </c>
      <c r="B865" s="5">
        <v>45983</v>
      </c>
      <c r="C865" s="15">
        <f>WEEKNUM(Orders[[#This Row],[OrderDate]])</f>
        <v>47</v>
      </c>
      <c r="D865" s="15" t="str">
        <f>TEXT(Orders[[#This Row],[OrderDate]],"mmmm")</f>
        <v>November</v>
      </c>
      <c r="E865" s="4" t="s">
        <v>320</v>
      </c>
      <c r="F865" s="4" t="s">
        <v>46</v>
      </c>
      <c r="G865" s="4">
        <v>9</v>
      </c>
      <c r="H865" s="12">
        <v>5621.2</v>
      </c>
      <c r="I865" s="13">
        <v>4778.0199999999995</v>
      </c>
      <c r="J865" s="13">
        <f>Orders[[#This Row],[Quantity]]*Orders[[#This Row],[Selling Price]]</f>
        <v>50590.799999999996</v>
      </c>
      <c r="K865" s="13">
        <f>Orders[[#This Row],[Quantity]]*Orders[[#This Row],[Cost Price]]</f>
        <v>43002.179999999993</v>
      </c>
      <c r="L865" s="13">
        <f>Orders[[#This Row],[Revenue]]-Orders[[#This Row],[Expenses]]</f>
        <v>7588.6200000000026</v>
      </c>
      <c r="M865" t="s">
        <v>2216</v>
      </c>
      <c r="N865" t="str">
        <f>_xlfn.XLOOKUP(Orders[[#This Row],[CustomerID]],Customers[CustomerID],Customers[CustomerName])</f>
        <v>Temi Okonkwo</v>
      </c>
      <c r="O865" t="str">
        <f>_xlfn.XLOOKUP(Orders[[#This Row],[CustomerID]],Customers[CustomerID],Customers[City])</f>
        <v>Texas</v>
      </c>
      <c r="P865" t="str">
        <f>_xlfn.XLOOKUP(Orders[[#This Row],[CustomerID]],Customers[CustomerID],Customers[Gender])</f>
        <v>Female</v>
      </c>
      <c r="Q865">
        <f>_xlfn.XLOOKUP(Orders[[#This Row],[CustomerID]],Customers[CustomerID],Customers[CustomerAge])</f>
        <v>31</v>
      </c>
      <c r="R865" t="str">
        <f>IF(Orders[[#This Row],[CustomerAge]]&gt;=35, "Older", "Young")</f>
        <v>Young</v>
      </c>
      <c r="S865" t="str">
        <f>_xlfn.XLOOKUP(Orders[[#This Row],[ProductID]],Products[ProductID],Products[ProductName])</f>
        <v>Turtle Neck</v>
      </c>
      <c r="T865" t="str">
        <f>_xlfn.XLOOKUP(Orders[[#This Row],[ProductID]],Products[ProductID],Products[Category])</f>
        <v>Clothing</v>
      </c>
    </row>
    <row r="866" spans="1:20" x14ac:dyDescent="0.25">
      <c r="A866" s="4" t="s">
        <v>1055</v>
      </c>
      <c r="B866" s="5">
        <v>46021</v>
      </c>
      <c r="C866" s="15">
        <f>WEEKNUM(Orders[[#This Row],[OrderDate]])</f>
        <v>53</v>
      </c>
      <c r="D866" s="15" t="str">
        <f>TEXT(Orders[[#This Row],[OrderDate]],"mmmm")</f>
        <v>December</v>
      </c>
      <c r="E866" s="4" t="s">
        <v>194</v>
      </c>
      <c r="F866" s="4" t="s">
        <v>125</v>
      </c>
      <c r="G866" s="4">
        <v>6</v>
      </c>
      <c r="H866" s="12">
        <v>19642.8</v>
      </c>
      <c r="I866" s="13">
        <v>16696.38</v>
      </c>
      <c r="J866" s="13">
        <f>Orders[[#This Row],[Quantity]]*Orders[[#This Row],[Selling Price]]</f>
        <v>117856.79999999999</v>
      </c>
      <c r="K866" s="13">
        <f>Orders[[#This Row],[Quantity]]*Orders[[#This Row],[Cost Price]]</f>
        <v>100178.28</v>
      </c>
      <c r="L866" s="13">
        <f>Orders[[#This Row],[Revenue]]-Orders[[#This Row],[Expenses]]</f>
        <v>17678.51999999999</v>
      </c>
      <c r="M866" t="s">
        <v>2213</v>
      </c>
      <c r="N866" t="str">
        <f>_xlfn.XLOOKUP(Orders[[#This Row],[CustomerID]],Customers[CustomerID],Customers[CustomerName])</f>
        <v>Adanma Adeyemi</v>
      </c>
      <c r="O866" t="str">
        <f>_xlfn.XLOOKUP(Orders[[#This Row],[CustomerID]],Customers[CustomerID],Customers[City])</f>
        <v>Washington</v>
      </c>
      <c r="P866" t="str">
        <f>_xlfn.XLOOKUP(Orders[[#This Row],[CustomerID]],Customers[CustomerID],Customers[Gender])</f>
        <v>Female</v>
      </c>
      <c r="Q866">
        <f>_xlfn.XLOOKUP(Orders[[#This Row],[CustomerID]],Customers[CustomerID],Customers[CustomerAge])</f>
        <v>45</v>
      </c>
      <c r="R866" t="str">
        <f>IF(Orders[[#This Row],[CustomerAge]]&gt;=35, "Older", "Young")</f>
        <v>Older</v>
      </c>
      <c r="S866" t="str">
        <f>_xlfn.XLOOKUP(Orders[[#This Row],[ProductID]],Products[ProductID],Products[ProductName])</f>
        <v>Earrings</v>
      </c>
      <c r="T866" t="str">
        <f>_xlfn.XLOOKUP(Orders[[#This Row],[ProductID]],Products[ProductID],Products[Category])</f>
        <v>Accessories</v>
      </c>
    </row>
    <row r="867" spans="1:20" x14ac:dyDescent="0.25">
      <c r="A867" s="4" t="s">
        <v>1056</v>
      </c>
      <c r="B867" s="5">
        <v>46008</v>
      </c>
      <c r="C867" s="15">
        <f>WEEKNUM(Orders[[#This Row],[OrderDate]])</f>
        <v>51</v>
      </c>
      <c r="D867" s="15" t="str">
        <f>TEXT(Orders[[#This Row],[OrderDate]],"mmmm")</f>
        <v>December</v>
      </c>
      <c r="E867" s="4" t="s">
        <v>252</v>
      </c>
      <c r="F867" s="4" t="s">
        <v>120</v>
      </c>
      <c r="G867" s="4">
        <v>2</v>
      </c>
      <c r="H867" s="12">
        <v>11157.8</v>
      </c>
      <c r="I867" s="13">
        <v>9484.1299999999992</v>
      </c>
      <c r="J867" s="13">
        <f>Orders[[#This Row],[Quantity]]*Orders[[#This Row],[Selling Price]]</f>
        <v>22315.599999999999</v>
      </c>
      <c r="K867" s="13">
        <f>Orders[[#This Row],[Quantity]]*Orders[[#This Row],[Cost Price]]</f>
        <v>18968.259999999998</v>
      </c>
      <c r="L867" s="13">
        <f>Orders[[#This Row],[Revenue]]-Orders[[#This Row],[Expenses]]</f>
        <v>3347.34</v>
      </c>
      <c r="M867" t="s">
        <v>2220</v>
      </c>
      <c r="N867" t="str">
        <f>_xlfn.XLOOKUP(Orders[[#This Row],[CustomerID]],Customers[CustomerID],Customers[CustomerName])</f>
        <v>Chioma Adeyemi</v>
      </c>
      <c r="O867" t="str">
        <f>_xlfn.XLOOKUP(Orders[[#This Row],[CustomerID]],Customers[CustomerID],Customers[City])</f>
        <v>Texas</v>
      </c>
      <c r="P867" t="str">
        <f>_xlfn.XLOOKUP(Orders[[#This Row],[CustomerID]],Customers[CustomerID],Customers[Gender])</f>
        <v>Female</v>
      </c>
      <c r="Q867">
        <f>_xlfn.XLOOKUP(Orders[[#This Row],[CustomerID]],Customers[CustomerID],Customers[CustomerAge])</f>
        <v>20</v>
      </c>
      <c r="R867" t="str">
        <f>IF(Orders[[#This Row],[CustomerAge]]&gt;=35, "Older", "Young")</f>
        <v>Young</v>
      </c>
      <c r="S867" t="str">
        <f>_xlfn.XLOOKUP(Orders[[#This Row],[ProductID]],Products[ProductID],Products[ProductName])</f>
        <v>Chess</v>
      </c>
      <c r="T867" t="str">
        <f>_xlfn.XLOOKUP(Orders[[#This Row],[ProductID]],Products[ProductID],Products[Category])</f>
        <v>Games</v>
      </c>
    </row>
    <row r="868" spans="1:20" x14ac:dyDescent="0.25">
      <c r="A868" s="4" t="s">
        <v>1057</v>
      </c>
      <c r="B868" s="5">
        <v>46001</v>
      </c>
      <c r="C868" s="15">
        <f>WEEKNUM(Orders[[#This Row],[OrderDate]])</f>
        <v>50</v>
      </c>
      <c r="D868" s="15" t="str">
        <f>TEXT(Orders[[#This Row],[OrderDate]],"mmmm")</f>
        <v>December</v>
      </c>
      <c r="E868" s="4" t="s">
        <v>107</v>
      </c>
      <c r="F868" s="4" t="s">
        <v>125</v>
      </c>
      <c r="G868" s="4">
        <v>7</v>
      </c>
      <c r="H868" s="12">
        <v>2479.6999999999998</v>
      </c>
      <c r="I868" s="13">
        <v>2107.7449999999999</v>
      </c>
      <c r="J868" s="13">
        <f>Orders[[#This Row],[Quantity]]*Orders[[#This Row],[Selling Price]]</f>
        <v>17357.899999999998</v>
      </c>
      <c r="K868" s="13">
        <f>Orders[[#This Row],[Quantity]]*Orders[[#This Row],[Cost Price]]</f>
        <v>14754.215</v>
      </c>
      <c r="L868" s="13">
        <f>Orders[[#This Row],[Revenue]]-Orders[[#This Row],[Expenses]]</f>
        <v>2603.6849999999977</v>
      </c>
      <c r="M868" t="s">
        <v>2207</v>
      </c>
      <c r="N868" t="str">
        <f>_xlfn.XLOOKUP(Orders[[#This Row],[CustomerID]],Customers[CustomerID],Customers[CustomerName])</f>
        <v>Blessing Eze</v>
      </c>
      <c r="O868" t="str">
        <f>_xlfn.XLOOKUP(Orders[[#This Row],[CustomerID]],Customers[CustomerID],Customers[City])</f>
        <v>Texas</v>
      </c>
      <c r="P868" t="str">
        <f>_xlfn.XLOOKUP(Orders[[#This Row],[CustomerID]],Customers[CustomerID],Customers[Gender])</f>
        <v>Female</v>
      </c>
      <c r="Q868">
        <f>_xlfn.XLOOKUP(Orders[[#This Row],[CustomerID]],Customers[CustomerID],Customers[CustomerAge])</f>
        <v>44</v>
      </c>
      <c r="R868" t="str">
        <f>IF(Orders[[#This Row],[CustomerAge]]&gt;=35, "Older", "Young")</f>
        <v>Older</v>
      </c>
      <c r="S868" t="str">
        <f>_xlfn.XLOOKUP(Orders[[#This Row],[ProductID]],Products[ProductID],Products[ProductName])</f>
        <v>Earrings</v>
      </c>
      <c r="T868" t="str">
        <f>_xlfn.XLOOKUP(Orders[[#This Row],[ProductID]],Products[ProductID],Products[Category])</f>
        <v>Accessories</v>
      </c>
    </row>
    <row r="869" spans="1:20" x14ac:dyDescent="0.25">
      <c r="A869" s="4" t="s">
        <v>1058</v>
      </c>
      <c r="B869" s="5">
        <v>45942</v>
      </c>
      <c r="C869" s="15">
        <f>WEEKNUM(Orders[[#This Row],[OrderDate]])</f>
        <v>42</v>
      </c>
      <c r="D869" s="15" t="str">
        <f>TEXT(Orders[[#This Row],[OrderDate]],"mmmm")</f>
        <v>October</v>
      </c>
      <c r="E869" s="4" t="s">
        <v>426</v>
      </c>
      <c r="F869" s="4" t="s">
        <v>76</v>
      </c>
      <c r="G869" s="4">
        <v>2</v>
      </c>
      <c r="H869" s="12">
        <v>11450.1</v>
      </c>
      <c r="I869" s="13">
        <v>9732.5850000000009</v>
      </c>
      <c r="J869" s="13">
        <f>Orders[[#This Row],[Quantity]]*Orders[[#This Row],[Selling Price]]</f>
        <v>22900.2</v>
      </c>
      <c r="K869" s="13">
        <f>Orders[[#This Row],[Quantity]]*Orders[[#This Row],[Cost Price]]</f>
        <v>19465.170000000002</v>
      </c>
      <c r="L869" s="13">
        <f>Orders[[#This Row],[Revenue]]-Orders[[#This Row],[Expenses]]</f>
        <v>3435.0299999999988</v>
      </c>
      <c r="M869" t="s">
        <v>2199</v>
      </c>
      <c r="N869" t="str">
        <f>_xlfn.XLOOKUP(Orders[[#This Row],[CustomerID]],Customers[CustomerID],Customers[CustomerName])</f>
        <v>Chinedu Ojo</v>
      </c>
      <c r="O869" t="str">
        <f>_xlfn.XLOOKUP(Orders[[#This Row],[CustomerID]],Customers[CustomerID],Customers[City])</f>
        <v>Washington</v>
      </c>
      <c r="P869" t="str">
        <f>_xlfn.XLOOKUP(Orders[[#This Row],[CustomerID]],Customers[CustomerID],Customers[Gender])</f>
        <v>Male</v>
      </c>
      <c r="Q869">
        <f>_xlfn.XLOOKUP(Orders[[#This Row],[CustomerID]],Customers[CustomerID],Customers[CustomerAge])</f>
        <v>18</v>
      </c>
      <c r="R869" t="str">
        <f>IF(Orders[[#This Row],[CustomerAge]]&gt;=35, "Older", "Young")</f>
        <v>Young</v>
      </c>
      <c r="S869" t="str">
        <f>_xlfn.XLOOKUP(Orders[[#This Row],[ProductID]],Products[ProductID],Products[ProductName])</f>
        <v>Blender</v>
      </c>
      <c r="T869" t="str">
        <f>_xlfn.XLOOKUP(Orders[[#This Row],[ProductID]],Products[ProductID],Products[Category])</f>
        <v>Electronics</v>
      </c>
    </row>
    <row r="870" spans="1:20" x14ac:dyDescent="0.25">
      <c r="A870" s="4" t="s">
        <v>1059</v>
      </c>
      <c r="B870" s="5">
        <v>46003</v>
      </c>
      <c r="C870" s="15">
        <f>WEEKNUM(Orders[[#This Row],[OrderDate]])</f>
        <v>50</v>
      </c>
      <c r="D870" s="15" t="str">
        <f>TEXT(Orders[[#This Row],[OrderDate]],"mmmm")</f>
        <v>December</v>
      </c>
      <c r="E870" s="4" t="s">
        <v>73</v>
      </c>
      <c r="F870" s="4" t="s">
        <v>63</v>
      </c>
      <c r="G870" s="4">
        <v>8</v>
      </c>
      <c r="H870" s="12">
        <v>2135.1</v>
      </c>
      <c r="I870" s="13">
        <v>1814.835</v>
      </c>
      <c r="J870" s="13">
        <f>Orders[[#This Row],[Quantity]]*Orders[[#This Row],[Selling Price]]</f>
        <v>17080.8</v>
      </c>
      <c r="K870" s="13">
        <f>Orders[[#This Row],[Quantity]]*Orders[[#This Row],[Cost Price]]</f>
        <v>14518.68</v>
      </c>
      <c r="L870" s="13">
        <f>Orders[[#This Row],[Revenue]]-Orders[[#This Row],[Expenses]]</f>
        <v>2562.119999999999</v>
      </c>
      <c r="M870" t="s">
        <v>2207</v>
      </c>
      <c r="N870" t="str">
        <f>_xlfn.XLOOKUP(Orders[[#This Row],[CustomerID]],Customers[CustomerID],Customers[CustomerName])</f>
        <v>Ronke Okonkwo</v>
      </c>
      <c r="O870" t="str">
        <f>_xlfn.XLOOKUP(Orders[[#This Row],[CustomerID]],Customers[CustomerID],Customers[City])</f>
        <v>California</v>
      </c>
      <c r="P870" t="str">
        <f>_xlfn.XLOOKUP(Orders[[#This Row],[CustomerID]],Customers[CustomerID],Customers[Gender])</f>
        <v>Female</v>
      </c>
      <c r="Q870">
        <f>_xlfn.XLOOKUP(Orders[[#This Row],[CustomerID]],Customers[CustomerID],Customers[CustomerAge])</f>
        <v>20</v>
      </c>
      <c r="R870" t="str">
        <f>IF(Orders[[#This Row],[CustomerAge]]&gt;=35, "Older", "Young")</f>
        <v>Young</v>
      </c>
      <c r="S870" t="str">
        <f>_xlfn.XLOOKUP(Orders[[#This Row],[ProductID]],Products[ProductID],Products[ProductName])</f>
        <v>Tennis Bat</v>
      </c>
      <c r="T870" t="str">
        <f>_xlfn.XLOOKUP(Orders[[#This Row],[ProductID]],Products[ProductID],Products[Category])</f>
        <v>Sports</v>
      </c>
    </row>
    <row r="871" spans="1:20" x14ac:dyDescent="0.25">
      <c r="A871" s="4" t="s">
        <v>1060</v>
      </c>
      <c r="B871" s="5">
        <v>45953</v>
      </c>
      <c r="C871" s="15">
        <f>WEEKNUM(Orders[[#This Row],[OrderDate]])</f>
        <v>43</v>
      </c>
      <c r="D871" s="15" t="str">
        <f>TEXT(Orders[[#This Row],[OrderDate]],"mmmm")</f>
        <v>October</v>
      </c>
      <c r="E871" s="4" t="s">
        <v>101</v>
      </c>
      <c r="F871" s="4" t="s">
        <v>111</v>
      </c>
      <c r="G871" s="4">
        <v>5</v>
      </c>
      <c r="H871" s="12">
        <v>2250.4</v>
      </c>
      <c r="I871" s="13">
        <v>1912.8400000000001</v>
      </c>
      <c r="J871" s="13">
        <f>Orders[[#This Row],[Quantity]]*Orders[[#This Row],[Selling Price]]</f>
        <v>11252</v>
      </c>
      <c r="K871" s="13">
        <f>Orders[[#This Row],[Quantity]]*Orders[[#This Row],[Cost Price]]</f>
        <v>9564.2000000000007</v>
      </c>
      <c r="L871" s="13">
        <f>Orders[[#This Row],[Revenue]]-Orders[[#This Row],[Expenses]]</f>
        <v>1687.7999999999993</v>
      </c>
      <c r="M871" t="s">
        <v>2219</v>
      </c>
      <c r="N871" t="str">
        <f>_xlfn.XLOOKUP(Orders[[#This Row],[CustomerID]],Customers[CustomerID],Customers[CustomerName])</f>
        <v>Blessing Eze</v>
      </c>
      <c r="O871" t="str">
        <f>_xlfn.XLOOKUP(Orders[[#This Row],[CustomerID]],Customers[CustomerID],Customers[City])</f>
        <v>Texas</v>
      </c>
      <c r="P871" t="str">
        <f>_xlfn.XLOOKUP(Orders[[#This Row],[CustomerID]],Customers[CustomerID],Customers[Gender])</f>
        <v>Female</v>
      </c>
      <c r="Q871">
        <f>_xlfn.XLOOKUP(Orders[[#This Row],[CustomerID]],Customers[CustomerID],Customers[CustomerAge])</f>
        <v>55</v>
      </c>
      <c r="R871" t="str">
        <f>IF(Orders[[#This Row],[CustomerAge]]&gt;=35, "Older", "Young")</f>
        <v>Older</v>
      </c>
      <c r="S871" t="str">
        <f>_xlfn.XLOOKUP(Orders[[#This Row],[ProductID]],Products[ProductID],Products[ProductName])</f>
        <v>Refrigerator</v>
      </c>
      <c r="T871" t="str">
        <f>_xlfn.XLOOKUP(Orders[[#This Row],[ProductID]],Products[ProductID],Products[Category])</f>
        <v>Electronics</v>
      </c>
    </row>
    <row r="872" spans="1:20" x14ac:dyDescent="0.25">
      <c r="A872" s="4" t="s">
        <v>1061</v>
      </c>
      <c r="B872" s="5">
        <v>45940</v>
      </c>
      <c r="C872" s="15">
        <f>WEEKNUM(Orders[[#This Row],[OrderDate]])</f>
        <v>41</v>
      </c>
      <c r="D872" s="15" t="str">
        <f>TEXT(Orders[[#This Row],[OrderDate]],"mmmm")</f>
        <v>October</v>
      </c>
      <c r="E872" s="4" t="s">
        <v>596</v>
      </c>
      <c r="F872" s="4" t="s">
        <v>12</v>
      </c>
      <c r="G872" s="4">
        <v>5</v>
      </c>
      <c r="H872" s="12">
        <v>10030.700000000001</v>
      </c>
      <c r="I872" s="13">
        <v>8526.0950000000012</v>
      </c>
      <c r="J872" s="13">
        <f>Orders[[#This Row],[Quantity]]*Orders[[#This Row],[Selling Price]]</f>
        <v>50153.5</v>
      </c>
      <c r="K872" s="13">
        <f>Orders[[#This Row],[Quantity]]*Orders[[#This Row],[Cost Price]]</f>
        <v>42630.475000000006</v>
      </c>
      <c r="L872" s="13">
        <f>Orders[[#This Row],[Revenue]]-Orders[[#This Row],[Expenses]]</f>
        <v>7523.0249999999942</v>
      </c>
      <c r="M872" t="s">
        <v>2210</v>
      </c>
      <c r="N872" t="str">
        <f>_xlfn.XLOOKUP(Orders[[#This Row],[CustomerID]],Customers[CustomerID],Customers[CustomerName])</f>
        <v>Blessing Balogun</v>
      </c>
      <c r="O872" t="str">
        <f>_xlfn.XLOOKUP(Orders[[#This Row],[CustomerID]],Customers[CustomerID],Customers[City])</f>
        <v>Texas</v>
      </c>
      <c r="P872" t="str">
        <f>_xlfn.XLOOKUP(Orders[[#This Row],[CustomerID]],Customers[CustomerID],Customers[Gender])</f>
        <v>Female</v>
      </c>
      <c r="Q872">
        <f>_xlfn.XLOOKUP(Orders[[#This Row],[CustomerID]],Customers[CustomerID],Customers[CustomerAge])</f>
        <v>26</v>
      </c>
      <c r="R872" t="str">
        <f>IF(Orders[[#This Row],[CustomerAge]]&gt;=35, "Older", "Young")</f>
        <v>Young</v>
      </c>
      <c r="S872" t="str">
        <f>_xlfn.XLOOKUP(Orders[[#This Row],[ProductID]],Products[ProductID],Products[ProductName])</f>
        <v>Boubou</v>
      </c>
      <c r="T872" t="str">
        <f>_xlfn.XLOOKUP(Orders[[#This Row],[ProductID]],Products[ProductID],Products[Category])</f>
        <v>Clothing</v>
      </c>
    </row>
    <row r="873" spans="1:20" x14ac:dyDescent="0.25">
      <c r="A873" s="4" t="s">
        <v>1062</v>
      </c>
      <c r="B873" s="5">
        <v>46006</v>
      </c>
      <c r="C873" s="15">
        <f>WEEKNUM(Orders[[#This Row],[OrderDate]])</f>
        <v>51</v>
      </c>
      <c r="D873" s="15" t="str">
        <f>TEXT(Orders[[#This Row],[OrderDate]],"mmmm")</f>
        <v>December</v>
      </c>
      <c r="E873" s="4" t="s">
        <v>83</v>
      </c>
      <c r="F873" s="4" t="s">
        <v>253</v>
      </c>
      <c r="G873" s="4">
        <v>2</v>
      </c>
      <c r="H873" s="12">
        <v>6532</v>
      </c>
      <c r="I873" s="13">
        <v>5552.2</v>
      </c>
      <c r="J873" s="13">
        <f>Orders[[#This Row],[Quantity]]*Orders[[#This Row],[Selling Price]]</f>
        <v>13064</v>
      </c>
      <c r="K873" s="13">
        <f>Orders[[#This Row],[Quantity]]*Orders[[#This Row],[Cost Price]]</f>
        <v>11104.4</v>
      </c>
      <c r="L873" s="13">
        <f>Orders[[#This Row],[Revenue]]-Orders[[#This Row],[Expenses]]</f>
        <v>1959.6000000000004</v>
      </c>
      <c r="M873" t="s">
        <v>2214</v>
      </c>
      <c r="N873" t="str">
        <f>_xlfn.XLOOKUP(Orders[[#This Row],[CustomerID]],Customers[CustomerID],Customers[CustomerName])</f>
        <v>Funke Danladi</v>
      </c>
      <c r="O873" t="str">
        <f>_xlfn.XLOOKUP(Orders[[#This Row],[CustomerID]],Customers[CustomerID],Customers[City])</f>
        <v>Florida</v>
      </c>
      <c r="P873" t="str">
        <f>_xlfn.XLOOKUP(Orders[[#This Row],[CustomerID]],Customers[CustomerID],Customers[Gender])</f>
        <v>Female</v>
      </c>
      <c r="Q873">
        <f>_xlfn.XLOOKUP(Orders[[#This Row],[CustomerID]],Customers[CustomerID],Customers[CustomerAge])</f>
        <v>26</v>
      </c>
      <c r="R873" t="str">
        <f>IF(Orders[[#This Row],[CustomerAge]]&gt;=35, "Older", "Young")</f>
        <v>Young</v>
      </c>
      <c r="S873" t="str">
        <f>_xlfn.XLOOKUP(Orders[[#This Row],[ProductID]],Products[ProductID],Products[ProductName])</f>
        <v>Nose Rings</v>
      </c>
      <c r="T873" t="str">
        <f>_xlfn.XLOOKUP(Orders[[#This Row],[ProductID]],Products[ProductID],Products[Category])</f>
        <v>Accessories</v>
      </c>
    </row>
    <row r="874" spans="1:20" x14ac:dyDescent="0.25">
      <c r="A874" s="4" t="s">
        <v>1063</v>
      </c>
      <c r="B874" s="5">
        <v>45997</v>
      </c>
      <c r="C874" s="15">
        <f>WEEKNUM(Orders[[#This Row],[OrderDate]])</f>
        <v>49</v>
      </c>
      <c r="D874" s="15" t="str">
        <f>TEXT(Orders[[#This Row],[OrderDate]],"mmmm")</f>
        <v>December</v>
      </c>
      <c r="E874" s="4" t="s">
        <v>309</v>
      </c>
      <c r="F874" s="4" t="s">
        <v>189</v>
      </c>
      <c r="G874" s="4">
        <v>8</v>
      </c>
      <c r="H874" s="12">
        <v>4895.5</v>
      </c>
      <c r="I874" s="13">
        <v>4161.1750000000002</v>
      </c>
      <c r="J874" s="13">
        <f>Orders[[#This Row],[Quantity]]*Orders[[#This Row],[Selling Price]]</f>
        <v>39164</v>
      </c>
      <c r="K874" s="13">
        <f>Orders[[#This Row],[Quantity]]*Orders[[#This Row],[Cost Price]]</f>
        <v>33289.4</v>
      </c>
      <c r="L874" s="13">
        <f>Orders[[#This Row],[Revenue]]-Orders[[#This Row],[Expenses]]</f>
        <v>5874.5999999999985</v>
      </c>
      <c r="M874" t="s">
        <v>2197</v>
      </c>
      <c r="N874" t="str">
        <f>_xlfn.XLOOKUP(Orders[[#This Row],[CustomerID]],Customers[CustomerID],Customers[CustomerName])</f>
        <v>Temi Ojo</v>
      </c>
      <c r="O874" t="str">
        <f>_xlfn.XLOOKUP(Orders[[#This Row],[CustomerID]],Customers[CustomerID],Customers[City])</f>
        <v>Washington</v>
      </c>
      <c r="P874" t="str">
        <f>_xlfn.XLOOKUP(Orders[[#This Row],[CustomerID]],Customers[CustomerID],Customers[Gender])</f>
        <v>Female</v>
      </c>
      <c r="Q874">
        <f>_xlfn.XLOOKUP(Orders[[#This Row],[CustomerID]],Customers[CustomerID],Customers[CustomerAge])</f>
        <v>36</v>
      </c>
      <c r="R874" t="str">
        <f>IF(Orders[[#This Row],[CustomerAge]]&gt;=35, "Older", "Young")</f>
        <v>Older</v>
      </c>
      <c r="S874" t="str">
        <f>_xlfn.XLOOKUP(Orders[[#This Row],[ProductID]],Products[ProductID],Products[ProductName])</f>
        <v>Scrabble</v>
      </c>
      <c r="T874" t="str">
        <f>_xlfn.XLOOKUP(Orders[[#This Row],[ProductID]],Products[ProductID],Products[Category])</f>
        <v>Games</v>
      </c>
    </row>
    <row r="875" spans="1:20" x14ac:dyDescent="0.25">
      <c r="A875" s="4" t="s">
        <v>1064</v>
      </c>
      <c r="B875" s="5">
        <v>45931</v>
      </c>
      <c r="C875" s="15">
        <f>WEEKNUM(Orders[[#This Row],[OrderDate]])</f>
        <v>40</v>
      </c>
      <c r="D875" s="15" t="str">
        <f>TEXT(Orders[[#This Row],[OrderDate]],"mmmm")</f>
        <v>October</v>
      </c>
      <c r="E875" s="4" t="s">
        <v>161</v>
      </c>
      <c r="F875" s="4" t="s">
        <v>57</v>
      </c>
      <c r="G875" s="4">
        <v>3</v>
      </c>
      <c r="H875" s="12">
        <v>9928.2000000000007</v>
      </c>
      <c r="I875" s="13">
        <v>8438.9700000000012</v>
      </c>
      <c r="J875" s="13">
        <f>Orders[[#This Row],[Quantity]]*Orders[[#This Row],[Selling Price]]</f>
        <v>29784.600000000002</v>
      </c>
      <c r="K875" s="13">
        <f>Orders[[#This Row],[Quantity]]*Orders[[#This Row],[Cost Price]]</f>
        <v>25316.910000000003</v>
      </c>
      <c r="L875" s="13">
        <f>Orders[[#This Row],[Revenue]]-Orders[[#This Row],[Expenses]]</f>
        <v>4467.6899999999987</v>
      </c>
      <c r="M875" t="s">
        <v>2199</v>
      </c>
      <c r="N875" t="str">
        <f>_xlfn.XLOOKUP(Orders[[#This Row],[CustomerID]],Customers[CustomerID],Customers[CustomerName])</f>
        <v>Okon Adeyemi</v>
      </c>
      <c r="O875" t="str">
        <f>_xlfn.XLOOKUP(Orders[[#This Row],[CustomerID]],Customers[CustomerID],Customers[City])</f>
        <v>Georgia</v>
      </c>
      <c r="P875" t="str">
        <f>_xlfn.XLOOKUP(Orders[[#This Row],[CustomerID]],Customers[CustomerID],Customers[Gender])</f>
        <v>Male</v>
      </c>
      <c r="Q875">
        <f>_xlfn.XLOOKUP(Orders[[#This Row],[CustomerID]],Customers[CustomerID],Customers[CustomerAge])</f>
        <v>31</v>
      </c>
      <c r="R875" t="str">
        <f>IF(Orders[[#This Row],[CustomerAge]]&gt;=35, "Older", "Young")</f>
        <v>Young</v>
      </c>
      <c r="S875" t="str">
        <f>_xlfn.XLOOKUP(Orders[[#This Row],[ProductID]],Products[ProductID],Products[ProductName])</f>
        <v>Badminton Racket</v>
      </c>
      <c r="T875" t="str">
        <f>_xlfn.XLOOKUP(Orders[[#This Row],[ProductID]],Products[ProductID],Products[Category])</f>
        <v>Sports</v>
      </c>
    </row>
    <row r="876" spans="1:20" x14ac:dyDescent="0.25">
      <c r="A876" s="4" t="s">
        <v>1065</v>
      </c>
      <c r="B876" s="5">
        <v>45932</v>
      </c>
      <c r="C876" s="15">
        <f>WEEKNUM(Orders[[#This Row],[OrderDate]])</f>
        <v>40</v>
      </c>
      <c r="D876" s="15" t="str">
        <f>TEXT(Orders[[#This Row],[OrderDate]],"mmmm")</f>
        <v>October</v>
      </c>
      <c r="E876" s="4" t="s">
        <v>55</v>
      </c>
      <c r="F876" s="4" t="s">
        <v>151</v>
      </c>
      <c r="G876" s="4">
        <v>9</v>
      </c>
      <c r="H876" s="12">
        <v>7019.2999999999993</v>
      </c>
      <c r="I876" s="13">
        <v>5966.4049999999997</v>
      </c>
      <c r="J876" s="13">
        <f>Orders[[#This Row],[Quantity]]*Orders[[#This Row],[Selling Price]]</f>
        <v>63173.7</v>
      </c>
      <c r="K876" s="13">
        <f>Orders[[#This Row],[Quantity]]*Orders[[#This Row],[Cost Price]]</f>
        <v>53697.644999999997</v>
      </c>
      <c r="L876" s="13">
        <f>Orders[[#This Row],[Revenue]]-Orders[[#This Row],[Expenses]]</f>
        <v>9476.0550000000003</v>
      </c>
      <c r="M876" t="s">
        <v>2215</v>
      </c>
      <c r="N876" t="str">
        <f>_xlfn.XLOOKUP(Orders[[#This Row],[CustomerID]],Customers[CustomerID],Customers[CustomerName])</f>
        <v>Adanma Ojo</v>
      </c>
      <c r="O876" t="str">
        <f>_xlfn.XLOOKUP(Orders[[#This Row],[CustomerID]],Customers[CustomerID],Customers[City])</f>
        <v>California</v>
      </c>
      <c r="P876" t="str">
        <f>_xlfn.XLOOKUP(Orders[[#This Row],[CustomerID]],Customers[CustomerID],Customers[Gender])</f>
        <v>Female</v>
      </c>
      <c r="Q876">
        <f>_xlfn.XLOOKUP(Orders[[#This Row],[CustomerID]],Customers[CustomerID],Customers[CustomerAge])</f>
        <v>48</v>
      </c>
      <c r="R876" t="str">
        <f>IF(Orders[[#This Row],[CustomerAge]]&gt;=35, "Older", "Young")</f>
        <v>Older</v>
      </c>
      <c r="S876" t="str">
        <f>_xlfn.XLOOKUP(Orders[[#This Row],[ProductID]],Products[ProductID],Products[ProductName])</f>
        <v>Checkers</v>
      </c>
      <c r="T876" t="str">
        <f>_xlfn.XLOOKUP(Orders[[#This Row],[ProductID]],Products[ProductID],Products[Category])</f>
        <v>Games</v>
      </c>
    </row>
    <row r="877" spans="1:20" x14ac:dyDescent="0.25">
      <c r="A877" s="4" t="s">
        <v>1066</v>
      </c>
      <c r="B877" s="5">
        <v>45986</v>
      </c>
      <c r="C877" s="15">
        <f>WEEKNUM(Orders[[#This Row],[OrderDate]])</f>
        <v>48</v>
      </c>
      <c r="D877" s="15" t="str">
        <f>TEXT(Orders[[#This Row],[OrderDate]],"mmmm")</f>
        <v>November</v>
      </c>
      <c r="E877" s="4" t="s">
        <v>605</v>
      </c>
      <c r="F877" s="4" t="s">
        <v>232</v>
      </c>
      <c r="G877" s="4">
        <v>10</v>
      </c>
      <c r="H877" s="12">
        <v>12427.7</v>
      </c>
      <c r="I877" s="13">
        <v>10563.545</v>
      </c>
      <c r="J877" s="13">
        <f>Orders[[#This Row],[Quantity]]*Orders[[#This Row],[Selling Price]]</f>
        <v>124277</v>
      </c>
      <c r="K877" s="13">
        <f>Orders[[#This Row],[Quantity]]*Orders[[#This Row],[Cost Price]]</f>
        <v>105635.45</v>
      </c>
      <c r="L877" s="13">
        <f>Orders[[#This Row],[Revenue]]-Orders[[#This Row],[Expenses]]</f>
        <v>18641.550000000003</v>
      </c>
      <c r="M877" t="s">
        <v>2208</v>
      </c>
      <c r="N877" t="str">
        <f>_xlfn.XLOOKUP(Orders[[#This Row],[CustomerID]],Customers[CustomerID],Customers[CustomerName])</f>
        <v>Blessing Abubakar</v>
      </c>
      <c r="O877" t="str">
        <f>_xlfn.XLOOKUP(Orders[[#This Row],[CustomerID]],Customers[CustomerID],Customers[City])</f>
        <v>Texas</v>
      </c>
      <c r="P877" t="str">
        <f>_xlfn.XLOOKUP(Orders[[#This Row],[CustomerID]],Customers[CustomerID],Customers[Gender])</f>
        <v>Female</v>
      </c>
      <c r="Q877">
        <f>_xlfn.XLOOKUP(Orders[[#This Row],[CustomerID]],Customers[CustomerID],Customers[CustomerAge])</f>
        <v>44</v>
      </c>
      <c r="R877" t="str">
        <f>IF(Orders[[#This Row],[CustomerAge]]&gt;=35, "Older", "Young")</f>
        <v>Older</v>
      </c>
      <c r="S877" t="str">
        <f>_xlfn.XLOOKUP(Orders[[#This Row],[ProductID]],Products[ProductID],Products[ProductName])</f>
        <v>Ankara</v>
      </c>
      <c r="T877" t="str">
        <f>_xlfn.XLOOKUP(Orders[[#This Row],[ProductID]],Products[ProductID],Products[Category])</f>
        <v>Clothing</v>
      </c>
    </row>
    <row r="878" spans="1:20" x14ac:dyDescent="0.25">
      <c r="A878" s="4" t="s">
        <v>1067</v>
      </c>
      <c r="B878" s="5">
        <v>46014</v>
      </c>
      <c r="C878" s="15">
        <f>WEEKNUM(Orders[[#This Row],[OrderDate]])</f>
        <v>52</v>
      </c>
      <c r="D878" s="15" t="str">
        <f>TEXT(Orders[[#This Row],[OrderDate]],"mmmm")</f>
        <v>December</v>
      </c>
      <c r="E878" s="4" t="s">
        <v>83</v>
      </c>
      <c r="F878" s="4" t="s">
        <v>84</v>
      </c>
      <c r="G878" s="4">
        <v>8</v>
      </c>
      <c r="H878" s="12">
        <v>18572.099999999999</v>
      </c>
      <c r="I878" s="13">
        <v>15786.285</v>
      </c>
      <c r="J878" s="13">
        <f>Orders[[#This Row],[Quantity]]*Orders[[#This Row],[Selling Price]]</f>
        <v>148576.79999999999</v>
      </c>
      <c r="K878" s="13">
        <f>Orders[[#This Row],[Quantity]]*Orders[[#This Row],[Cost Price]]</f>
        <v>126290.28</v>
      </c>
      <c r="L878" s="13">
        <f>Orders[[#This Row],[Revenue]]-Orders[[#This Row],[Expenses]]</f>
        <v>22286.51999999999</v>
      </c>
      <c r="M878" t="s">
        <v>2200</v>
      </c>
      <c r="N878" t="str">
        <f>_xlfn.XLOOKUP(Orders[[#This Row],[CustomerID]],Customers[CustomerID],Customers[CustomerName])</f>
        <v>Funke Danladi</v>
      </c>
      <c r="O878" t="str">
        <f>_xlfn.XLOOKUP(Orders[[#This Row],[CustomerID]],Customers[CustomerID],Customers[City])</f>
        <v>Florida</v>
      </c>
      <c r="P878" t="str">
        <f>_xlfn.XLOOKUP(Orders[[#This Row],[CustomerID]],Customers[CustomerID],Customers[Gender])</f>
        <v>Female</v>
      </c>
      <c r="Q878">
        <f>_xlfn.XLOOKUP(Orders[[#This Row],[CustomerID]],Customers[CustomerID],Customers[CustomerAge])</f>
        <v>26</v>
      </c>
      <c r="R878" t="str">
        <f>IF(Orders[[#This Row],[CustomerAge]]&gt;=35, "Older", "Young")</f>
        <v>Young</v>
      </c>
      <c r="S878" t="str">
        <f>_xlfn.XLOOKUP(Orders[[#This Row],[ProductID]],Products[ProductID],Products[ProductName])</f>
        <v>Gym Wears</v>
      </c>
      <c r="T878" t="str">
        <f>_xlfn.XLOOKUP(Orders[[#This Row],[ProductID]],Products[ProductID],Products[Category])</f>
        <v>Clothing</v>
      </c>
    </row>
    <row r="879" spans="1:20" x14ac:dyDescent="0.25">
      <c r="A879" s="4" t="s">
        <v>1068</v>
      </c>
      <c r="B879" s="5">
        <v>45943</v>
      </c>
      <c r="C879" s="15">
        <f>WEEKNUM(Orders[[#This Row],[OrderDate]])</f>
        <v>42</v>
      </c>
      <c r="D879" s="15" t="str">
        <f>TEXT(Orders[[#This Row],[OrderDate]],"mmmm")</f>
        <v>October</v>
      </c>
      <c r="E879" s="4" t="s">
        <v>107</v>
      </c>
      <c r="F879" s="4" t="s">
        <v>34</v>
      </c>
      <c r="G879" s="4">
        <v>8</v>
      </c>
      <c r="H879" s="12">
        <v>6080.1</v>
      </c>
      <c r="I879" s="13">
        <v>5168.085</v>
      </c>
      <c r="J879" s="13">
        <f>Orders[[#This Row],[Quantity]]*Orders[[#This Row],[Selling Price]]</f>
        <v>48640.800000000003</v>
      </c>
      <c r="K879" s="13">
        <f>Orders[[#This Row],[Quantity]]*Orders[[#This Row],[Cost Price]]</f>
        <v>41344.68</v>
      </c>
      <c r="L879" s="13">
        <f>Orders[[#This Row],[Revenue]]-Orders[[#This Row],[Expenses]]</f>
        <v>7296.1200000000026</v>
      </c>
      <c r="M879" t="s">
        <v>2193</v>
      </c>
      <c r="N879" t="str">
        <f>_xlfn.XLOOKUP(Orders[[#This Row],[CustomerID]],Customers[CustomerID],Customers[CustomerName])</f>
        <v>Blessing Eze</v>
      </c>
      <c r="O879" t="str">
        <f>_xlfn.XLOOKUP(Orders[[#This Row],[CustomerID]],Customers[CustomerID],Customers[City])</f>
        <v>Texas</v>
      </c>
      <c r="P879" t="str">
        <f>_xlfn.XLOOKUP(Orders[[#This Row],[CustomerID]],Customers[CustomerID],Customers[Gender])</f>
        <v>Female</v>
      </c>
      <c r="Q879">
        <f>_xlfn.XLOOKUP(Orders[[#This Row],[CustomerID]],Customers[CustomerID],Customers[CustomerAge])</f>
        <v>44</v>
      </c>
      <c r="R879" t="str">
        <f>IF(Orders[[#This Row],[CustomerAge]]&gt;=35, "Older", "Young")</f>
        <v>Older</v>
      </c>
      <c r="S879" t="str">
        <f>_xlfn.XLOOKUP(Orders[[#This Row],[ProductID]],Products[ProductID],Products[ProductName])</f>
        <v>Gold Bracelets</v>
      </c>
      <c r="T879" t="str">
        <f>_xlfn.XLOOKUP(Orders[[#This Row],[ProductID]],Products[ProductID],Products[Category])</f>
        <v>Accessories</v>
      </c>
    </row>
    <row r="880" spans="1:20" x14ac:dyDescent="0.25">
      <c r="A880" s="4" t="s">
        <v>1069</v>
      </c>
      <c r="B880" s="5">
        <v>45975</v>
      </c>
      <c r="C880" s="15">
        <f>WEEKNUM(Orders[[#This Row],[OrderDate]])</f>
        <v>46</v>
      </c>
      <c r="D880" s="15" t="str">
        <f>TEXT(Orders[[#This Row],[OrderDate]],"mmmm")</f>
        <v>November</v>
      </c>
      <c r="E880" s="4" t="s">
        <v>87</v>
      </c>
      <c r="F880" s="4" t="s">
        <v>46</v>
      </c>
      <c r="G880" s="4">
        <v>3</v>
      </c>
      <c r="H880" s="12">
        <v>3446.6000000000004</v>
      </c>
      <c r="I880" s="13">
        <v>2929.6100000000006</v>
      </c>
      <c r="J880" s="13">
        <f>Orders[[#This Row],[Quantity]]*Orders[[#This Row],[Selling Price]]</f>
        <v>10339.800000000001</v>
      </c>
      <c r="K880" s="13">
        <f>Orders[[#This Row],[Quantity]]*Orders[[#This Row],[Cost Price]]</f>
        <v>8788.8300000000017</v>
      </c>
      <c r="L880" s="13">
        <f>Orders[[#This Row],[Revenue]]-Orders[[#This Row],[Expenses]]</f>
        <v>1550.9699999999993</v>
      </c>
      <c r="M880" t="s">
        <v>2199</v>
      </c>
      <c r="N880" t="str">
        <f>_xlfn.XLOOKUP(Orders[[#This Row],[CustomerID]],Customers[CustomerID],Customers[CustomerName])</f>
        <v>Efe Igwe</v>
      </c>
      <c r="O880" t="str">
        <f>_xlfn.XLOOKUP(Orders[[#This Row],[CustomerID]],Customers[CustomerID],Customers[City])</f>
        <v>Illinois</v>
      </c>
      <c r="P880" t="str">
        <f>_xlfn.XLOOKUP(Orders[[#This Row],[CustomerID]],Customers[CustomerID],Customers[Gender])</f>
        <v>Female</v>
      </c>
      <c r="Q880">
        <f>_xlfn.XLOOKUP(Orders[[#This Row],[CustomerID]],Customers[CustomerID],Customers[CustomerAge])</f>
        <v>34</v>
      </c>
      <c r="R880" t="str">
        <f>IF(Orders[[#This Row],[CustomerAge]]&gt;=35, "Older", "Young")</f>
        <v>Young</v>
      </c>
      <c r="S880" t="str">
        <f>_xlfn.XLOOKUP(Orders[[#This Row],[ProductID]],Products[ProductID],Products[ProductName])</f>
        <v>Turtle Neck</v>
      </c>
      <c r="T880" t="str">
        <f>_xlfn.XLOOKUP(Orders[[#This Row],[ProductID]],Products[ProductID],Products[Category])</f>
        <v>Clothing</v>
      </c>
    </row>
    <row r="881" spans="1:20" x14ac:dyDescent="0.25">
      <c r="A881" s="4" t="s">
        <v>1070</v>
      </c>
      <c r="B881" s="5">
        <v>45955</v>
      </c>
      <c r="C881" s="15">
        <f>WEEKNUM(Orders[[#This Row],[OrderDate]])</f>
        <v>43</v>
      </c>
      <c r="D881" s="15" t="str">
        <f>TEXT(Orders[[#This Row],[OrderDate]],"mmmm")</f>
        <v>October</v>
      </c>
      <c r="E881" s="4" t="s">
        <v>103</v>
      </c>
      <c r="F881" s="4" t="s">
        <v>34</v>
      </c>
      <c r="G881" s="4">
        <v>6</v>
      </c>
      <c r="H881" s="12">
        <v>3155.7999999999997</v>
      </c>
      <c r="I881" s="13">
        <v>2682.43</v>
      </c>
      <c r="J881" s="13">
        <f>Orders[[#This Row],[Quantity]]*Orders[[#This Row],[Selling Price]]</f>
        <v>18934.8</v>
      </c>
      <c r="K881" s="13">
        <f>Orders[[#This Row],[Quantity]]*Orders[[#This Row],[Cost Price]]</f>
        <v>16094.579999999998</v>
      </c>
      <c r="L881" s="13">
        <f>Orders[[#This Row],[Revenue]]-Orders[[#This Row],[Expenses]]</f>
        <v>2840.2200000000012</v>
      </c>
      <c r="M881" t="s">
        <v>2193</v>
      </c>
      <c r="N881" t="str">
        <f>_xlfn.XLOOKUP(Orders[[#This Row],[CustomerID]],Customers[CustomerID],Customers[CustomerName])</f>
        <v>Chioma Adeyemi</v>
      </c>
      <c r="O881" t="str">
        <f>_xlfn.XLOOKUP(Orders[[#This Row],[CustomerID]],Customers[CustomerID],Customers[City])</f>
        <v>Georgia</v>
      </c>
      <c r="P881" t="str">
        <f>_xlfn.XLOOKUP(Orders[[#This Row],[CustomerID]],Customers[CustomerID],Customers[Gender])</f>
        <v>Female</v>
      </c>
      <c r="Q881">
        <f>_xlfn.XLOOKUP(Orders[[#This Row],[CustomerID]],Customers[CustomerID],Customers[CustomerAge])</f>
        <v>31</v>
      </c>
      <c r="R881" t="str">
        <f>IF(Orders[[#This Row],[CustomerAge]]&gt;=35, "Older", "Young")</f>
        <v>Young</v>
      </c>
      <c r="S881" t="str">
        <f>_xlfn.XLOOKUP(Orders[[#This Row],[ProductID]],Products[ProductID],Products[ProductName])</f>
        <v>Gold Bracelets</v>
      </c>
      <c r="T881" t="str">
        <f>_xlfn.XLOOKUP(Orders[[#This Row],[ProductID]],Products[ProductID],Products[Category])</f>
        <v>Accessories</v>
      </c>
    </row>
    <row r="882" spans="1:20" x14ac:dyDescent="0.25">
      <c r="A882" s="4" t="s">
        <v>1071</v>
      </c>
      <c r="B882" s="5">
        <v>46004</v>
      </c>
      <c r="C882" s="15">
        <f>WEEKNUM(Orders[[#This Row],[OrderDate]])</f>
        <v>50</v>
      </c>
      <c r="D882" s="15" t="str">
        <f>TEXT(Orders[[#This Row],[OrderDate]],"mmmm")</f>
        <v>December</v>
      </c>
      <c r="E882" s="4" t="s">
        <v>333</v>
      </c>
      <c r="F882" s="4" t="s">
        <v>151</v>
      </c>
      <c r="G882" s="4">
        <v>5</v>
      </c>
      <c r="H882" s="12">
        <v>7243.7</v>
      </c>
      <c r="I882" s="13">
        <v>6157.1450000000004</v>
      </c>
      <c r="J882" s="13">
        <f>Orders[[#This Row],[Quantity]]*Orders[[#This Row],[Selling Price]]</f>
        <v>36218.5</v>
      </c>
      <c r="K882" s="13">
        <f>Orders[[#This Row],[Quantity]]*Orders[[#This Row],[Cost Price]]</f>
        <v>30785.725000000002</v>
      </c>
      <c r="L882" s="13">
        <f>Orders[[#This Row],[Revenue]]-Orders[[#This Row],[Expenses]]</f>
        <v>5432.7749999999978</v>
      </c>
      <c r="M882" t="s">
        <v>2216</v>
      </c>
      <c r="N882" t="str">
        <f>_xlfn.XLOOKUP(Orders[[#This Row],[CustomerID]],Customers[CustomerID],Customers[CustomerName])</f>
        <v>Emeka Obi</v>
      </c>
      <c r="O882" t="str">
        <f>_xlfn.XLOOKUP(Orders[[#This Row],[CustomerID]],Customers[CustomerID],Customers[City])</f>
        <v>Washington</v>
      </c>
      <c r="P882" t="str">
        <f>_xlfn.XLOOKUP(Orders[[#This Row],[CustomerID]],Customers[CustomerID],Customers[Gender])</f>
        <v>Male</v>
      </c>
      <c r="Q882">
        <f>_xlfn.XLOOKUP(Orders[[#This Row],[CustomerID]],Customers[CustomerID],Customers[CustomerAge])</f>
        <v>44</v>
      </c>
      <c r="R882" t="str">
        <f>IF(Orders[[#This Row],[CustomerAge]]&gt;=35, "Older", "Young")</f>
        <v>Older</v>
      </c>
      <c r="S882" t="str">
        <f>_xlfn.XLOOKUP(Orders[[#This Row],[ProductID]],Products[ProductID],Products[ProductName])</f>
        <v>Checkers</v>
      </c>
      <c r="T882" t="str">
        <f>_xlfn.XLOOKUP(Orders[[#This Row],[ProductID]],Products[ProductID],Products[Category])</f>
        <v>Games</v>
      </c>
    </row>
    <row r="883" spans="1:20" x14ac:dyDescent="0.25">
      <c r="A883" s="4" t="s">
        <v>1072</v>
      </c>
      <c r="B883" s="5">
        <v>45979</v>
      </c>
      <c r="C883" s="15">
        <f>WEEKNUM(Orders[[#This Row],[OrderDate]])</f>
        <v>47</v>
      </c>
      <c r="D883" s="15" t="str">
        <f>TEXT(Orders[[#This Row],[OrderDate]],"mmmm")</f>
        <v>November</v>
      </c>
      <c r="E883" s="4" t="s">
        <v>124</v>
      </c>
      <c r="F883" s="4" t="s">
        <v>130</v>
      </c>
      <c r="G883" s="4">
        <v>10</v>
      </c>
      <c r="H883" s="12">
        <v>16884.900000000001</v>
      </c>
      <c r="I883" s="13">
        <v>14352.165000000001</v>
      </c>
      <c r="J883" s="13">
        <f>Orders[[#This Row],[Quantity]]*Orders[[#This Row],[Selling Price]]</f>
        <v>168849</v>
      </c>
      <c r="K883" s="13">
        <f>Orders[[#This Row],[Quantity]]*Orders[[#This Row],[Cost Price]]</f>
        <v>143521.65000000002</v>
      </c>
      <c r="L883" s="13">
        <f>Orders[[#This Row],[Revenue]]-Orders[[#This Row],[Expenses]]</f>
        <v>25327.349999999977</v>
      </c>
      <c r="M883" t="s">
        <v>2217</v>
      </c>
      <c r="N883" t="str">
        <f>_xlfn.XLOOKUP(Orders[[#This Row],[CustomerID]],Customers[CustomerID],Customers[CustomerName])</f>
        <v>Ngozi Ojo</v>
      </c>
      <c r="O883" t="str">
        <f>_xlfn.XLOOKUP(Orders[[#This Row],[CustomerID]],Customers[CustomerID],Customers[City])</f>
        <v>Texas</v>
      </c>
      <c r="P883" t="str">
        <f>_xlfn.XLOOKUP(Orders[[#This Row],[CustomerID]],Customers[CustomerID],Customers[Gender])</f>
        <v>Female</v>
      </c>
      <c r="Q883">
        <f>_xlfn.XLOOKUP(Orders[[#This Row],[CustomerID]],Customers[CustomerID],Customers[CustomerAge])</f>
        <v>22</v>
      </c>
      <c r="R883" t="str">
        <f>IF(Orders[[#This Row],[CustomerAge]]&gt;=35, "Older", "Young")</f>
        <v>Young</v>
      </c>
      <c r="S883" t="str">
        <f>_xlfn.XLOOKUP(Orders[[#This Row],[ProductID]],Products[ProductID],Products[ProductName])</f>
        <v>Gold Earrings And Necklaces</v>
      </c>
      <c r="T883" t="str">
        <f>_xlfn.XLOOKUP(Orders[[#This Row],[ProductID]],Products[ProductID],Products[Category])</f>
        <v>Accessories</v>
      </c>
    </row>
    <row r="884" spans="1:20" x14ac:dyDescent="0.25">
      <c r="A884" s="4" t="s">
        <v>1073</v>
      </c>
      <c r="B884" s="5">
        <v>45955</v>
      </c>
      <c r="C884" s="15">
        <f>WEEKNUM(Orders[[#This Row],[OrderDate]])</f>
        <v>43</v>
      </c>
      <c r="D884" s="15" t="str">
        <f>TEXT(Orders[[#This Row],[OrderDate]],"mmmm")</f>
        <v>October</v>
      </c>
      <c r="E884" s="4" t="s">
        <v>118</v>
      </c>
      <c r="F884" s="4" t="s">
        <v>63</v>
      </c>
      <c r="G884" s="4">
        <v>2</v>
      </c>
      <c r="H884" s="12">
        <v>7339.0999999999995</v>
      </c>
      <c r="I884" s="13">
        <v>6238.2349999999997</v>
      </c>
      <c r="J884" s="13">
        <f>Orders[[#This Row],[Quantity]]*Orders[[#This Row],[Selling Price]]</f>
        <v>14678.199999999999</v>
      </c>
      <c r="K884" s="13">
        <f>Orders[[#This Row],[Quantity]]*Orders[[#This Row],[Cost Price]]</f>
        <v>12476.47</v>
      </c>
      <c r="L884" s="13">
        <f>Orders[[#This Row],[Revenue]]-Orders[[#This Row],[Expenses]]</f>
        <v>2201.7299999999996</v>
      </c>
      <c r="M884" t="s">
        <v>2217</v>
      </c>
      <c r="N884" t="str">
        <f>_xlfn.XLOOKUP(Orders[[#This Row],[CustomerID]],Customers[CustomerID],Customers[CustomerName])</f>
        <v>Ibrahim Balogun</v>
      </c>
      <c r="O884" t="str">
        <f>_xlfn.XLOOKUP(Orders[[#This Row],[CustomerID]],Customers[CustomerID],Customers[City])</f>
        <v>Georgia</v>
      </c>
      <c r="P884" t="str">
        <f>_xlfn.XLOOKUP(Orders[[#This Row],[CustomerID]],Customers[CustomerID],Customers[Gender])</f>
        <v>Male</v>
      </c>
      <c r="Q884">
        <f>_xlfn.XLOOKUP(Orders[[#This Row],[CustomerID]],Customers[CustomerID],Customers[CustomerAge])</f>
        <v>55</v>
      </c>
      <c r="R884" t="str">
        <f>IF(Orders[[#This Row],[CustomerAge]]&gt;=35, "Older", "Young")</f>
        <v>Older</v>
      </c>
      <c r="S884" t="str">
        <f>_xlfn.XLOOKUP(Orders[[#This Row],[ProductID]],Products[ProductID],Products[ProductName])</f>
        <v>Tennis Bat</v>
      </c>
      <c r="T884" t="str">
        <f>_xlfn.XLOOKUP(Orders[[#This Row],[ProductID]],Products[ProductID],Products[Category])</f>
        <v>Sports</v>
      </c>
    </row>
    <row r="885" spans="1:20" x14ac:dyDescent="0.25">
      <c r="A885" s="4" t="s">
        <v>1074</v>
      </c>
      <c r="B885" s="5">
        <v>45983</v>
      </c>
      <c r="C885" s="15">
        <f>WEEKNUM(Orders[[#This Row],[OrderDate]])</f>
        <v>47</v>
      </c>
      <c r="D885" s="15" t="str">
        <f>TEXT(Orders[[#This Row],[OrderDate]],"mmmm")</f>
        <v>November</v>
      </c>
      <c r="E885" s="4" t="s">
        <v>293</v>
      </c>
      <c r="F885" s="4" t="s">
        <v>189</v>
      </c>
      <c r="G885" s="4">
        <v>4</v>
      </c>
      <c r="H885" s="12">
        <v>8112.2000000000007</v>
      </c>
      <c r="I885" s="13">
        <v>6895.3700000000008</v>
      </c>
      <c r="J885" s="13">
        <f>Orders[[#This Row],[Quantity]]*Orders[[#This Row],[Selling Price]]</f>
        <v>32448.800000000003</v>
      </c>
      <c r="K885" s="13">
        <f>Orders[[#This Row],[Quantity]]*Orders[[#This Row],[Cost Price]]</f>
        <v>27581.480000000003</v>
      </c>
      <c r="L885" s="13">
        <f>Orders[[#This Row],[Revenue]]-Orders[[#This Row],[Expenses]]</f>
        <v>4867.32</v>
      </c>
      <c r="M885" t="s">
        <v>2200</v>
      </c>
      <c r="N885" t="str">
        <f>_xlfn.XLOOKUP(Orders[[#This Row],[CustomerID]],Customers[CustomerID],Customers[CustomerName])</f>
        <v>Tunde Eze</v>
      </c>
      <c r="O885" t="str">
        <f>_xlfn.XLOOKUP(Orders[[#This Row],[CustomerID]],Customers[CustomerID],Customers[City])</f>
        <v>Florida</v>
      </c>
      <c r="P885" t="str">
        <f>_xlfn.XLOOKUP(Orders[[#This Row],[CustomerID]],Customers[CustomerID],Customers[Gender])</f>
        <v>Male</v>
      </c>
      <c r="Q885">
        <f>_xlfn.XLOOKUP(Orders[[#This Row],[CustomerID]],Customers[CustomerID],Customers[CustomerAge])</f>
        <v>46</v>
      </c>
      <c r="R885" t="str">
        <f>IF(Orders[[#This Row],[CustomerAge]]&gt;=35, "Older", "Young")</f>
        <v>Older</v>
      </c>
      <c r="S885" t="str">
        <f>_xlfn.XLOOKUP(Orders[[#This Row],[ProductID]],Products[ProductID],Products[ProductName])</f>
        <v>Scrabble</v>
      </c>
      <c r="T885" t="str">
        <f>_xlfn.XLOOKUP(Orders[[#This Row],[ProductID]],Products[ProductID],Products[Category])</f>
        <v>Games</v>
      </c>
    </row>
    <row r="886" spans="1:20" x14ac:dyDescent="0.25">
      <c r="A886" s="4" t="s">
        <v>1075</v>
      </c>
      <c r="B886" s="5">
        <v>46013</v>
      </c>
      <c r="C886" s="15">
        <f>WEEKNUM(Orders[[#This Row],[OrderDate]])</f>
        <v>52</v>
      </c>
      <c r="D886" s="15" t="str">
        <f>TEXT(Orders[[#This Row],[OrderDate]],"mmmm")</f>
        <v>December</v>
      </c>
      <c r="E886" s="4" t="s">
        <v>186</v>
      </c>
      <c r="F886" s="4" t="s">
        <v>31</v>
      </c>
      <c r="G886" s="4">
        <v>8</v>
      </c>
      <c r="H886" s="12">
        <v>5157.3</v>
      </c>
      <c r="I886" s="13">
        <v>4383.7049999999999</v>
      </c>
      <c r="J886" s="13">
        <f>Orders[[#This Row],[Quantity]]*Orders[[#This Row],[Selling Price]]</f>
        <v>41258.400000000001</v>
      </c>
      <c r="K886" s="13">
        <f>Orders[[#This Row],[Quantity]]*Orders[[#This Row],[Cost Price]]</f>
        <v>35069.64</v>
      </c>
      <c r="L886" s="13">
        <f>Orders[[#This Row],[Revenue]]-Orders[[#This Row],[Expenses]]</f>
        <v>6188.760000000002</v>
      </c>
      <c r="M886" t="s">
        <v>2196</v>
      </c>
      <c r="N886" t="str">
        <f>_xlfn.XLOOKUP(Orders[[#This Row],[CustomerID]],Customers[CustomerID],Customers[CustomerName])</f>
        <v>Ronke Eze</v>
      </c>
      <c r="O886" t="str">
        <f>_xlfn.XLOOKUP(Orders[[#This Row],[CustomerID]],Customers[CustomerID],Customers[City])</f>
        <v>Texas</v>
      </c>
      <c r="P886" t="str">
        <f>_xlfn.XLOOKUP(Orders[[#This Row],[CustomerID]],Customers[CustomerID],Customers[Gender])</f>
        <v>Female</v>
      </c>
      <c r="Q886">
        <f>_xlfn.XLOOKUP(Orders[[#This Row],[CustomerID]],Customers[CustomerID],Customers[CustomerAge])</f>
        <v>37</v>
      </c>
      <c r="R886" t="str">
        <f>IF(Orders[[#This Row],[CustomerAge]]&gt;=35, "Older", "Young")</f>
        <v>Older</v>
      </c>
      <c r="S886" t="str">
        <f>_xlfn.XLOOKUP(Orders[[#This Row],[ProductID]],Products[ProductID],Products[ProductName])</f>
        <v>Kids Games</v>
      </c>
      <c r="T886" t="str">
        <f>_xlfn.XLOOKUP(Orders[[#This Row],[ProductID]],Products[ProductID],Products[Category])</f>
        <v>Games</v>
      </c>
    </row>
    <row r="887" spans="1:20" x14ac:dyDescent="0.25">
      <c r="A887" s="4" t="s">
        <v>1076</v>
      </c>
      <c r="B887" s="5">
        <v>46012</v>
      </c>
      <c r="C887" s="15">
        <f>WEEKNUM(Orders[[#This Row],[OrderDate]])</f>
        <v>52</v>
      </c>
      <c r="D887" s="15" t="str">
        <f>TEXT(Orders[[#This Row],[OrderDate]],"mmmm")</f>
        <v>December</v>
      </c>
      <c r="E887" s="4" t="s">
        <v>113</v>
      </c>
      <c r="F887" s="4" t="s">
        <v>81</v>
      </c>
      <c r="G887" s="4">
        <v>3</v>
      </c>
      <c r="H887" s="12">
        <v>11418.800000000001</v>
      </c>
      <c r="I887" s="13">
        <v>9705.9800000000014</v>
      </c>
      <c r="J887" s="13">
        <f>Orders[[#This Row],[Quantity]]*Orders[[#This Row],[Selling Price]]</f>
        <v>34256.400000000001</v>
      </c>
      <c r="K887" s="13">
        <f>Orders[[#This Row],[Quantity]]*Orders[[#This Row],[Cost Price]]</f>
        <v>29117.940000000002</v>
      </c>
      <c r="L887" s="13">
        <f>Orders[[#This Row],[Revenue]]-Orders[[#This Row],[Expenses]]</f>
        <v>5138.4599999999991</v>
      </c>
      <c r="M887" t="s">
        <v>2204</v>
      </c>
      <c r="N887" t="str">
        <f>_xlfn.XLOOKUP(Orders[[#This Row],[CustomerID]],Customers[CustomerID],Customers[CustomerName])</f>
        <v>Uche Igwe</v>
      </c>
      <c r="O887" t="str">
        <f>_xlfn.XLOOKUP(Orders[[#This Row],[CustomerID]],Customers[CustomerID],Customers[City])</f>
        <v>Texas</v>
      </c>
      <c r="P887" t="str">
        <f>_xlfn.XLOOKUP(Orders[[#This Row],[CustomerID]],Customers[CustomerID],Customers[Gender])</f>
        <v>Male</v>
      </c>
      <c r="Q887">
        <f>_xlfn.XLOOKUP(Orders[[#This Row],[CustomerID]],Customers[CustomerID],Customers[CustomerAge])</f>
        <v>35</v>
      </c>
      <c r="R887" t="str">
        <f>IF(Orders[[#This Row],[CustomerAge]]&gt;=35, "Older", "Young")</f>
        <v>Older</v>
      </c>
      <c r="S887" t="str">
        <f>_xlfn.XLOOKUP(Orders[[#This Row],[ProductID]],Products[ProductID],Products[ProductName])</f>
        <v>Trousers</v>
      </c>
      <c r="T887" t="str">
        <f>_xlfn.XLOOKUP(Orders[[#This Row],[ProductID]],Products[ProductID],Products[Category])</f>
        <v>Clothing</v>
      </c>
    </row>
    <row r="888" spans="1:20" x14ac:dyDescent="0.25">
      <c r="A888" s="4" t="s">
        <v>1077</v>
      </c>
      <c r="B888" s="5">
        <v>46018</v>
      </c>
      <c r="C888" s="15">
        <f>WEEKNUM(Orders[[#This Row],[OrderDate]])</f>
        <v>52</v>
      </c>
      <c r="D888" s="15" t="str">
        <f>TEXT(Orders[[#This Row],[OrderDate]],"mmmm")</f>
        <v>December</v>
      </c>
      <c r="E888" s="4" t="s">
        <v>22</v>
      </c>
      <c r="F888" s="4" t="s">
        <v>66</v>
      </c>
      <c r="G888" s="4">
        <v>3</v>
      </c>
      <c r="H888" s="12">
        <v>16835.400000000001</v>
      </c>
      <c r="I888" s="13">
        <v>14310.090000000002</v>
      </c>
      <c r="J888" s="13">
        <f>Orders[[#This Row],[Quantity]]*Orders[[#This Row],[Selling Price]]</f>
        <v>50506.200000000004</v>
      </c>
      <c r="K888" s="13">
        <f>Orders[[#This Row],[Quantity]]*Orders[[#This Row],[Cost Price]]</f>
        <v>42930.270000000004</v>
      </c>
      <c r="L888" s="13">
        <f>Orders[[#This Row],[Revenue]]-Orders[[#This Row],[Expenses]]</f>
        <v>7575.93</v>
      </c>
      <c r="M888" t="s">
        <v>2204</v>
      </c>
      <c r="N888" t="str">
        <f>_xlfn.XLOOKUP(Orders[[#This Row],[CustomerID]],Customers[CustomerID],Customers[CustomerName])</f>
        <v>Temi Bello</v>
      </c>
      <c r="O888" t="str">
        <f>_xlfn.XLOOKUP(Orders[[#This Row],[CustomerID]],Customers[CustomerID],Customers[City])</f>
        <v>Texas</v>
      </c>
      <c r="P888" t="str">
        <f>_xlfn.XLOOKUP(Orders[[#This Row],[CustomerID]],Customers[CustomerID],Customers[Gender])</f>
        <v>Female</v>
      </c>
      <c r="Q888">
        <f>_xlfn.XLOOKUP(Orders[[#This Row],[CustomerID]],Customers[CustomerID],Customers[CustomerAge])</f>
        <v>52</v>
      </c>
      <c r="R888" t="str">
        <f>IF(Orders[[#This Row],[CustomerAge]]&gt;=35, "Older", "Young")</f>
        <v>Older</v>
      </c>
      <c r="S888" t="str">
        <f>_xlfn.XLOOKUP(Orders[[#This Row],[ProductID]],Products[ProductID],Products[ProductName])</f>
        <v>Microwave</v>
      </c>
      <c r="T888" t="str">
        <f>_xlfn.XLOOKUP(Orders[[#This Row],[ProductID]],Products[ProductID],Products[Category])</f>
        <v>Electronics</v>
      </c>
    </row>
    <row r="889" spans="1:20" x14ac:dyDescent="0.25">
      <c r="A889" s="4" t="s">
        <v>1078</v>
      </c>
      <c r="B889" s="5">
        <v>45972</v>
      </c>
      <c r="C889" s="15">
        <f>WEEKNUM(Orders[[#This Row],[OrderDate]])</f>
        <v>46</v>
      </c>
      <c r="D889" s="15" t="str">
        <f>TEXT(Orders[[#This Row],[OrderDate]],"mmmm")</f>
        <v>November</v>
      </c>
      <c r="E889" s="4" t="s">
        <v>275</v>
      </c>
      <c r="F889" s="4" t="s">
        <v>253</v>
      </c>
      <c r="G889" s="4">
        <v>9</v>
      </c>
      <c r="H889" s="12">
        <v>5465.4</v>
      </c>
      <c r="I889" s="13">
        <v>4645.59</v>
      </c>
      <c r="J889" s="13">
        <f>Orders[[#This Row],[Quantity]]*Orders[[#This Row],[Selling Price]]</f>
        <v>49188.6</v>
      </c>
      <c r="K889" s="13">
        <f>Orders[[#This Row],[Quantity]]*Orders[[#This Row],[Cost Price]]</f>
        <v>41810.31</v>
      </c>
      <c r="L889" s="13">
        <f>Orders[[#This Row],[Revenue]]-Orders[[#This Row],[Expenses]]</f>
        <v>7378.2900000000009</v>
      </c>
      <c r="M889" t="s">
        <v>2208</v>
      </c>
      <c r="N889" t="str">
        <f>_xlfn.XLOOKUP(Orders[[#This Row],[CustomerID]],Customers[CustomerID],Customers[CustomerName])</f>
        <v>Ngozi Danladi</v>
      </c>
      <c r="O889" t="str">
        <f>_xlfn.XLOOKUP(Orders[[#This Row],[CustomerID]],Customers[CustomerID],Customers[City])</f>
        <v>Texas</v>
      </c>
      <c r="P889" t="str">
        <f>_xlfn.XLOOKUP(Orders[[#This Row],[CustomerID]],Customers[CustomerID],Customers[Gender])</f>
        <v>Female</v>
      </c>
      <c r="Q889">
        <f>_xlfn.XLOOKUP(Orders[[#This Row],[CustomerID]],Customers[CustomerID],Customers[CustomerAge])</f>
        <v>25</v>
      </c>
      <c r="R889" t="str">
        <f>IF(Orders[[#This Row],[CustomerAge]]&gt;=35, "Older", "Young")</f>
        <v>Young</v>
      </c>
      <c r="S889" t="str">
        <f>_xlfn.XLOOKUP(Orders[[#This Row],[ProductID]],Products[ProductID],Products[ProductName])</f>
        <v>Nose Rings</v>
      </c>
      <c r="T889" t="str">
        <f>_xlfn.XLOOKUP(Orders[[#This Row],[ProductID]],Products[ProductID],Products[Category])</f>
        <v>Accessories</v>
      </c>
    </row>
    <row r="890" spans="1:20" x14ac:dyDescent="0.25">
      <c r="A890" s="4" t="s">
        <v>1079</v>
      </c>
      <c r="B890" s="5">
        <v>45998</v>
      </c>
      <c r="C890" s="15">
        <f>WEEKNUM(Orders[[#This Row],[OrderDate]])</f>
        <v>50</v>
      </c>
      <c r="D890" s="15" t="str">
        <f>TEXT(Orders[[#This Row],[OrderDate]],"mmmm")</f>
        <v>December</v>
      </c>
      <c r="E890" s="4" t="s">
        <v>314</v>
      </c>
      <c r="F890" s="4" t="s">
        <v>20</v>
      </c>
      <c r="G890" s="4">
        <v>3</v>
      </c>
      <c r="H890" s="12">
        <v>6131.4</v>
      </c>
      <c r="I890" s="13">
        <v>5211.6899999999996</v>
      </c>
      <c r="J890" s="13">
        <f>Orders[[#This Row],[Quantity]]*Orders[[#This Row],[Selling Price]]</f>
        <v>18394.199999999997</v>
      </c>
      <c r="K890" s="13">
        <f>Orders[[#This Row],[Quantity]]*Orders[[#This Row],[Cost Price]]</f>
        <v>15635.07</v>
      </c>
      <c r="L890" s="13">
        <f>Orders[[#This Row],[Revenue]]-Orders[[#This Row],[Expenses]]</f>
        <v>2759.1299999999974</v>
      </c>
      <c r="M890" t="s">
        <v>2212</v>
      </c>
      <c r="N890" t="str">
        <f>_xlfn.XLOOKUP(Orders[[#This Row],[CustomerID]],Customers[CustomerID],Customers[CustomerName])</f>
        <v>Bisi Ojo</v>
      </c>
      <c r="O890" t="str">
        <f>_xlfn.XLOOKUP(Orders[[#This Row],[CustomerID]],Customers[CustomerID],Customers[City])</f>
        <v>Washington</v>
      </c>
      <c r="P890" t="str">
        <f>_xlfn.XLOOKUP(Orders[[#This Row],[CustomerID]],Customers[CustomerID],Customers[Gender])</f>
        <v>Female</v>
      </c>
      <c r="Q890">
        <f>_xlfn.XLOOKUP(Orders[[#This Row],[CustomerID]],Customers[CustomerID],Customers[CustomerAge])</f>
        <v>18</v>
      </c>
      <c r="R890" t="str">
        <f>IF(Orders[[#This Row],[CustomerAge]]&gt;=35, "Older", "Young")</f>
        <v>Young</v>
      </c>
      <c r="S890" t="str">
        <f>_xlfn.XLOOKUP(Orders[[#This Row],[ProductID]],Products[ProductID],Products[ProductName])</f>
        <v>Gym Bag</v>
      </c>
      <c r="T890" t="str">
        <f>_xlfn.XLOOKUP(Orders[[#This Row],[ProductID]],Products[ProductID],Products[Category])</f>
        <v>Gym</v>
      </c>
    </row>
    <row r="891" spans="1:20" x14ac:dyDescent="0.25">
      <c r="A891" s="4" t="s">
        <v>1080</v>
      </c>
      <c r="B891" s="5">
        <v>46000</v>
      </c>
      <c r="C891" s="15">
        <f>WEEKNUM(Orders[[#This Row],[OrderDate]])</f>
        <v>50</v>
      </c>
      <c r="D891" s="15" t="str">
        <f>TEXT(Orders[[#This Row],[OrderDate]],"mmmm")</f>
        <v>December</v>
      </c>
      <c r="E891" s="4" t="s">
        <v>285</v>
      </c>
      <c r="F891" s="4" t="s">
        <v>76</v>
      </c>
      <c r="G891" s="4">
        <v>3</v>
      </c>
      <c r="H891" s="12">
        <v>14233.800000000001</v>
      </c>
      <c r="I891" s="13">
        <v>12098.730000000001</v>
      </c>
      <c r="J891" s="13">
        <f>Orders[[#This Row],[Quantity]]*Orders[[#This Row],[Selling Price]]</f>
        <v>42701.4</v>
      </c>
      <c r="K891" s="13">
        <f>Orders[[#This Row],[Quantity]]*Orders[[#This Row],[Cost Price]]</f>
        <v>36296.19</v>
      </c>
      <c r="L891" s="13">
        <f>Orders[[#This Row],[Revenue]]-Orders[[#This Row],[Expenses]]</f>
        <v>6405.2099999999991</v>
      </c>
      <c r="M891" t="s">
        <v>2210</v>
      </c>
      <c r="N891" t="str">
        <f>_xlfn.XLOOKUP(Orders[[#This Row],[CustomerID]],Customers[CustomerID],Customers[CustomerName])</f>
        <v>Sani Balogun</v>
      </c>
      <c r="O891" t="str">
        <f>_xlfn.XLOOKUP(Orders[[#This Row],[CustomerID]],Customers[CustomerID],Customers[City])</f>
        <v>California</v>
      </c>
      <c r="P891" t="str">
        <f>_xlfn.XLOOKUP(Orders[[#This Row],[CustomerID]],Customers[CustomerID],Customers[Gender])</f>
        <v>Male</v>
      </c>
      <c r="Q891">
        <f>_xlfn.XLOOKUP(Orders[[#This Row],[CustomerID]],Customers[CustomerID],Customers[CustomerAge])</f>
        <v>27</v>
      </c>
      <c r="R891" t="str">
        <f>IF(Orders[[#This Row],[CustomerAge]]&gt;=35, "Older", "Young")</f>
        <v>Young</v>
      </c>
      <c r="S891" t="str">
        <f>_xlfn.XLOOKUP(Orders[[#This Row],[ProductID]],Products[ProductID],Products[ProductName])</f>
        <v>Blender</v>
      </c>
      <c r="T891" t="str">
        <f>_xlfn.XLOOKUP(Orders[[#This Row],[ProductID]],Products[ProductID],Products[Category])</f>
        <v>Electronics</v>
      </c>
    </row>
    <row r="892" spans="1:20" x14ac:dyDescent="0.25">
      <c r="A892" s="4" t="s">
        <v>1081</v>
      </c>
      <c r="B892" s="5">
        <v>46012</v>
      </c>
      <c r="C892" s="15">
        <f>WEEKNUM(Orders[[#This Row],[OrderDate]])</f>
        <v>52</v>
      </c>
      <c r="D892" s="15" t="str">
        <f>TEXT(Orders[[#This Row],[OrderDate]],"mmmm")</f>
        <v>December</v>
      </c>
      <c r="E892" s="4" t="s">
        <v>237</v>
      </c>
      <c r="F892" s="4" t="s">
        <v>125</v>
      </c>
      <c r="G892" s="4">
        <v>8</v>
      </c>
      <c r="H892" s="12">
        <v>3694.1000000000004</v>
      </c>
      <c r="I892" s="13">
        <v>3139.9850000000006</v>
      </c>
      <c r="J892" s="13">
        <f>Orders[[#This Row],[Quantity]]*Orders[[#This Row],[Selling Price]]</f>
        <v>29552.800000000003</v>
      </c>
      <c r="K892" s="13">
        <f>Orders[[#This Row],[Quantity]]*Orders[[#This Row],[Cost Price]]</f>
        <v>25119.880000000005</v>
      </c>
      <c r="L892" s="13">
        <f>Orders[[#This Row],[Revenue]]-Orders[[#This Row],[Expenses]]</f>
        <v>4432.9199999999983</v>
      </c>
      <c r="M892" t="s">
        <v>2217</v>
      </c>
      <c r="N892" t="str">
        <f>_xlfn.XLOOKUP(Orders[[#This Row],[CustomerID]],Customers[CustomerID],Customers[CustomerName])</f>
        <v>Ronke Danladi</v>
      </c>
      <c r="O892" t="str">
        <f>_xlfn.XLOOKUP(Orders[[#This Row],[CustomerID]],Customers[CustomerID],Customers[City])</f>
        <v>Florida</v>
      </c>
      <c r="P892" t="str">
        <f>_xlfn.XLOOKUP(Orders[[#This Row],[CustomerID]],Customers[CustomerID],Customers[Gender])</f>
        <v>Female</v>
      </c>
      <c r="Q892">
        <f>_xlfn.XLOOKUP(Orders[[#This Row],[CustomerID]],Customers[CustomerID],Customers[CustomerAge])</f>
        <v>25</v>
      </c>
      <c r="R892" t="str">
        <f>IF(Orders[[#This Row],[CustomerAge]]&gt;=35, "Older", "Young")</f>
        <v>Young</v>
      </c>
      <c r="S892" t="str">
        <f>_xlfn.XLOOKUP(Orders[[#This Row],[ProductID]],Products[ProductID],Products[ProductName])</f>
        <v>Earrings</v>
      </c>
      <c r="T892" t="str">
        <f>_xlfn.XLOOKUP(Orders[[#This Row],[ProductID]],Products[ProductID],Products[Category])</f>
        <v>Accessories</v>
      </c>
    </row>
    <row r="893" spans="1:20" x14ac:dyDescent="0.25">
      <c r="A893" s="4" t="s">
        <v>1082</v>
      </c>
      <c r="B893" s="5">
        <v>45934</v>
      </c>
      <c r="C893" s="15">
        <f>WEEKNUM(Orders[[#This Row],[OrderDate]])</f>
        <v>40</v>
      </c>
      <c r="D893" s="15" t="str">
        <f>TEXT(Orders[[#This Row],[OrderDate]],"mmmm")</f>
        <v>October</v>
      </c>
      <c r="E893" s="4" t="s">
        <v>96</v>
      </c>
      <c r="F893" s="4" t="s">
        <v>25</v>
      </c>
      <c r="G893" s="4">
        <v>1</v>
      </c>
      <c r="H893" s="12">
        <v>7974.2</v>
      </c>
      <c r="I893" s="13">
        <v>6778.07</v>
      </c>
      <c r="J893" s="13">
        <f>Orders[[#This Row],[Quantity]]*Orders[[#This Row],[Selling Price]]</f>
        <v>7974.2</v>
      </c>
      <c r="K893" s="13">
        <f>Orders[[#This Row],[Quantity]]*Orders[[#This Row],[Cost Price]]</f>
        <v>6778.07</v>
      </c>
      <c r="L893" s="13">
        <f>Orders[[#This Row],[Revenue]]-Orders[[#This Row],[Expenses]]</f>
        <v>1196.1300000000001</v>
      </c>
      <c r="M893" t="s">
        <v>2211</v>
      </c>
      <c r="N893" t="str">
        <f>_xlfn.XLOOKUP(Orders[[#This Row],[CustomerID]],Customers[CustomerID],Customers[CustomerName])</f>
        <v>Amina Abubakar</v>
      </c>
      <c r="O893" t="str">
        <f>_xlfn.XLOOKUP(Orders[[#This Row],[CustomerID]],Customers[CustomerID],Customers[City])</f>
        <v>Texas</v>
      </c>
      <c r="P893" t="str">
        <f>_xlfn.XLOOKUP(Orders[[#This Row],[CustomerID]],Customers[CustomerID],Customers[Gender])</f>
        <v>Female</v>
      </c>
      <c r="Q893">
        <f>_xlfn.XLOOKUP(Orders[[#This Row],[CustomerID]],Customers[CustomerID],Customers[CustomerAge])</f>
        <v>35</v>
      </c>
      <c r="R893" t="str">
        <f>IF(Orders[[#This Row],[CustomerAge]]&gt;=35, "Older", "Young")</f>
        <v>Older</v>
      </c>
      <c r="S893" t="str">
        <f>_xlfn.XLOOKUP(Orders[[#This Row],[ProductID]],Products[ProductID],Products[ProductName])</f>
        <v>Gold Rings</v>
      </c>
      <c r="T893" t="str">
        <f>_xlfn.XLOOKUP(Orders[[#This Row],[ProductID]],Products[ProductID],Products[Category])</f>
        <v>Accessories</v>
      </c>
    </row>
    <row r="894" spans="1:20" x14ac:dyDescent="0.25">
      <c r="A894" s="4" t="s">
        <v>1083</v>
      </c>
      <c r="B894" s="5">
        <v>45999</v>
      </c>
      <c r="C894" s="15">
        <f>WEEKNUM(Orders[[#This Row],[OrderDate]])</f>
        <v>50</v>
      </c>
      <c r="D894" s="15" t="str">
        <f>TEXT(Orders[[#This Row],[OrderDate]],"mmmm")</f>
        <v>December</v>
      </c>
      <c r="E894" s="4" t="s">
        <v>184</v>
      </c>
      <c r="F894" s="4" t="s">
        <v>127</v>
      </c>
      <c r="G894" s="4">
        <v>9</v>
      </c>
      <c r="H894" s="12">
        <v>891.7</v>
      </c>
      <c r="I894" s="13">
        <v>757.94500000000005</v>
      </c>
      <c r="J894" s="13">
        <f>Orders[[#This Row],[Quantity]]*Orders[[#This Row],[Selling Price]]</f>
        <v>8025.3</v>
      </c>
      <c r="K894" s="13">
        <f>Orders[[#This Row],[Quantity]]*Orders[[#This Row],[Cost Price]]</f>
        <v>6821.5050000000001</v>
      </c>
      <c r="L894" s="13">
        <f>Orders[[#This Row],[Revenue]]-Orders[[#This Row],[Expenses]]</f>
        <v>1203.7950000000001</v>
      </c>
      <c r="M894" t="s">
        <v>2212</v>
      </c>
      <c r="N894" t="str">
        <f>_xlfn.XLOOKUP(Orders[[#This Row],[CustomerID]],Customers[CustomerID],Customers[CustomerName])</f>
        <v>Ngozi Obi</v>
      </c>
      <c r="O894" t="str">
        <f>_xlfn.XLOOKUP(Orders[[#This Row],[CustomerID]],Customers[CustomerID],Customers[City])</f>
        <v>Washington</v>
      </c>
      <c r="P894" t="str">
        <f>_xlfn.XLOOKUP(Orders[[#This Row],[CustomerID]],Customers[CustomerID],Customers[Gender])</f>
        <v>Female</v>
      </c>
      <c r="Q894">
        <f>_xlfn.XLOOKUP(Orders[[#This Row],[CustomerID]],Customers[CustomerID],Customers[CustomerAge])</f>
        <v>32</v>
      </c>
      <c r="R894" t="str">
        <f>IF(Orders[[#This Row],[CustomerAge]]&gt;=35, "Older", "Young")</f>
        <v>Young</v>
      </c>
      <c r="S894" t="str">
        <f>_xlfn.XLOOKUP(Orders[[#This Row],[ProductID]],Products[ProductID],Products[ProductName])</f>
        <v>Tops</v>
      </c>
      <c r="T894" t="str">
        <f>_xlfn.XLOOKUP(Orders[[#This Row],[ProductID]],Products[ProductID],Products[Category])</f>
        <v>Clothing</v>
      </c>
    </row>
    <row r="895" spans="1:20" x14ac:dyDescent="0.25">
      <c r="A895" s="4" t="s">
        <v>1084</v>
      </c>
      <c r="B895" s="5">
        <v>45970</v>
      </c>
      <c r="C895" s="15">
        <f>WEEKNUM(Orders[[#This Row],[OrderDate]])</f>
        <v>46</v>
      </c>
      <c r="D895" s="15" t="str">
        <f>TEXT(Orders[[#This Row],[OrderDate]],"mmmm")</f>
        <v>November</v>
      </c>
      <c r="E895" s="4" t="s">
        <v>671</v>
      </c>
      <c r="F895" s="4" t="s">
        <v>34</v>
      </c>
      <c r="G895" s="4">
        <v>8</v>
      </c>
      <c r="H895" s="12">
        <v>15228.5</v>
      </c>
      <c r="I895" s="13">
        <v>12944.225</v>
      </c>
      <c r="J895" s="13">
        <f>Orders[[#This Row],[Quantity]]*Orders[[#This Row],[Selling Price]]</f>
        <v>121828</v>
      </c>
      <c r="K895" s="13">
        <f>Orders[[#This Row],[Quantity]]*Orders[[#This Row],[Cost Price]]</f>
        <v>103553.8</v>
      </c>
      <c r="L895" s="13">
        <f>Orders[[#This Row],[Revenue]]-Orders[[#This Row],[Expenses]]</f>
        <v>18274.199999999997</v>
      </c>
      <c r="M895" t="s">
        <v>2201</v>
      </c>
      <c r="N895" t="str">
        <f>_xlfn.XLOOKUP(Orders[[#This Row],[CustomerID]],Customers[CustomerID],Customers[CustomerName])</f>
        <v>Tunde Abubakar</v>
      </c>
      <c r="O895" t="str">
        <f>_xlfn.XLOOKUP(Orders[[#This Row],[CustomerID]],Customers[CustomerID],Customers[City])</f>
        <v>Texas</v>
      </c>
      <c r="P895" t="str">
        <f>_xlfn.XLOOKUP(Orders[[#This Row],[CustomerID]],Customers[CustomerID],Customers[Gender])</f>
        <v>Male</v>
      </c>
      <c r="Q895">
        <f>_xlfn.XLOOKUP(Orders[[#This Row],[CustomerID]],Customers[CustomerID],Customers[CustomerAge])</f>
        <v>26</v>
      </c>
      <c r="R895" t="str">
        <f>IF(Orders[[#This Row],[CustomerAge]]&gt;=35, "Older", "Young")</f>
        <v>Young</v>
      </c>
      <c r="S895" t="str">
        <f>_xlfn.XLOOKUP(Orders[[#This Row],[ProductID]],Products[ProductID],Products[ProductName])</f>
        <v>Gold Bracelets</v>
      </c>
      <c r="T895" t="str">
        <f>_xlfn.XLOOKUP(Orders[[#This Row],[ProductID]],Products[ProductID],Products[Category])</f>
        <v>Accessories</v>
      </c>
    </row>
    <row r="896" spans="1:20" x14ac:dyDescent="0.25">
      <c r="A896" s="4" t="s">
        <v>1085</v>
      </c>
      <c r="B896" s="5">
        <v>46001</v>
      </c>
      <c r="C896" s="15">
        <f>WEEKNUM(Orders[[#This Row],[OrderDate]])</f>
        <v>50</v>
      </c>
      <c r="D896" s="15" t="str">
        <f>TEXT(Orders[[#This Row],[OrderDate]],"mmmm")</f>
        <v>December</v>
      </c>
      <c r="E896" s="4" t="s">
        <v>346</v>
      </c>
      <c r="F896" s="4" t="s">
        <v>253</v>
      </c>
      <c r="G896" s="4">
        <v>8</v>
      </c>
      <c r="H896" s="12">
        <v>5045</v>
      </c>
      <c r="I896" s="13">
        <v>4288.25</v>
      </c>
      <c r="J896" s="13">
        <f>Orders[[#This Row],[Quantity]]*Orders[[#This Row],[Selling Price]]</f>
        <v>40360</v>
      </c>
      <c r="K896" s="13">
        <f>Orders[[#This Row],[Quantity]]*Orders[[#This Row],[Cost Price]]</f>
        <v>34306</v>
      </c>
      <c r="L896" s="13">
        <f>Orders[[#This Row],[Revenue]]-Orders[[#This Row],[Expenses]]</f>
        <v>6054</v>
      </c>
      <c r="M896" t="s">
        <v>2211</v>
      </c>
      <c r="N896" t="str">
        <f>_xlfn.XLOOKUP(Orders[[#This Row],[CustomerID]],Customers[CustomerID],Customers[CustomerName])</f>
        <v>Ngozi Danladi</v>
      </c>
      <c r="O896" t="str">
        <f>_xlfn.XLOOKUP(Orders[[#This Row],[CustomerID]],Customers[CustomerID],Customers[City])</f>
        <v>California</v>
      </c>
      <c r="P896" t="str">
        <f>_xlfn.XLOOKUP(Orders[[#This Row],[CustomerID]],Customers[CustomerID],Customers[Gender])</f>
        <v>Female</v>
      </c>
      <c r="Q896">
        <f>_xlfn.XLOOKUP(Orders[[#This Row],[CustomerID]],Customers[CustomerID],Customers[CustomerAge])</f>
        <v>30</v>
      </c>
      <c r="R896" t="str">
        <f>IF(Orders[[#This Row],[CustomerAge]]&gt;=35, "Older", "Young")</f>
        <v>Young</v>
      </c>
      <c r="S896" t="str">
        <f>_xlfn.XLOOKUP(Orders[[#This Row],[ProductID]],Products[ProductID],Products[ProductName])</f>
        <v>Nose Rings</v>
      </c>
      <c r="T896" t="str">
        <f>_xlfn.XLOOKUP(Orders[[#This Row],[ProductID]],Products[ProductID],Products[Category])</f>
        <v>Accessories</v>
      </c>
    </row>
    <row r="897" spans="1:20" x14ac:dyDescent="0.25">
      <c r="A897" s="4" t="s">
        <v>1086</v>
      </c>
      <c r="B897" s="5">
        <v>45951</v>
      </c>
      <c r="C897" s="15">
        <f>WEEKNUM(Orders[[#This Row],[OrderDate]])</f>
        <v>43</v>
      </c>
      <c r="D897" s="15" t="str">
        <f>TEXT(Orders[[#This Row],[OrderDate]],"mmmm")</f>
        <v>October</v>
      </c>
      <c r="E897" s="4" t="s">
        <v>75</v>
      </c>
      <c r="F897" s="4" t="s">
        <v>70</v>
      </c>
      <c r="G897" s="4">
        <v>5</v>
      </c>
      <c r="H897" s="12">
        <v>9978.5</v>
      </c>
      <c r="I897" s="13">
        <v>8481.7250000000004</v>
      </c>
      <c r="J897" s="13">
        <f>Orders[[#This Row],[Quantity]]*Orders[[#This Row],[Selling Price]]</f>
        <v>49892.5</v>
      </c>
      <c r="K897" s="13">
        <f>Orders[[#This Row],[Quantity]]*Orders[[#This Row],[Cost Price]]</f>
        <v>42408.625</v>
      </c>
      <c r="L897" s="13">
        <f>Orders[[#This Row],[Revenue]]-Orders[[#This Row],[Expenses]]</f>
        <v>7483.875</v>
      </c>
      <c r="M897" t="s">
        <v>2194</v>
      </c>
      <c r="N897" t="str">
        <f>_xlfn.XLOOKUP(Orders[[#This Row],[CustomerID]],Customers[CustomerID],Customers[CustomerName])</f>
        <v>Tunde Danladi</v>
      </c>
      <c r="O897" t="str">
        <f>_xlfn.XLOOKUP(Orders[[#This Row],[CustomerID]],Customers[CustomerID],Customers[City])</f>
        <v>Texas</v>
      </c>
      <c r="P897" t="str">
        <f>_xlfn.XLOOKUP(Orders[[#This Row],[CustomerID]],Customers[CustomerID],Customers[Gender])</f>
        <v>Male</v>
      </c>
      <c r="Q897">
        <f>_xlfn.XLOOKUP(Orders[[#This Row],[CustomerID]],Customers[CustomerID],Customers[CustomerAge])</f>
        <v>47</v>
      </c>
      <c r="R897" t="str">
        <f>IF(Orders[[#This Row],[CustomerAge]]&gt;=35, "Older", "Young")</f>
        <v>Older</v>
      </c>
      <c r="S897" t="str">
        <f>_xlfn.XLOOKUP(Orders[[#This Row],[ProductID]],Products[ProductID],Products[ProductName])</f>
        <v>Yoga Mat</v>
      </c>
      <c r="T897" t="str">
        <f>_xlfn.XLOOKUP(Orders[[#This Row],[ProductID]],Products[ProductID],Products[Category])</f>
        <v>Gym</v>
      </c>
    </row>
    <row r="898" spans="1:20" x14ac:dyDescent="0.25">
      <c r="A898" s="4" t="s">
        <v>1087</v>
      </c>
      <c r="B898" s="5">
        <v>45955</v>
      </c>
      <c r="C898" s="15">
        <f>WEEKNUM(Orders[[#This Row],[OrderDate]])</f>
        <v>43</v>
      </c>
      <c r="D898" s="15" t="str">
        <f>TEXT(Orders[[#This Row],[OrderDate]],"mmmm")</f>
        <v>October</v>
      </c>
      <c r="E898" s="4" t="s">
        <v>148</v>
      </c>
      <c r="F898" s="4" t="s">
        <v>189</v>
      </c>
      <c r="G898" s="4">
        <v>6</v>
      </c>
      <c r="H898" s="12">
        <v>14754.8</v>
      </c>
      <c r="I898" s="13">
        <v>12541.58</v>
      </c>
      <c r="J898" s="13">
        <f>Orders[[#This Row],[Quantity]]*Orders[[#This Row],[Selling Price]]</f>
        <v>88528.799999999988</v>
      </c>
      <c r="K898" s="13">
        <f>Orders[[#This Row],[Quantity]]*Orders[[#This Row],[Cost Price]]</f>
        <v>75249.48</v>
      </c>
      <c r="L898" s="13">
        <f>Orders[[#This Row],[Revenue]]-Orders[[#This Row],[Expenses]]</f>
        <v>13279.319999999992</v>
      </c>
      <c r="M898" t="s">
        <v>2196</v>
      </c>
      <c r="N898" t="str">
        <f>_xlfn.XLOOKUP(Orders[[#This Row],[CustomerID]],Customers[CustomerID],Customers[CustomerName])</f>
        <v>Zainab Abubakar</v>
      </c>
      <c r="O898" t="str">
        <f>_xlfn.XLOOKUP(Orders[[#This Row],[CustomerID]],Customers[CustomerID],Customers[City])</f>
        <v>Florida</v>
      </c>
      <c r="P898" t="str">
        <f>_xlfn.XLOOKUP(Orders[[#This Row],[CustomerID]],Customers[CustomerID],Customers[Gender])</f>
        <v>Female</v>
      </c>
      <c r="Q898">
        <f>_xlfn.XLOOKUP(Orders[[#This Row],[CustomerID]],Customers[CustomerID],Customers[CustomerAge])</f>
        <v>29</v>
      </c>
      <c r="R898" t="str">
        <f>IF(Orders[[#This Row],[CustomerAge]]&gt;=35, "Older", "Young")</f>
        <v>Young</v>
      </c>
      <c r="S898" t="str">
        <f>_xlfn.XLOOKUP(Orders[[#This Row],[ProductID]],Products[ProductID],Products[ProductName])</f>
        <v>Scrabble</v>
      </c>
      <c r="T898" t="str">
        <f>_xlfn.XLOOKUP(Orders[[#This Row],[ProductID]],Products[ProductID],Products[Category])</f>
        <v>Games</v>
      </c>
    </row>
    <row r="899" spans="1:20" x14ac:dyDescent="0.25">
      <c r="A899" s="4" t="s">
        <v>1088</v>
      </c>
      <c r="B899" s="5">
        <v>45985</v>
      </c>
      <c r="C899" s="15">
        <f>WEEKNUM(Orders[[#This Row],[OrderDate]])</f>
        <v>48</v>
      </c>
      <c r="D899" s="15" t="str">
        <f>TEXT(Orders[[#This Row],[OrderDate]],"mmmm")</f>
        <v>November</v>
      </c>
      <c r="E899" s="4" t="s">
        <v>388</v>
      </c>
      <c r="F899" s="4" t="s">
        <v>66</v>
      </c>
      <c r="G899" s="4">
        <v>1</v>
      </c>
      <c r="H899" s="12">
        <v>2783.3999999999996</v>
      </c>
      <c r="I899" s="13">
        <v>2365.89</v>
      </c>
      <c r="J899" s="13">
        <f>Orders[[#This Row],[Quantity]]*Orders[[#This Row],[Selling Price]]</f>
        <v>2783.3999999999996</v>
      </c>
      <c r="K899" s="13">
        <f>Orders[[#This Row],[Quantity]]*Orders[[#This Row],[Cost Price]]</f>
        <v>2365.89</v>
      </c>
      <c r="L899" s="13">
        <f>Orders[[#This Row],[Revenue]]-Orders[[#This Row],[Expenses]]</f>
        <v>417.50999999999976</v>
      </c>
      <c r="M899" t="s">
        <v>2213</v>
      </c>
      <c r="N899" t="str">
        <f>_xlfn.XLOOKUP(Orders[[#This Row],[CustomerID]],Customers[CustomerID],Customers[CustomerName])</f>
        <v>Folasade Okonkwo</v>
      </c>
      <c r="O899" t="str">
        <f>_xlfn.XLOOKUP(Orders[[#This Row],[CustomerID]],Customers[CustomerID],Customers[City])</f>
        <v>Washington</v>
      </c>
      <c r="P899" t="str">
        <f>_xlfn.XLOOKUP(Orders[[#This Row],[CustomerID]],Customers[CustomerID],Customers[Gender])</f>
        <v>Female</v>
      </c>
      <c r="Q899">
        <f>_xlfn.XLOOKUP(Orders[[#This Row],[CustomerID]],Customers[CustomerID],Customers[CustomerAge])</f>
        <v>52</v>
      </c>
      <c r="R899" t="str">
        <f>IF(Orders[[#This Row],[CustomerAge]]&gt;=35, "Older", "Young")</f>
        <v>Older</v>
      </c>
      <c r="S899" t="str">
        <f>_xlfn.XLOOKUP(Orders[[#This Row],[ProductID]],Products[ProductID],Products[ProductName])</f>
        <v>Microwave</v>
      </c>
      <c r="T899" t="str">
        <f>_xlfn.XLOOKUP(Orders[[#This Row],[ProductID]],Products[ProductID],Products[Category])</f>
        <v>Electronics</v>
      </c>
    </row>
    <row r="900" spans="1:20" x14ac:dyDescent="0.25">
      <c r="A900" s="4" t="s">
        <v>1089</v>
      </c>
      <c r="B900" s="5">
        <v>45968</v>
      </c>
      <c r="C900" s="15">
        <f>WEEKNUM(Orders[[#This Row],[OrderDate]])</f>
        <v>45</v>
      </c>
      <c r="D900" s="15" t="str">
        <f>TEXT(Orders[[#This Row],[OrderDate]],"mmmm")</f>
        <v>November</v>
      </c>
      <c r="E900" s="4" t="s">
        <v>17</v>
      </c>
      <c r="F900" s="4" t="s">
        <v>127</v>
      </c>
      <c r="G900" s="4">
        <v>10</v>
      </c>
      <c r="H900" s="12">
        <v>10175.1</v>
      </c>
      <c r="I900" s="13">
        <v>8648.8350000000009</v>
      </c>
      <c r="J900" s="13">
        <f>Orders[[#This Row],[Quantity]]*Orders[[#This Row],[Selling Price]]</f>
        <v>101751</v>
      </c>
      <c r="K900" s="13">
        <f>Orders[[#This Row],[Quantity]]*Orders[[#This Row],[Cost Price]]</f>
        <v>86488.35</v>
      </c>
      <c r="L900" s="13">
        <f>Orders[[#This Row],[Revenue]]-Orders[[#This Row],[Expenses]]</f>
        <v>15262.649999999994</v>
      </c>
      <c r="M900" t="s">
        <v>2220</v>
      </c>
      <c r="N900" t="str">
        <f>_xlfn.XLOOKUP(Orders[[#This Row],[CustomerID]],Customers[CustomerID],Customers[CustomerName])</f>
        <v>Bisi Adeyemi</v>
      </c>
      <c r="O900" t="str">
        <f>_xlfn.XLOOKUP(Orders[[#This Row],[CustomerID]],Customers[CustomerID],Customers[City])</f>
        <v>Illinois</v>
      </c>
      <c r="P900" t="str">
        <f>_xlfn.XLOOKUP(Orders[[#This Row],[CustomerID]],Customers[CustomerID],Customers[Gender])</f>
        <v>Female</v>
      </c>
      <c r="Q900">
        <f>_xlfn.XLOOKUP(Orders[[#This Row],[CustomerID]],Customers[CustomerID],Customers[CustomerAge])</f>
        <v>48</v>
      </c>
      <c r="R900" t="str">
        <f>IF(Orders[[#This Row],[CustomerAge]]&gt;=35, "Older", "Young")</f>
        <v>Older</v>
      </c>
      <c r="S900" t="str">
        <f>_xlfn.XLOOKUP(Orders[[#This Row],[ProductID]],Products[ProductID],Products[ProductName])</f>
        <v>Tops</v>
      </c>
      <c r="T900" t="str">
        <f>_xlfn.XLOOKUP(Orders[[#This Row],[ProductID]],Products[ProductID],Products[Category])</f>
        <v>Clothing</v>
      </c>
    </row>
    <row r="901" spans="1:20" x14ac:dyDescent="0.25">
      <c r="A901" s="4" t="s">
        <v>1090</v>
      </c>
      <c r="B901" s="5">
        <v>45935</v>
      </c>
      <c r="C901" s="15">
        <f>WEEKNUM(Orders[[#This Row],[OrderDate]])</f>
        <v>41</v>
      </c>
      <c r="D901" s="15" t="str">
        <f>TEXT(Orders[[#This Row],[OrderDate]],"mmmm")</f>
        <v>October</v>
      </c>
      <c r="E901" s="4" t="s">
        <v>285</v>
      </c>
      <c r="F901" s="4" t="s">
        <v>120</v>
      </c>
      <c r="G901" s="4">
        <v>7</v>
      </c>
      <c r="H901" s="12">
        <v>4168.7</v>
      </c>
      <c r="I901" s="13">
        <v>3543.395</v>
      </c>
      <c r="J901" s="13">
        <f>Orders[[#This Row],[Quantity]]*Orders[[#This Row],[Selling Price]]</f>
        <v>29180.899999999998</v>
      </c>
      <c r="K901" s="13">
        <f>Orders[[#This Row],[Quantity]]*Orders[[#This Row],[Cost Price]]</f>
        <v>24803.764999999999</v>
      </c>
      <c r="L901" s="13">
        <f>Orders[[#This Row],[Revenue]]-Orders[[#This Row],[Expenses]]</f>
        <v>4377.1349999999984</v>
      </c>
      <c r="M901" t="s">
        <v>2199</v>
      </c>
      <c r="N901" t="str">
        <f>_xlfn.XLOOKUP(Orders[[#This Row],[CustomerID]],Customers[CustomerID],Customers[CustomerName])</f>
        <v>Sani Balogun</v>
      </c>
      <c r="O901" t="str">
        <f>_xlfn.XLOOKUP(Orders[[#This Row],[CustomerID]],Customers[CustomerID],Customers[City])</f>
        <v>California</v>
      </c>
      <c r="P901" t="str">
        <f>_xlfn.XLOOKUP(Orders[[#This Row],[CustomerID]],Customers[CustomerID],Customers[Gender])</f>
        <v>Male</v>
      </c>
      <c r="Q901">
        <f>_xlfn.XLOOKUP(Orders[[#This Row],[CustomerID]],Customers[CustomerID],Customers[CustomerAge])</f>
        <v>27</v>
      </c>
      <c r="R901" t="str">
        <f>IF(Orders[[#This Row],[CustomerAge]]&gt;=35, "Older", "Young")</f>
        <v>Young</v>
      </c>
      <c r="S901" t="str">
        <f>_xlfn.XLOOKUP(Orders[[#This Row],[ProductID]],Products[ProductID],Products[ProductName])</f>
        <v>Chess</v>
      </c>
      <c r="T901" t="str">
        <f>_xlfn.XLOOKUP(Orders[[#This Row],[ProductID]],Products[ProductID],Products[Category])</f>
        <v>Games</v>
      </c>
    </row>
    <row r="902" spans="1:20" x14ac:dyDescent="0.25">
      <c r="A902" s="4" t="s">
        <v>1091</v>
      </c>
      <c r="B902" s="5">
        <v>45952</v>
      </c>
      <c r="C902" s="15">
        <f>WEEKNUM(Orders[[#This Row],[OrderDate]])</f>
        <v>43</v>
      </c>
      <c r="D902" s="15" t="str">
        <f>TEXT(Orders[[#This Row],[OrderDate]],"mmmm")</f>
        <v>October</v>
      </c>
      <c r="E902" s="4" t="s">
        <v>134</v>
      </c>
      <c r="F902" s="4" t="s">
        <v>125</v>
      </c>
      <c r="G902" s="4">
        <v>1</v>
      </c>
      <c r="H902" s="12">
        <v>4630</v>
      </c>
      <c r="I902" s="13">
        <v>3935.5</v>
      </c>
      <c r="J902" s="13">
        <f>Orders[[#This Row],[Quantity]]*Orders[[#This Row],[Selling Price]]</f>
        <v>4630</v>
      </c>
      <c r="K902" s="13">
        <f>Orders[[#This Row],[Quantity]]*Orders[[#This Row],[Cost Price]]</f>
        <v>3935.5</v>
      </c>
      <c r="L902" s="13">
        <f>Orders[[#This Row],[Revenue]]-Orders[[#This Row],[Expenses]]</f>
        <v>694.5</v>
      </c>
      <c r="M902" t="s">
        <v>2200</v>
      </c>
      <c r="N902" t="str">
        <f>_xlfn.XLOOKUP(Orders[[#This Row],[CustomerID]],Customers[CustomerID],Customers[CustomerName])</f>
        <v>Ngozi Ojo</v>
      </c>
      <c r="O902" t="str">
        <f>_xlfn.XLOOKUP(Orders[[#This Row],[CustomerID]],Customers[CustomerID],Customers[City])</f>
        <v>Florida</v>
      </c>
      <c r="P902" t="str">
        <f>_xlfn.XLOOKUP(Orders[[#This Row],[CustomerID]],Customers[CustomerID],Customers[Gender])</f>
        <v>Female</v>
      </c>
      <c r="Q902">
        <f>_xlfn.XLOOKUP(Orders[[#This Row],[CustomerID]],Customers[CustomerID],Customers[CustomerAge])</f>
        <v>18</v>
      </c>
      <c r="R902" t="str">
        <f>IF(Orders[[#This Row],[CustomerAge]]&gt;=35, "Older", "Young")</f>
        <v>Young</v>
      </c>
      <c r="S902" t="str">
        <f>_xlfn.XLOOKUP(Orders[[#This Row],[ProductID]],Products[ProductID],Products[ProductName])</f>
        <v>Earrings</v>
      </c>
      <c r="T902" t="str">
        <f>_xlfn.XLOOKUP(Orders[[#This Row],[ProductID]],Products[ProductID],Products[Category])</f>
        <v>Accessories</v>
      </c>
    </row>
    <row r="903" spans="1:20" x14ac:dyDescent="0.25">
      <c r="A903" s="4" t="s">
        <v>1092</v>
      </c>
      <c r="B903" s="5">
        <v>45945</v>
      </c>
      <c r="C903" s="15">
        <f>WEEKNUM(Orders[[#This Row],[OrderDate]])</f>
        <v>42</v>
      </c>
      <c r="D903" s="15" t="str">
        <f>TEXT(Orders[[#This Row],[OrderDate]],"mmmm")</f>
        <v>October</v>
      </c>
      <c r="E903" s="4" t="s">
        <v>159</v>
      </c>
      <c r="F903" s="4" t="s">
        <v>31</v>
      </c>
      <c r="G903" s="4">
        <v>10</v>
      </c>
      <c r="H903" s="12">
        <v>12078.4</v>
      </c>
      <c r="I903" s="13">
        <v>10266.64</v>
      </c>
      <c r="J903" s="13">
        <f>Orders[[#This Row],[Quantity]]*Orders[[#This Row],[Selling Price]]</f>
        <v>120784</v>
      </c>
      <c r="K903" s="13">
        <f>Orders[[#This Row],[Quantity]]*Orders[[#This Row],[Cost Price]]</f>
        <v>102666.4</v>
      </c>
      <c r="L903" s="13">
        <f>Orders[[#This Row],[Revenue]]-Orders[[#This Row],[Expenses]]</f>
        <v>18117.600000000006</v>
      </c>
      <c r="M903" t="s">
        <v>2209</v>
      </c>
      <c r="N903" t="str">
        <f>_xlfn.XLOOKUP(Orders[[#This Row],[CustomerID]],Customers[CustomerID],Customers[CustomerName])</f>
        <v>Ibrahim Okonkwo</v>
      </c>
      <c r="O903" t="str">
        <f>_xlfn.XLOOKUP(Orders[[#This Row],[CustomerID]],Customers[CustomerID],Customers[City])</f>
        <v>Florida</v>
      </c>
      <c r="P903" t="str">
        <f>_xlfn.XLOOKUP(Orders[[#This Row],[CustomerID]],Customers[CustomerID],Customers[Gender])</f>
        <v>Male</v>
      </c>
      <c r="Q903">
        <f>_xlfn.XLOOKUP(Orders[[#This Row],[CustomerID]],Customers[CustomerID],Customers[CustomerAge])</f>
        <v>49</v>
      </c>
      <c r="R903" t="str">
        <f>IF(Orders[[#This Row],[CustomerAge]]&gt;=35, "Older", "Young")</f>
        <v>Older</v>
      </c>
      <c r="S903" t="str">
        <f>_xlfn.XLOOKUP(Orders[[#This Row],[ProductID]],Products[ProductID],Products[ProductName])</f>
        <v>Kids Games</v>
      </c>
      <c r="T903" t="str">
        <f>_xlfn.XLOOKUP(Orders[[#This Row],[ProductID]],Products[ProductID],Products[Category])</f>
        <v>Games</v>
      </c>
    </row>
    <row r="904" spans="1:20" x14ac:dyDescent="0.25">
      <c r="A904" s="4" t="s">
        <v>1093</v>
      </c>
      <c r="B904" s="5">
        <v>46002</v>
      </c>
      <c r="C904" s="15">
        <f>WEEKNUM(Orders[[#This Row],[OrderDate]])</f>
        <v>50</v>
      </c>
      <c r="D904" s="15" t="str">
        <f>TEXT(Orders[[#This Row],[OrderDate]],"mmmm")</f>
        <v>December</v>
      </c>
      <c r="E904" s="4" t="s">
        <v>229</v>
      </c>
      <c r="F904" s="4" t="s">
        <v>46</v>
      </c>
      <c r="G904" s="4">
        <v>10</v>
      </c>
      <c r="H904" s="12">
        <v>16717.7</v>
      </c>
      <c r="I904" s="13">
        <v>14210.045</v>
      </c>
      <c r="J904" s="13">
        <f>Orders[[#This Row],[Quantity]]*Orders[[#This Row],[Selling Price]]</f>
        <v>167177</v>
      </c>
      <c r="K904" s="13">
        <f>Orders[[#This Row],[Quantity]]*Orders[[#This Row],[Cost Price]]</f>
        <v>142100.45000000001</v>
      </c>
      <c r="L904" s="13">
        <f>Orders[[#This Row],[Revenue]]-Orders[[#This Row],[Expenses]]</f>
        <v>25076.549999999988</v>
      </c>
      <c r="M904" t="s">
        <v>2208</v>
      </c>
      <c r="N904" t="str">
        <f>_xlfn.XLOOKUP(Orders[[#This Row],[CustomerID]],Customers[CustomerID],Customers[CustomerName])</f>
        <v>Uche Abubakar</v>
      </c>
      <c r="O904" t="str">
        <f>_xlfn.XLOOKUP(Orders[[#This Row],[CustomerID]],Customers[CustomerID],Customers[City])</f>
        <v>Florida</v>
      </c>
      <c r="P904" t="str">
        <f>_xlfn.XLOOKUP(Orders[[#This Row],[CustomerID]],Customers[CustomerID],Customers[Gender])</f>
        <v>Male</v>
      </c>
      <c r="Q904">
        <f>_xlfn.XLOOKUP(Orders[[#This Row],[CustomerID]],Customers[CustomerID],Customers[CustomerAge])</f>
        <v>43</v>
      </c>
      <c r="R904" t="str">
        <f>IF(Orders[[#This Row],[CustomerAge]]&gt;=35, "Older", "Young")</f>
        <v>Older</v>
      </c>
      <c r="S904" t="str">
        <f>_xlfn.XLOOKUP(Orders[[#This Row],[ProductID]],Products[ProductID],Products[ProductName])</f>
        <v>Turtle Neck</v>
      </c>
      <c r="T904" t="str">
        <f>_xlfn.XLOOKUP(Orders[[#This Row],[ProductID]],Products[ProductID],Products[Category])</f>
        <v>Clothing</v>
      </c>
    </row>
    <row r="905" spans="1:20" x14ac:dyDescent="0.25">
      <c r="A905" s="4" t="s">
        <v>1094</v>
      </c>
      <c r="B905" s="5">
        <v>45997</v>
      </c>
      <c r="C905" s="15">
        <f>WEEKNUM(Orders[[#This Row],[OrderDate]])</f>
        <v>49</v>
      </c>
      <c r="D905" s="15" t="str">
        <f>TEXT(Orders[[#This Row],[OrderDate]],"mmmm")</f>
        <v>December</v>
      </c>
      <c r="E905" s="4" t="s">
        <v>343</v>
      </c>
      <c r="F905" s="4" t="s">
        <v>208</v>
      </c>
      <c r="G905" s="4">
        <v>7</v>
      </c>
      <c r="H905" s="12">
        <v>13637.4</v>
      </c>
      <c r="I905" s="13">
        <v>11591.789999999999</v>
      </c>
      <c r="J905" s="13">
        <f>Orders[[#This Row],[Quantity]]*Orders[[#This Row],[Selling Price]]</f>
        <v>95461.8</v>
      </c>
      <c r="K905" s="13">
        <f>Orders[[#This Row],[Quantity]]*Orders[[#This Row],[Cost Price]]</f>
        <v>81142.53</v>
      </c>
      <c r="L905" s="13">
        <f>Orders[[#This Row],[Revenue]]-Orders[[#This Row],[Expenses]]</f>
        <v>14319.270000000004</v>
      </c>
      <c r="M905" t="s">
        <v>2207</v>
      </c>
      <c r="N905" t="str">
        <f>_xlfn.XLOOKUP(Orders[[#This Row],[CustomerID]],Customers[CustomerID],Customers[CustomerName])</f>
        <v>Ronke Obi</v>
      </c>
      <c r="O905" t="str">
        <f>_xlfn.XLOOKUP(Orders[[#This Row],[CustomerID]],Customers[CustomerID],Customers[City])</f>
        <v>Washington</v>
      </c>
      <c r="P905" t="str">
        <f>_xlfn.XLOOKUP(Orders[[#This Row],[CustomerID]],Customers[CustomerID],Customers[Gender])</f>
        <v>Female</v>
      </c>
      <c r="Q905">
        <f>_xlfn.XLOOKUP(Orders[[#This Row],[CustomerID]],Customers[CustomerID],Customers[CustomerAge])</f>
        <v>31</v>
      </c>
      <c r="R905" t="str">
        <f>IF(Orders[[#This Row],[CustomerAge]]&gt;=35, "Older", "Young")</f>
        <v>Young</v>
      </c>
      <c r="S905" t="str">
        <f>_xlfn.XLOOKUP(Orders[[#This Row],[ProductID]],Products[ProductID],Products[ProductName])</f>
        <v>Skipping Rope</v>
      </c>
      <c r="T905" t="str">
        <f>_xlfn.XLOOKUP(Orders[[#This Row],[ProductID]],Products[ProductID],Products[Category])</f>
        <v>Sports</v>
      </c>
    </row>
    <row r="906" spans="1:20" x14ac:dyDescent="0.25">
      <c r="A906" s="4" t="s">
        <v>1095</v>
      </c>
      <c r="B906" s="5">
        <v>45973</v>
      </c>
      <c r="C906" s="15">
        <f>WEEKNUM(Orders[[#This Row],[OrderDate]])</f>
        <v>46</v>
      </c>
      <c r="D906" s="15" t="str">
        <f>TEXT(Orders[[#This Row],[OrderDate]],"mmmm")</f>
        <v>November</v>
      </c>
      <c r="E906" s="4" t="s">
        <v>116</v>
      </c>
      <c r="F906" s="4" t="s">
        <v>189</v>
      </c>
      <c r="G906" s="4">
        <v>1</v>
      </c>
      <c r="H906" s="12">
        <v>14068.800000000001</v>
      </c>
      <c r="I906" s="13">
        <v>11958.480000000001</v>
      </c>
      <c r="J906" s="13">
        <f>Orders[[#This Row],[Quantity]]*Orders[[#This Row],[Selling Price]]</f>
        <v>14068.800000000001</v>
      </c>
      <c r="K906" s="13">
        <f>Orders[[#This Row],[Quantity]]*Orders[[#This Row],[Cost Price]]</f>
        <v>11958.480000000001</v>
      </c>
      <c r="L906" s="13">
        <f>Orders[[#This Row],[Revenue]]-Orders[[#This Row],[Expenses]]</f>
        <v>2110.3199999999997</v>
      </c>
      <c r="M906" t="s">
        <v>2220</v>
      </c>
      <c r="N906" t="str">
        <f>_xlfn.XLOOKUP(Orders[[#This Row],[CustomerID]],Customers[CustomerID],Customers[CustomerName])</f>
        <v>Uche Bello</v>
      </c>
      <c r="O906" t="str">
        <f>_xlfn.XLOOKUP(Orders[[#This Row],[CustomerID]],Customers[CustomerID],Customers[City])</f>
        <v>Texas</v>
      </c>
      <c r="P906" t="str">
        <f>_xlfn.XLOOKUP(Orders[[#This Row],[CustomerID]],Customers[CustomerID],Customers[Gender])</f>
        <v>Male</v>
      </c>
      <c r="Q906">
        <f>_xlfn.XLOOKUP(Orders[[#This Row],[CustomerID]],Customers[CustomerID],Customers[CustomerAge])</f>
        <v>21</v>
      </c>
      <c r="R906" t="str">
        <f>IF(Orders[[#This Row],[CustomerAge]]&gt;=35, "Older", "Young")</f>
        <v>Young</v>
      </c>
      <c r="S906" t="str">
        <f>_xlfn.XLOOKUP(Orders[[#This Row],[ProductID]],Products[ProductID],Products[ProductName])</f>
        <v>Scrabble</v>
      </c>
      <c r="T906" t="str">
        <f>_xlfn.XLOOKUP(Orders[[#This Row],[ProductID]],Products[ProductID],Products[Category])</f>
        <v>Games</v>
      </c>
    </row>
    <row r="907" spans="1:20" x14ac:dyDescent="0.25">
      <c r="A907" s="4" t="s">
        <v>1096</v>
      </c>
      <c r="B907" s="5">
        <v>45941</v>
      </c>
      <c r="C907" s="15">
        <f>WEEKNUM(Orders[[#This Row],[OrderDate]])</f>
        <v>41</v>
      </c>
      <c r="D907" s="15" t="str">
        <f>TEXT(Orders[[#This Row],[OrderDate]],"mmmm")</f>
        <v>October</v>
      </c>
      <c r="E907" s="4" t="s">
        <v>552</v>
      </c>
      <c r="F907" s="4" t="s">
        <v>66</v>
      </c>
      <c r="G907" s="4">
        <v>9</v>
      </c>
      <c r="H907" s="12">
        <v>6935.9000000000005</v>
      </c>
      <c r="I907" s="13">
        <v>5895.5150000000003</v>
      </c>
      <c r="J907" s="13">
        <f>Orders[[#This Row],[Quantity]]*Orders[[#This Row],[Selling Price]]</f>
        <v>62423.100000000006</v>
      </c>
      <c r="K907" s="13">
        <f>Orders[[#This Row],[Quantity]]*Orders[[#This Row],[Cost Price]]</f>
        <v>53059.635000000002</v>
      </c>
      <c r="L907" s="13">
        <f>Orders[[#This Row],[Revenue]]-Orders[[#This Row],[Expenses]]</f>
        <v>9363.4650000000038</v>
      </c>
      <c r="M907" t="s">
        <v>2210</v>
      </c>
      <c r="N907" t="str">
        <f>_xlfn.XLOOKUP(Orders[[#This Row],[CustomerID]],Customers[CustomerID],Customers[CustomerName])</f>
        <v>Chioma Eze</v>
      </c>
      <c r="O907" t="str">
        <f>_xlfn.XLOOKUP(Orders[[#This Row],[CustomerID]],Customers[CustomerID],Customers[City])</f>
        <v>Georgia</v>
      </c>
      <c r="P907" t="str">
        <f>_xlfn.XLOOKUP(Orders[[#This Row],[CustomerID]],Customers[CustomerID],Customers[Gender])</f>
        <v>Female</v>
      </c>
      <c r="Q907">
        <f>_xlfn.XLOOKUP(Orders[[#This Row],[CustomerID]],Customers[CustomerID],Customers[CustomerAge])</f>
        <v>40</v>
      </c>
      <c r="R907" t="str">
        <f>IF(Orders[[#This Row],[CustomerAge]]&gt;=35, "Older", "Young")</f>
        <v>Older</v>
      </c>
      <c r="S907" t="str">
        <f>_xlfn.XLOOKUP(Orders[[#This Row],[ProductID]],Products[ProductID],Products[ProductName])</f>
        <v>Microwave</v>
      </c>
      <c r="T907" t="str">
        <f>_xlfn.XLOOKUP(Orders[[#This Row],[ProductID]],Products[ProductID],Products[Category])</f>
        <v>Electronics</v>
      </c>
    </row>
    <row r="908" spans="1:20" x14ac:dyDescent="0.25">
      <c r="A908" s="4" t="s">
        <v>1097</v>
      </c>
      <c r="B908" s="5">
        <v>46013</v>
      </c>
      <c r="C908" s="15">
        <f>WEEKNUM(Orders[[#This Row],[OrderDate]])</f>
        <v>52</v>
      </c>
      <c r="D908" s="15" t="str">
        <f>TEXT(Orders[[#This Row],[OrderDate]],"mmmm")</f>
        <v>December</v>
      </c>
      <c r="E908" s="4" t="s">
        <v>757</v>
      </c>
      <c r="F908" s="4" t="s">
        <v>31</v>
      </c>
      <c r="G908" s="4">
        <v>10</v>
      </c>
      <c r="H908" s="12">
        <v>13043.699999999999</v>
      </c>
      <c r="I908" s="13">
        <v>11087.144999999999</v>
      </c>
      <c r="J908" s="13">
        <f>Orders[[#This Row],[Quantity]]*Orders[[#This Row],[Selling Price]]</f>
        <v>130436.99999999999</v>
      </c>
      <c r="K908" s="13">
        <f>Orders[[#This Row],[Quantity]]*Orders[[#This Row],[Cost Price]]</f>
        <v>110871.44999999998</v>
      </c>
      <c r="L908" s="13">
        <f>Orders[[#This Row],[Revenue]]-Orders[[#This Row],[Expenses]]</f>
        <v>19565.550000000003</v>
      </c>
      <c r="M908" t="s">
        <v>2197</v>
      </c>
      <c r="N908" t="str">
        <f>_xlfn.XLOOKUP(Orders[[#This Row],[CustomerID]],Customers[CustomerID],Customers[CustomerName])</f>
        <v>Okon Balogun</v>
      </c>
      <c r="O908" t="str">
        <f>_xlfn.XLOOKUP(Orders[[#This Row],[CustomerID]],Customers[CustomerID],Customers[City])</f>
        <v>Texas</v>
      </c>
      <c r="P908" t="str">
        <f>_xlfn.XLOOKUP(Orders[[#This Row],[CustomerID]],Customers[CustomerID],Customers[Gender])</f>
        <v>Male</v>
      </c>
      <c r="Q908">
        <f>_xlfn.XLOOKUP(Orders[[#This Row],[CustomerID]],Customers[CustomerID],Customers[CustomerAge])</f>
        <v>20</v>
      </c>
      <c r="R908" t="str">
        <f>IF(Orders[[#This Row],[CustomerAge]]&gt;=35, "Older", "Young")</f>
        <v>Young</v>
      </c>
      <c r="S908" t="str">
        <f>_xlfn.XLOOKUP(Orders[[#This Row],[ProductID]],Products[ProductID],Products[ProductName])</f>
        <v>Kids Games</v>
      </c>
      <c r="T908" t="str">
        <f>_xlfn.XLOOKUP(Orders[[#This Row],[ProductID]],Products[ProductID],Products[Category])</f>
        <v>Games</v>
      </c>
    </row>
    <row r="909" spans="1:20" x14ac:dyDescent="0.25">
      <c r="A909" s="4" t="s">
        <v>1098</v>
      </c>
      <c r="B909" s="5">
        <v>45962</v>
      </c>
      <c r="C909" s="15">
        <f>WEEKNUM(Orders[[#This Row],[OrderDate]])</f>
        <v>44</v>
      </c>
      <c r="D909" s="15" t="str">
        <f>TEXT(Orders[[#This Row],[OrderDate]],"mmmm")</f>
        <v>November</v>
      </c>
      <c r="E909" s="4" t="s">
        <v>457</v>
      </c>
      <c r="F909" s="4" t="s">
        <v>168</v>
      </c>
      <c r="G909" s="4">
        <v>8</v>
      </c>
      <c r="H909" s="12">
        <v>16172.2</v>
      </c>
      <c r="I909" s="13">
        <v>13746.37</v>
      </c>
      <c r="J909" s="13">
        <f>Orders[[#This Row],[Quantity]]*Orders[[#This Row],[Selling Price]]</f>
        <v>129377.60000000001</v>
      </c>
      <c r="K909" s="13">
        <f>Orders[[#This Row],[Quantity]]*Orders[[#This Row],[Cost Price]]</f>
        <v>109970.96</v>
      </c>
      <c r="L909" s="13">
        <f>Orders[[#This Row],[Revenue]]-Orders[[#This Row],[Expenses]]</f>
        <v>19406.64</v>
      </c>
      <c r="M909" t="s">
        <v>2213</v>
      </c>
      <c r="N909" t="str">
        <f>_xlfn.XLOOKUP(Orders[[#This Row],[CustomerID]],Customers[CustomerID],Customers[CustomerName])</f>
        <v>Tunde Okonkwo</v>
      </c>
      <c r="O909" t="str">
        <f>_xlfn.XLOOKUP(Orders[[#This Row],[CustomerID]],Customers[CustomerID],Customers[City])</f>
        <v>Illinois</v>
      </c>
      <c r="P909" t="str">
        <f>_xlfn.XLOOKUP(Orders[[#This Row],[CustomerID]],Customers[CustomerID],Customers[Gender])</f>
        <v>Male</v>
      </c>
      <c r="Q909">
        <f>_xlfn.XLOOKUP(Orders[[#This Row],[CustomerID]],Customers[CustomerID],Customers[CustomerAge])</f>
        <v>23</v>
      </c>
      <c r="R909" t="str">
        <f>IF(Orders[[#This Row],[CustomerAge]]&gt;=35, "Older", "Young")</f>
        <v>Young</v>
      </c>
      <c r="S909" t="str">
        <f>_xlfn.XLOOKUP(Orders[[#This Row],[ProductID]],Products[ProductID],Products[ProductName])</f>
        <v>Dumb Bells</v>
      </c>
      <c r="T909" t="str">
        <f>_xlfn.XLOOKUP(Orders[[#This Row],[ProductID]],Products[ProductID],Products[Category])</f>
        <v>Gym</v>
      </c>
    </row>
    <row r="910" spans="1:20" x14ac:dyDescent="0.25">
      <c r="A910" s="4" t="s">
        <v>1099</v>
      </c>
      <c r="B910" s="5">
        <v>46009</v>
      </c>
      <c r="C910" s="15">
        <f>WEEKNUM(Orders[[#This Row],[OrderDate]])</f>
        <v>51</v>
      </c>
      <c r="D910" s="15" t="str">
        <f>TEXT(Orders[[#This Row],[OrderDate]],"mmmm")</f>
        <v>December</v>
      </c>
      <c r="E910" s="4" t="s">
        <v>374</v>
      </c>
      <c r="F910" s="4" t="s">
        <v>46</v>
      </c>
      <c r="G910" s="4">
        <v>8</v>
      </c>
      <c r="H910" s="12">
        <v>4955.5</v>
      </c>
      <c r="I910" s="13">
        <v>4212.1750000000002</v>
      </c>
      <c r="J910" s="13">
        <f>Orders[[#This Row],[Quantity]]*Orders[[#This Row],[Selling Price]]</f>
        <v>39644</v>
      </c>
      <c r="K910" s="13">
        <f>Orders[[#This Row],[Quantity]]*Orders[[#This Row],[Cost Price]]</f>
        <v>33697.4</v>
      </c>
      <c r="L910" s="13">
        <f>Orders[[#This Row],[Revenue]]-Orders[[#This Row],[Expenses]]</f>
        <v>5946.5999999999985</v>
      </c>
      <c r="M910" t="s">
        <v>2213</v>
      </c>
      <c r="N910" t="str">
        <f>_xlfn.XLOOKUP(Orders[[#This Row],[CustomerID]],Customers[CustomerID],Customers[CustomerName])</f>
        <v>Uche Okonkwo</v>
      </c>
      <c r="O910" t="str">
        <f>_xlfn.XLOOKUP(Orders[[#This Row],[CustomerID]],Customers[CustomerID],Customers[City])</f>
        <v>Texas</v>
      </c>
      <c r="P910" t="str">
        <f>_xlfn.XLOOKUP(Orders[[#This Row],[CustomerID]],Customers[CustomerID],Customers[Gender])</f>
        <v>Male</v>
      </c>
      <c r="Q910">
        <f>_xlfn.XLOOKUP(Orders[[#This Row],[CustomerID]],Customers[CustomerID],Customers[CustomerAge])</f>
        <v>27</v>
      </c>
      <c r="R910" t="str">
        <f>IF(Orders[[#This Row],[CustomerAge]]&gt;=35, "Older", "Young")</f>
        <v>Young</v>
      </c>
      <c r="S910" t="str">
        <f>_xlfn.XLOOKUP(Orders[[#This Row],[ProductID]],Products[ProductID],Products[ProductName])</f>
        <v>Turtle Neck</v>
      </c>
      <c r="T910" t="str">
        <f>_xlfn.XLOOKUP(Orders[[#This Row],[ProductID]],Products[ProductID],Products[Category])</f>
        <v>Clothing</v>
      </c>
    </row>
    <row r="911" spans="1:20" x14ac:dyDescent="0.25">
      <c r="A911" s="4" t="s">
        <v>1100</v>
      </c>
      <c r="B911" s="5">
        <v>45988</v>
      </c>
      <c r="C911" s="15">
        <f>WEEKNUM(Orders[[#This Row],[OrderDate]])</f>
        <v>48</v>
      </c>
      <c r="D911" s="15" t="str">
        <f>TEXT(Orders[[#This Row],[OrderDate]],"mmmm")</f>
        <v>November</v>
      </c>
      <c r="E911" s="4" t="s">
        <v>19</v>
      </c>
      <c r="F911" s="4" t="s">
        <v>34</v>
      </c>
      <c r="G911" s="4">
        <v>1</v>
      </c>
      <c r="H911" s="12">
        <v>14485.4</v>
      </c>
      <c r="I911" s="13">
        <v>12312.59</v>
      </c>
      <c r="J911" s="13">
        <f>Orders[[#This Row],[Quantity]]*Orders[[#This Row],[Selling Price]]</f>
        <v>14485.4</v>
      </c>
      <c r="K911" s="13">
        <f>Orders[[#This Row],[Quantity]]*Orders[[#This Row],[Cost Price]]</f>
        <v>12312.59</v>
      </c>
      <c r="L911" s="13">
        <f>Orders[[#This Row],[Revenue]]-Orders[[#This Row],[Expenses]]</f>
        <v>2172.8099999999995</v>
      </c>
      <c r="M911" t="s">
        <v>2202</v>
      </c>
      <c r="N911" t="str">
        <f>_xlfn.XLOOKUP(Orders[[#This Row],[CustomerID]],Customers[CustomerID],Customers[CustomerName])</f>
        <v>Obi Adeyemi</v>
      </c>
      <c r="O911" t="str">
        <f>_xlfn.XLOOKUP(Orders[[#This Row],[CustomerID]],Customers[CustomerID],Customers[City])</f>
        <v>California</v>
      </c>
      <c r="P911" t="str">
        <f>_xlfn.XLOOKUP(Orders[[#This Row],[CustomerID]],Customers[CustomerID],Customers[Gender])</f>
        <v>Male</v>
      </c>
      <c r="Q911">
        <f>_xlfn.XLOOKUP(Orders[[#This Row],[CustomerID]],Customers[CustomerID],Customers[CustomerAge])</f>
        <v>24</v>
      </c>
      <c r="R911" t="str">
        <f>IF(Orders[[#This Row],[CustomerAge]]&gt;=35, "Older", "Young")</f>
        <v>Young</v>
      </c>
      <c r="S911" t="str">
        <f>_xlfn.XLOOKUP(Orders[[#This Row],[ProductID]],Products[ProductID],Products[ProductName])</f>
        <v>Gold Bracelets</v>
      </c>
      <c r="T911" t="str">
        <f>_xlfn.XLOOKUP(Orders[[#This Row],[ProductID]],Products[ProductID],Products[Category])</f>
        <v>Accessories</v>
      </c>
    </row>
    <row r="912" spans="1:20" x14ac:dyDescent="0.25">
      <c r="A912" s="4" t="s">
        <v>1101</v>
      </c>
      <c r="B912" s="5">
        <v>45972</v>
      </c>
      <c r="C912" s="15">
        <f>WEEKNUM(Orders[[#This Row],[OrderDate]])</f>
        <v>46</v>
      </c>
      <c r="D912" s="15" t="str">
        <f>TEXT(Orders[[#This Row],[OrderDate]],"mmmm")</f>
        <v>November</v>
      </c>
      <c r="E912" s="4" t="s">
        <v>142</v>
      </c>
      <c r="F912" s="4" t="s">
        <v>168</v>
      </c>
      <c r="G912" s="4">
        <v>6</v>
      </c>
      <c r="H912" s="12">
        <v>5814.7000000000007</v>
      </c>
      <c r="I912" s="13">
        <v>4942.4950000000008</v>
      </c>
      <c r="J912" s="13">
        <f>Orders[[#This Row],[Quantity]]*Orders[[#This Row],[Selling Price]]</f>
        <v>34888.200000000004</v>
      </c>
      <c r="K912" s="13">
        <f>Orders[[#This Row],[Quantity]]*Orders[[#This Row],[Cost Price]]</f>
        <v>29654.970000000005</v>
      </c>
      <c r="L912" s="13">
        <f>Orders[[#This Row],[Revenue]]-Orders[[#This Row],[Expenses]]</f>
        <v>5233.2299999999996</v>
      </c>
      <c r="M912" t="s">
        <v>2193</v>
      </c>
      <c r="N912" t="str">
        <f>_xlfn.XLOOKUP(Orders[[#This Row],[CustomerID]],Customers[CustomerID],Customers[CustomerName])</f>
        <v>Obi Adeyemi</v>
      </c>
      <c r="O912" t="str">
        <f>_xlfn.XLOOKUP(Orders[[#This Row],[CustomerID]],Customers[CustomerID],Customers[City])</f>
        <v>Florida</v>
      </c>
      <c r="P912" t="str">
        <f>_xlfn.XLOOKUP(Orders[[#This Row],[CustomerID]],Customers[CustomerID],Customers[Gender])</f>
        <v>Male</v>
      </c>
      <c r="Q912">
        <f>_xlfn.XLOOKUP(Orders[[#This Row],[CustomerID]],Customers[CustomerID],Customers[CustomerAge])</f>
        <v>31</v>
      </c>
      <c r="R912" t="str">
        <f>IF(Orders[[#This Row],[CustomerAge]]&gt;=35, "Older", "Young")</f>
        <v>Young</v>
      </c>
      <c r="S912" t="str">
        <f>_xlfn.XLOOKUP(Orders[[#This Row],[ProductID]],Products[ProductID],Products[ProductName])</f>
        <v>Dumb Bells</v>
      </c>
      <c r="T912" t="str">
        <f>_xlfn.XLOOKUP(Orders[[#This Row],[ProductID]],Products[ProductID],Products[Category])</f>
        <v>Gym</v>
      </c>
    </row>
    <row r="913" spans="1:20" x14ac:dyDescent="0.25">
      <c r="A913" s="4" t="s">
        <v>1102</v>
      </c>
      <c r="B913" s="5">
        <v>45948</v>
      </c>
      <c r="C913" s="15">
        <f>WEEKNUM(Orders[[#This Row],[OrderDate]])</f>
        <v>42</v>
      </c>
      <c r="D913" s="15" t="str">
        <f>TEXT(Orders[[#This Row],[OrderDate]],"mmmm")</f>
        <v>October</v>
      </c>
      <c r="E913" s="4" t="s">
        <v>174</v>
      </c>
      <c r="F913" s="4" t="s">
        <v>253</v>
      </c>
      <c r="G913" s="4">
        <v>9</v>
      </c>
      <c r="H913" s="12">
        <v>13772.7</v>
      </c>
      <c r="I913" s="13">
        <v>11706.795</v>
      </c>
      <c r="J913" s="13">
        <f>Orders[[#This Row],[Quantity]]*Orders[[#This Row],[Selling Price]]</f>
        <v>123954.3</v>
      </c>
      <c r="K913" s="13">
        <f>Orders[[#This Row],[Quantity]]*Orders[[#This Row],[Cost Price]]</f>
        <v>105361.155</v>
      </c>
      <c r="L913" s="13">
        <f>Orders[[#This Row],[Revenue]]-Orders[[#This Row],[Expenses]]</f>
        <v>18593.145000000004</v>
      </c>
      <c r="M913" t="s">
        <v>2212</v>
      </c>
      <c r="N913" t="str">
        <f>_xlfn.XLOOKUP(Orders[[#This Row],[CustomerID]],Customers[CustomerID],Customers[CustomerName])</f>
        <v>Zainab Obi</v>
      </c>
      <c r="O913" t="str">
        <f>_xlfn.XLOOKUP(Orders[[#This Row],[CustomerID]],Customers[CustomerID],Customers[City])</f>
        <v>California</v>
      </c>
      <c r="P913" t="str">
        <f>_xlfn.XLOOKUP(Orders[[#This Row],[CustomerID]],Customers[CustomerID],Customers[Gender])</f>
        <v>Female</v>
      </c>
      <c r="Q913">
        <f>_xlfn.XLOOKUP(Orders[[#This Row],[CustomerID]],Customers[CustomerID],Customers[CustomerAge])</f>
        <v>18</v>
      </c>
      <c r="R913" t="str">
        <f>IF(Orders[[#This Row],[CustomerAge]]&gt;=35, "Older", "Young")</f>
        <v>Young</v>
      </c>
      <c r="S913" t="str">
        <f>_xlfn.XLOOKUP(Orders[[#This Row],[ProductID]],Products[ProductID],Products[ProductName])</f>
        <v>Nose Rings</v>
      </c>
      <c r="T913" t="str">
        <f>_xlfn.XLOOKUP(Orders[[#This Row],[ProductID]],Products[ProductID],Products[Category])</f>
        <v>Accessories</v>
      </c>
    </row>
    <row r="914" spans="1:20" x14ac:dyDescent="0.25">
      <c r="A914" s="4" t="s">
        <v>1103</v>
      </c>
      <c r="B914" s="5">
        <v>45977</v>
      </c>
      <c r="C914" s="15">
        <f>WEEKNUM(Orders[[#This Row],[OrderDate]])</f>
        <v>47</v>
      </c>
      <c r="D914" s="15" t="str">
        <f>TEXT(Orders[[#This Row],[OrderDate]],"mmmm")</f>
        <v>November</v>
      </c>
      <c r="E914" s="4" t="s">
        <v>369</v>
      </c>
      <c r="F914" s="4" t="s">
        <v>25</v>
      </c>
      <c r="G914" s="4">
        <v>9</v>
      </c>
      <c r="H914" s="12">
        <v>18995.599999999999</v>
      </c>
      <c r="I914" s="13">
        <v>16146.259999999998</v>
      </c>
      <c r="J914" s="13">
        <f>Orders[[#This Row],[Quantity]]*Orders[[#This Row],[Selling Price]]</f>
        <v>170960.4</v>
      </c>
      <c r="K914" s="13">
        <f>Orders[[#This Row],[Quantity]]*Orders[[#This Row],[Cost Price]]</f>
        <v>145316.34</v>
      </c>
      <c r="L914" s="13">
        <f>Orders[[#This Row],[Revenue]]-Orders[[#This Row],[Expenses]]</f>
        <v>25644.059999999998</v>
      </c>
      <c r="M914" t="s">
        <v>2220</v>
      </c>
      <c r="N914" t="str">
        <f>_xlfn.XLOOKUP(Orders[[#This Row],[CustomerID]],Customers[CustomerID],Customers[CustomerName])</f>
        <v>Ibrahim Bello</v>
      </c>
      <c r="O914" t="str">
        <f>_xlfn.XLOOKUP(Orders[[#This Row],[CustomerID]],Customers[CustomerID],Customers[City])</f>
        <v>Washington</v>
      </c>
      <c r="P914" t="str">
        <f>_xlfn.XLOOKUP(Orders[[#This Row],[CustomerID]],Customers[CustomerID],Customers[Gender])</f>
        <v>Male</v>
      </c>
      <c r="Q914">
        <f>_xlfn.XLOOKUP(Orders[[#This Row],[CustomerID]],Customers[CustomerID],Customers[CustomerAge])</f>
        <v>40</v>
      </c>
      <c r="R914" t="str">
        <f>IF(Orders[[#This Row],[CustomerAge]]&gt;=35, "Older", "Young")</f>
        <v>Older</v>
      </c>
      <c r="S914" t="str">
        <f>_xlfn.XLOOKUP(Orders[[#This Row],[ProductID]],Products[ProductID],Products[ProductName])</f>
        <v>Gold Rings</v>
      </c>
      <c r="T914" t="str">
        <f>_xlfn.XLOOKUP(Orders[[#This Row],[ProductID]],Products[ProductID],Products[Category])</f>
        <v>Accessories</v>
      </c>
    </row>
    <row r="915" spans="1:20" x14ac:dyDescent="0.25">
      <c r="A915" s="4" t="s">
        <v>1104</v>
      </c>
      <c r="B915" s="5">
        <v>45943</v>
      </c>
      <c r="C915" s="15">
        <f>WEEKNUM(Orders[[#This Row],[OrderDate]])</f>
        <v>42</v>
      </c>
      <c r="D915" s="15" t="str">
        <f>TEXT(Orders[[#This Row],[OrderDate]],"mmmm")</f>
        <v>October</v>
      </c>
      <c r="E915" s="4" t="s">
        <v>214</v>
      </c>
      <c r="F915" s="4" t="s">
        <v>84</v>
      </c>
      <c r="G915" s="4">
        <v>10</v>
      </c>
      <c r="H915" s="12">
        <v>18485.899999999998</v>
      </c>
      <c r="I915" s="13">
        <v>15713.014999999998</v>
      </c>
      <c r="J915" s="13">
        <f>Orders[[#This Row],[Quantity]]*Orders[[#This Row],[Selling Price]]</f>
        <v>184858.99999999997</v>
      </c>
      <c r="K915" s="13">
        <f>Orders[[#This Row],[Quantity]]*Orders[[#This Row],[Cost Price]]</f>
        <v>157130.14999999997</v>
      </c>
      <c r="L915" s="13">
        <f>Orders[[#This Row],[Revenue]]-Orders[[#This Row],[Expenses]]</f>
        <v>27728.850000000006</v>
      </c>
      <c r="M915" t="s">
        <v>2220</v>
      </c>
      <c r="N915" t="str">
        <f>_xlfn.XLOOKUP(Orders[[#This Row],[CustomerID]],Customers[CustomerID],Customers[CustomerName])</f>
        <v>Adanma Okonkwo</v>
      </c>
      <c r="O915" t="str">
        <f>_xlfn.XLOOKUP(Orders[[#This Row],[CustomerID]],Customers[CustomerID],Customers[City])</f>
        <v>California</v>
      </c>
      <c r="P915" t="str">
        <f>_xlfn.XLOOKUP(Orders[[#This Row],[CustomerID]],Customers[CustomerID],Customers[Gender])</f>
        <v>Female</v>
      </c>
      <c r="Q915">
        <f>_xlfn.XLOOKUP(Orders[[#This Row],[CustomerID]],Customers[CustomerID],Customers[CustomerAge])</f>
        <v>20</v>
      </c>
      <c r="R915" t="str">
        <f>IF(Orders[[#This Row],[CustomerAge]]&gt;=35, "Older", "Young")</f>
        <v>Young</v>
      </c>
      <c r="S915" t="str">
        <f>_xlfn.XLOOKUP(Orders[[#This Row],[ProductID]],Products[ProductID],Products[ProductName])</f>
        <v>Gym Wears</v>
      </c>
      <c r="T915" t="str">
        <f>_xlfn.XLOOKUP(Orders[[#This Row],[ProductID]],Products[ProductID],Products[Category])</f>
        <v>Clothing</v>
      </c>
    </row>
    <row r="916" spans="1:20" x14ac:dyDescent="0.25">
      <c r="A916" s="4" t="s">
        <v>1105</v>
      </c>
      <c r="B916" s="5">
        <v>46006</v>
      </c>
      <c r="C916" s="15">
        <f>WEEKNUM(Orders[[#This Row],[OrderDate]])</f>
        <v>51</v>
      </c>
      <c r="D916" s="15" t="str">
        <f>TEXT(Orders[[#This Row],[OrderDate]],"mmmm")</f>
        <v>December</v>
      </c>
      <c r="E916" s="4" t="s">
        <v>52</v>
      </c>
      <c r="F916" s="4" t="s">
        <v>151</v>
      </c>
      <c r="G916" s="4">
        <v>9</v>
      </c>
      <c r="H916" s="12">
        <v>7420.9000000000005</v>
      </c>
      <c r="I916" s="13">
        <v>6307.7650000000003</v>
      </c>
      <c r="J916" s="13">
        <f>Orders[[#This Row],[Quantity]]*Orders[[#This Row],[Selling Price]]</f>
        <v>66788.100000000006</v>
      </c>
      <c r="K916" s="13">
        <f>Orders[[#This Row],[Quantity]]*Orders[[#This Row],[Cost Price]]</f>
        <v>56769.885000000002</v>
      </c>
      <c r="L916" s="13">
        <f>Orders[[#This Row],[Revenue]]-Orders[[#This Row],[Expenses]]</f>
        <v>10018.215000000004</v>
      </c>
      <c r="M916" t="s">
        <v>2220</v>
      </c>
      <c r="N916" t="str">
        <f>_xlfn.XLOOKUP(Orders[[#This Row],[CustomerID]],Customers[CustomerID],Customers[CustomerName])</f>
        <v>Folasade Ojo</v>
      </c>
      <c r="O916" t="str">
        <f>_xlfn.XLOOKUP(Orders[[#This Row],[CustomerID]],Customers[CustomerID],Customers[City])</f>
        <v>Texas</v>
      </c>
      <c r="P916" t="str">
        <f>_xlfn.XLOOKUP(Orders[[#This Row],[CustomerID]],Customers[CustomerID],Customers[Gender])</f>
        <v>Female</v>
      </c>
      <c r="Q916">
        <f>_xlfn.XLOOKUP(Orders[[#This Row],[CustomerID]],Customers[CustomerID],Customers[CustomerAge])</f>
        <v>29</v>
      </c>
      <c r="R916" t="str">
        <f>IF(Orders[[#This Row],[CustomerAge]]&gt;=35, "Older", "Young")</f>
        <v>Young</v>
      </c>
      <c r="S916" t="str">
        <f>_xlfn.XLOOKUP(Orders[[#This Row],[ProductID]],Products[ProductID],Products[ProductName])</f>
        <v>Checkers</v>
      </c>
      <c r="T916" t="str">
        <f>_xlfn.XLOOKUP(Orders[[#This Row],[ProductID]],Products[ProductID],Products[Category])</f>
        <v>Games</v>
      </c>
    </row>
    <row r="917" spans="1:20" x14ac:dyDescent="0.25">
      <c r="A917" s="4" t="s">
        <v>1106</v>
      </c>
      <c r="B917" s="5">
        <v>46002</v>
      </c>
      <c r="C917" s="15">
        <f>WEEKNUM(Orders[[#This Row],[OrderDate]])</f>
        <v>50</v>
      </c>
      <c r="D917" s="15" t="str">
        <f>TEXT(Orders[[#This Row],[OrderDate]],"mmmm")</f>
        <v>December</v>
      </c>
      <c r="E917" s="4" t="s">
        <v>180</v>
      </c>
      <c r="F917" s="4" t="s">
        <v>28</v>
      </c>
      <c r="G917" s="4">
        <v>1</v>
      </c>
      <c r="H917" s="12">
        <v>18895.599999999999</v>
      </c>
      <c r="I917" s="13">
        <v>16061.259999999998</v>
      </c>
      <c r="J917" s="13">
        <f>Orders[[#This Row],[Quantity]]*Orders[[#This Row],[Selling Price]]</f>
        <v>18895.599999999999</v>
      </c>
      <c r="K917" s="13">
        <f>Orders[[#This Row],[Quantity]]*Orders[[#This Row],[Cost Price]]</f>
        <v>16061.259999999998</v>
      </c>
      <c r="L917" s="13">
        <f>Orders[[#This Row],[Revenue]]-Orders[[#This Row],[Expenses]]</f>
        <v>2834.34</v>
      </c>
      <c r="M917" t="s">
        <v>2198</v>
      </c>
      <c r="N917" t="str">
        <f>_xlfn.XLOOKUP(Orders[[#This Row],[CustomerID]],Customers[CustomerID],Customers[CustomerName])</f>
        <v>Jide Okonkwo</v>
      </c>
      <c r="O917" t="str">
        <f>_xlfn.XLOOKUP(Orders[[#This Row],[CustomerID]],Customers[CustomerID],Customers[City])</f>
        <v>Texas</v>
      </c>
      <c r="P917" t="str">
        <f>_xlfn.XLOOKUP(Orders[[#This Row],[CustomerID]],Customers[CustomerID],Customers[Gender])</f>
        <v>Male</v>
      </c>
      <c r="Q917">
        <f>_xlfn.XLOOKUP(Orders[[#This Row],[CustomerID]],Customers[CustomerID],Customers[CustomerAge])</f>
        <v>25</v>
      </c>
      <c r="R917" t="str">
        <f>IF(Orders[[#This Row],[CustomerAge]]&gt;=35, "Older", "Young")</f>
        <v>Young</v>
      </c>
      <c r="S917" t="str">
        <f>_xlfn.XLOOKUP(Orders[[#This Row],[ProductID]],Products[ProductID],Products[ProductName])</f>
        <v>Sneakers</v>
      </c>
      <c r="T917" t="str">
        <f>_xlfn.XLOOKUP(Orders[[#This Row],[ProductID]],Products[ProductID],Products[Category])</f>
        <v>Sports</v>
      </c>
    </row>
    <row r="918" spans="1:20" x14ac:dyDescent="0.25">
      <c r="A918" s="4" t="s">
        <v>1107</v>
      </c>
      <c r="B918" s="5">
        <v>46001</v>
      </c>
      <c r="C918" s="15">
        <f>WEEKNUM(Orders[[#This Row],[OrderDate]])</f>
        <v>50</v>
      </c>
      <c r="D918" s="15" t="str">
        <f>TEXT(Orders[[#This Row],[OrderDate]],"mmmm")</f>
        <v>December</v>
      </c>
      <c r="E918" s="4" t="s">
        <v>596</v>
      </c>
      <c r="F918" s="4" t="s">
        <v>12</v>
      </c>
      <c r="G918" s="4">
        <v>6</v>
      </c>
      <c r="H918" s="12">
        <v>8601.4</v>
      </c>
      <c r="I918" s="13">
        <v>7311.19</v>
      </c>
      <c r="J918" s="13">
        <f>Orders[[#This Row],[Quantity]]*Orders[[#This Row],[Selling Price]]</f>
        <v>51608.399999999994</v>
      </c>
      <c r="K918" s="13">
        <f>Orders[[#This Row],[Quantity]]*Orders[[#This Row],[Cost Price]]</f>
        <v>43867.14</v>
      </c>
      <c r="L918" s="13">
        <f>Orders[[#This Row],[Revenue]]-Orders[[#This Row],[Expenses]]</f>
        <v>7741.2599999999948</v>
      </c>
      <c r="M918" t="s">
        <v>2199</v>
      </c>
      <c r="N918" t="str">
        <f>_xlfn.XLOOKUP(Orders[[#This Row],[CustomerID]],Customers[CustomerID],Customers[CustomerName])</f>
        <v>Blessing Balogun</v>
      </c>
      <c r="O918" t="str">
        <f>_xlfn.XLOOKUP(Orders[[#This Row],[CustomerID]],Customers[CustomerID],Customers[City])</f>
        <v>Texas</v>
      </c>
      <c r="P918" t="str">
        <f>_xlfn.XLOOKUP(Orders[[#This Row],[CustomerID]],Customers[CustomerID],Customers[Gender])</f>
        <v>Female</v>
      </c>
      <c r="Q918">
        <f>_xlfn.XLOOKUP(Orders[[#This Row],[CustomerID]],Customers[CustomerID],Customers[CustomerAge])</f>
        <v>26</v>
      </c>
      <c r="R918" t="str">
        <f>IF(Orders[[#This Row],[CustomerAge]]&gt;=35, "Older", "Young")</f>
        <v>Young</v>
      </c>
      <c r="S918" t="str">
        <f>_xlfn.XLOOKUP(Orders[[#This Row],[ProductID]],Products[ProductID],Products[ProductName])</f>
        <v>Boubou</v>
      </c>
      <c r="T918" t="str">
        <f>_xlfn.XLOOKUP(Orders[[#This Row],[ProductID]],Products[ProductID],Products[Category])</f>
        <v>Clothing</v>
      </c>
    </row>
    <row r="919" spans="1:20" x14ac:dyDescent="0.25">
      <c r="A919" s="4" t="s">
        <v>1108</v>
      </c>
      <c r="B919" s="5">
        <v>46019</v>
      </c>
      <c r="C919" s="15">
        <f>WEEKNUM(Orders[[#This Row],[OrderDate]])</f>
        <v>53</v>
      </c>
      <c r="D919" s="15" t="str">
        <f>TEXT(Orders[[#This Row],[OrderDate]],"mmmm")</f>
        <v>December</v>
      </c>
      <c r="E919" s="4" t="s">
        <v>388</v>
      </c>
      <c r="F919" s="4" t="s">
        <v>127</v>
      </c>
      <c r="G919" s="4">
        <v>4</v>
      </c>
      <c r="H919" s="12">
        <v>12475.3</v>
      </c>
      <c r="I919" s="13">
        <v>10604.004999999999</v>
      </c>
      <c r="J919" s="13">
        <f>Orders[[#This Row],[Quantity]]*Orders[[#This Row],[Selling Price]]</f>
        <v>49901.2</v>
      </c>
      <c r="K919" s="13">
        <f>Orders[[#This Row],[Quantity]]*Orders[[#This Row],[Cost Price]]</f>
        <v>42416.02</v>
      </c>
      <c r="L919" s="13">
        <f>Orders[[#This Row],[Revenue]]-Orders[[#This Row],[Expenses]]</f>
        <v>7485.18</v>
      </c>
      <c r="M919" t="s">
        <v>2194</v>
      </c>
      <c r="N919" t="str">
        <f>_xlfn.XLOOKUP(Orders[[#This Row],[CustomerID]],Customers[CustomerID],Customers[CustomerName])</f>
        <v>Folasade Okonkwo</v>
      </c>
      <c r="O919" t="str">
        <f>_xlfn.XLOOKUP(Orders[[#This Row],[CustomerID]],Customers[CustomerID],Customers[City])</f>
        <v>Washington</v>
      </c>
      <c r="P919" t="str">
        <f>_xlfn.XLOOKUP(Orders[[#This Row],[CustomerID]],Customers[CustomerID],Customers[Gender])</f>
        <v>Female</v>
      </c>
      <c r="Q919">
        <f>_xlfn.XLOOKUP(Orders[[#This Row],[CustomerID]],Customers[CustomerID],Customers[CustomerAge])</f>
        <v>52</v>
      </c>
      <c r="R919" t="str">
        <f>IF(Orders[[#This Row],[CustomerAge]]&gt;=35, "Older", "Young")</f>
        <v>Older</v>
      </c>
      <c r="S919" t="str">
        <f>_xlfn.XLOOKUP(Orders[[#This Row],[ProductID]],Products[ProductID],Products[ProductName])</f>
        <v>Tops</v>
      </c>
      <c r="T919" t="str">
        <f>_xlfn.XLOOKUP(Orders[[#This Row],[ProductID]],Products[ProductID],Products[Category])</f>
        <v>Clothing</v>
      </c>
    </row>
    <row r="920" spans="1:20" x14ac:dyDescent="0.25">
      <c r="A920" s="4" t="s">
        <v>1109</v>
      </c>
      <c r="B920" s="5">
        <v>45944</v>
      </c>
      <c r="C920" s="15">
        <f>WEEKNUM(Orders[[#This Row],[OrderDate]])</f>
        <v>42</v>
      </c>
      <c r="D920" s="15" t="str">
        <f>TEXT(Orders[[#This Row],[OrderDate]],"mmmm")</f>
        <v>October</v>
      </c>
      <c r="E920" s="4" t="s">
        <v>201</v>
      </c>
      <c r="F920" s="4" t="s">
        <v>111</v>
      </c>
      <c r="G920" s="4">
        <v>4</v>
      </c>
      <c r="H920" s="12">
        <v>10387.299999999999</v>
      </c>
      <c r="I920" s="13">
        <v>8829.2049999999999</v>
      </c>
      <c r="J920" s="13">
        <f>Orders[[#This Row],[Quantity]]*Orders[[#This Row],[Selling Price]]</f>
        <v>41549.199999999997</v>
      </c>
      <c r="K920" s="13">
        <f>Orders[[#This Row],[Quantity]]*Orders[[#This Row],[Cost Price]]</f>
        <v>35316.82</v>
      </c>
      <c r="L920" s="13">
        <f>Orders[[#This Row],[Revenue]]-Orders[[#This Row],[Expenses]]</f>
        <v>6232.3799999999974</v>
      </c>
      <c r="M920" t="s">
        <v>2197</v>
      </c>
      <c r="N920" t="str">
        <f>_xlfn.XLOOKUP(Orders[[#This Row],[CustomerID]],Customers[CustomerID],Customers[CustomerName])</f>
        <v>Sani Igwe</v>
      </c>
      <c r="O920" t="str">
        <f>_xlfn.XLOOKUP(Orders[[#This Row],[CustomerID]],Customers[CustomerID],Customers[City])</f>
        <v>Georgia</v>
      </c>
      <c r="P920" t="str">
        <f>_xlfn.XLOOKUP(Orders[[#This Row],[CustomerID]],Customers[CustomerID],Customers[Gender])</f>
        <v>Male</v>
      </c>
      <c r="Q920">
        <f>_xlfn.XLOOKUP(Orders[[#This Row],[CustomerID]],Customers[CustomerID],Customers[CustomerAge])</f>
        <v>20</v>
      </c>
      <c r="R920" t="str">
        <f>IF(Orders[[#This Row],[CustomerAge]]&gt;=35, "Older", "Young")</f>
        <v>Young</v>
      </c>
      <c r="S920" t="str">
        <f>_xlfn.XLOOKUP(Orders[[#This Row],[ProductID]],Products[ProductID],Products[ProductName])</f>
        <v>Refrigerator</v>
      </c>
      <c r="T920" t="str">
        <f>_xlfn.XLOOKUP(Orders[[#This Row],[ProductID]],Products[ProductID],Products[Category])</f>
        <v>Electronics</v>
      </c>
    </row>
    <row r="921" spans="1:20" x14ac:dyDescent="0.25">
      <c r="A921" s="4" t="s">
        <v>1110</v>
      </c>
      <c r="B921" s="5">
        <v>45986</v>
      </c>
      <c r="C921" s="15">
        <f>WEEKNUM(Orders[[#This Row],[OrderDate]])</f>
        <v>48</v>
      </c>
      <c r="D921" s="15" t="str">
        <f>TEXT(Orders[[#This Row],[OrderDate]],"mmmm")</f>
        <v>November</v>
      </c>
      <c r="E921" s="4" t="s">
        <v>124</v>
      </c>
      <c r="F921" s="4" t="s">
        <v>60</v>
      </c>
      <c r="G921" s="4">
        <v>5</v>
      </c>
      <c r="H921" s="12">
        <v>7710</v>
      </c>
      <c r="I921" s="13">
        <v>6553.5</v>
      </c>
      <c r="J921" s="13">
        <f>Orders[[#This Row],[Quantity]]*Orders[[#This Row],[Selling Price]]</f>
        <v>38550</v>
      </c>
      <c r="K921" s="13">
        <f>Orders[[#This Row],[Quantity]]*Orders[[#This Row],[Cost Price]]</f>
        <v>32767.5</v>
      </c>
      <c r="L921" s="13">
        <f>Orders[[#This Row],[Revenue]]-Orders[[#This Row],[Expenses]]</f>
        <v>5782.5</v>
      </c>
      <c r="M921" t="s">
        <v>2209</v>
      </c>
      <c r="N921" t="str">
        <f>_xlfn.XLOOKUP(Orders[[#This Row],[CustomerID]],Customers[CustomerID],Customers[CustomerName])</f>
        <v>Ngozi Ojo</v>
      </c>
      <c r="O921" t="str">
        <f>_xlfn.XLOOKUP(Orders[[#This Row],[CustomerID]],Customers[CustomerID],Customers[City])</f>
        <v>Texas</v>
      </c>
      <c r="P921" t="str">
        <f>_xlfn.XLOOKUP(Orders[[#This Row],[CustomerID]],Customers[CustomerID],Customers[Gender])</f>
        <v>Female</v>
      </c>
      <c r="Q921">
        <f>_xlfn.XLOOKUP(Orders[[#This Row],[CustomerID]],Customers[CustomerID],Customers[CustomerAge])</f>
        <v>22</v>
      </c>
      <c r="R921" t="str">
        <f>IF(Orders[[#This Row],[CustomerAge]]&gt;=35, "Older", "Young")</f>
        <v>Young</v>
      </c>
      <c r="S921" t="str">
        <f>_xlfn.XLOOKUP(Orders[[#This Row],[ProductID]],Products[ProductID],Products[ProductName])</f>
        <v>Silver Rings</v>
      </c>
      <c r="T921" t="str">
        <f>_xlfn.XLOOKUP(Orders[[#This Row],[ProductID]],Products[ProductID],Products[Category])</f>
        <v>Accessories</v>
      </c>
    </row>
    <row r="922" spans="1:20" x14ac:dyDescent="0.25">
      <c r="A922" s="4" t="s">
        <v>1111</v>
      </c>
      <c r="B922" s="5">
        <v>45967</v>
      </c>
      <c r="C922" s="15">
        <f>WEEKNUM(Orders[[#This Row],[OrderDate]])</f>
        <v>45</v>
      </c>
      <c r="D922" s="15" t="str">
        <f>TEXT(Orders[[#This Row],[OrderDate]],"mmmm")</f>
        <v>November</v>
      </c>
      <c r="E922" s="4" t="s">
        <v>91</v>
      </c>
      <c r="F922" s="4" t="s">
        <v>76</v>
      </c>
      <c r="G922" s="4">
        <v>8</v>
      </c>
      <c r="H922" s="12">
        <v>5868.9</v>
      </c>
      <c r="I922" s="13">
        <v>4988.5649999999996</v>
      </c>
      <c r="J922" s="13">
        <f>Orders[[#This Row],[Quantity]]*Orders[[#This Row],[Selling Price]]</f>
        <v>46951.199999999997</v>
      </c>
      <c r="K922" s="13">
        <f>Orders[[#This Row],[Quantity]]*Orders[[#This Row],[Cost Price]]</f>
        <v>39908.519999999997</v>
      </c>
      <c r="L922" s="13">
        <f>Orders[[#This Row],[Revenue]]-Orders[[#This Row],[Expenses]]</f>
        <v>7042.68</v>
      </c>
      <c r="M922" t="s">
        <v>2217</v>
      </c>
      <c r="N922" t="str">
        <f>_xlfn.XLOOKUP(Orders[[#This Row],[CustomerID]],Customers[CustomerID],Customers[CustomerName])</f>
        <v>Uche Abubakar</v>
      </c>
      <c r="O922" t="str">
        <f>_xlfn.XLOOKUP(Orders[[#This Row],[CustomerID]],Customers[CustomerID],Customers[City])</f>
        <v>Florida</v>
      </c>
      <c r="P922" t="str">
        <f>_xlfn.XLOOKUP(Orders[[#This Row],[CustomerID]],Customers[CustomerID],Customers[Gender])</f>
        <v>Male</v>
      </c>
      <c r="Q922">
        <f>_xlfn.XLOOKUP(Orders[[#This Row],[CustomerID]],Customers[CustomerID],Customers[CustomerAge])</f>
        <v>28</v>
      </c>
      <c r="R922" t="str">
        <f>IF(Orders[[#This Row],[CustomerAge]]&gt;=35, "Older", "Young")</f>
        <v>Young</v>
      </c>
      <c r="S922" t="str">
        <f>_xlfn.XLOOKUP(Orders[[#This Row],[ProductID]],Products[ProductID],Products[ProductName])</f>
        <v>Blender</v>
      </c>
      <c r="T922" t="str">
        <f>_xlfn.XLOOKUP(Orders[[#This Row],[ProductID]],Products[ProductID],Products[Category])</f>
        <v>Electronics</v>
      </c>
    </row>
    <row r="923" spans="1:20" x14ac:dyDescent="0.25">
      <c r="A923" s="4" t="s">
        <v>1112</v>
      </c>
      <c r="B923" s="5">
        <v>45948</v>
      </c>
      <c r="C923" s="15">
        <f>WEEKNUM(Orders[[#This Row],[OrderDate]])</f>
        <v>42</v>
      </c>
      <c r="D923" s="15" t="str">
        <f>TEXT(Orders[[#This Row],[OrderDate]],"mmmm")</f>
        <v>October</v>
      </c>
      <c r="E923" s="4" t="s">
        <v>305</v>
      </c>
      <c r="F923" s="4" t="s">
        <v>70</v>
      </c>
      <c r="G923" s="4">
        <v>4</v>
      </c>
      <c r="H923" s="12">
        <v>16778</v>
      </c>
      <c r="I923" s="13">
        <v>14261.3</v>
      </c>
      <c r="J923" s="13">
        <f>Orders[[#This Row],[Quantity]]*Orders[[#This Row],[Selling Price]]</f>
        <v>67112</v>
      </c>
      <c r="K923" s="13">
        <f>Orders[[#This Row],[Quantity]]*Orders[[#This Row],[Cost Price]]</f>
        <v>57045.2</v>
      </c>
      <c r="L923" s="13">
        <f>Orders[[#This Row],[Revenue]]-Orders[[#This Row],[Expenses]]</f>
        <v>10066.800000000003</v>
      </c>
      <c r="M923" t="s">
        <v>2200</v>
      </c>
      <c r="N923" t="str">
        <f>_xlfn.XLOOKUP(Orders[[#This Row],[CustomerID]],Customers[CustomerID],Customers[CustomerName])</f>
        <v>Tunde Danladi</v>
      </c>
      <c r="O923" t="str">
        <f>_xlfn.XLOOKUP(Orders[[#This Row],[CustomerID]],Customers[CustomerID],Customers[City])</f>
        <v>California</v>
      </c>
      <c r="P923" t="str">
        <f>_xlfn.XLOOKUP(Orders[[#This Row],[CustomerID]],Customers[CustomerID],Customers[Gender])</f>
        <v>Male</v>
      </c>
      <c r="Q923">
        <f>_xlfn.XLOOKUP(Orders[[#This Row],[CustomerID]],Customers[CustomerID],Customers[CustomerAge])</f>
        <v>40</v>
      </c>
      <c r="R923" t="str">
        <f>IF(Orders[[#This Row],[CustomerAge]]&gt;=35, "Older", "Young")</f>
        <v>Older</v>
      </c>
      <c r="S923" t="str">
        <f>_xlfn.XLOOKUP(Orders[[#This Row],[ProductID]],Products[ProductID],Products[ProductName])</f>
        <v>Yoga Mat</v>
      </c>
      <c r="T923" t="str">
        <f>_xlfn.XLOOKUP(Orders[[#This Row],[ProductID]],Products[ProductID],Products[Category])</f>
        <v>Gym</v>
      </c>
    </row>
    <row r="924" spans="1:20" x14ac:dyDescent="0.25">
      <c r="A924" s="4" t="s">
        <v>1113</v>
      </c>
      <c r="B924" s="5">
        <v>45995</v>
      </c>
      <c r="C924" s="15">
        <f>WEEKNUM(Orders[[#This Row],[OrderDate]])</f>
        <v>49</v>
      </c>
      <c r="D924" s="15" t="str">
        <f>TEXT(Orders[[#This Row],[OrderDate]],"mmmm")</f>
        <v>December</v>
      </c>
      <c r="E924" s="4" t="s">
        <v>524</v>
      </c>
      <c r="F924" s="4" t="s">
        <v>63</v>
      </c>
      <c r="G924" s="4">
        <v>6</v>
      </c>
      <c r="H924" s="12">
        <v>15304.300000000001</v>
      </c>
      <c r="I924" s="13">
        <v>13008.655000000001</v>
      </c>
      <c r="J924" s="13">
        <f>Orders[[#This Row],[Quantity]]*Orders[[#This Row],[Selling Price]]</f>
        <v>91825.8</v>
      </c>
      <c r="K924" s="13">
        <f>Orders[[#This Row],[Quantity]]*Orders[[#This Row],[Cost Price]]</f>
        <v>78051.930000000008</v>
      </c>
      <c r="L924" s="13">
        <f>Orders[[#This Row],[Revenue]]-Orders[[#This Row],[Expenses]]</f>
        <v>13773.869999999995</v>
      </c>
      <c r="M924" t="s">
        <v>2203</v>
      </c>
      <c r="N924" t="str">
        <f>_xlfn.XLOOKUP(Orders[[#This Row],[CustomerID]],Customers[CustomerID],Customers[CustomerName])</f>
        <v>Chinedu Igwe</v>
      </c>
      <c r="O924" t="str">
        <f>_xlfn.XLOOKUP(Orders[[#This Row],[CustomerID]],Customers[CustomerID],Customers[City])</f>
        <v>Florida</v>
      </c>
      <c r="P924" t="str">
        <f>_xlfn.XLOOKUP(Orders[[#This Row],[CustomerID]],Customers[CustomerID],Customers[Gender])</f>
        <v>Male</v>
      </c>
      <c r="Q924">
        <f>_xlfn.XLOOKUP(Orders[[#This Row],[CustomerID]],Customers[CustomerID],Customers[CustomerAge])</f>
        <v>21</v>
      </c>
      <c r="R924" t="str">
        <f>IF(Orders[[#This Row],[CustomerAge]]&gt;=35, "Older", "Young")</f>
        <v>Young</v>
      </c>
      <c r="S924" t="str">
        <f>_xlfn.XLOOKUP(Orders[[#This Row],[ProductID]],Products[ProductID],Products[ProductName])</f>
        <v>Tennis Bat</v>
      </c>
      <c r="T924" t="str">
        <f>_xlfn.XLOOKUP(Orders[[#This Row],[ProductID]],Products[ProductID],Products[Category])</f>
        <v>Sports</v>
      </c>
    </row>
    <row r="925" spans="1:20" x14ac:dyDescent="0.25">
      <c r="A925" s="4" t="s">
        <v>1114</v>
      </c>
      <c r="B925" s="5">
        <v>45979</v>
      </c>
      <c r="C925" s="15">
        <f>WEEKNUM(Orders[[#This Row],[OrderDate]])</f>
        <v>47</v>
      </c>
      <c r="D925" s="15" t="str">
        <f>TEXT(Orders[[#This Row],[OrderDate]],"mmmm")</f>
        <v>November</v>
      </c>
      <c r="E925" s="4" t="s">
        <v>517</v>
      </c>
      <c r="F925" s="4" t="s">
        <v>9</v>
      </c>
      <c r="G925" s="4">
        <v>5</v>
      </c>
      <c r="H925" s="12">
        <v>12575.699999999999</v>
      </c>
      <c r="I925" s="13">
        <v>10689.344999999999</v>
      </c>
      <c r="J925" s="13">
        <f>Orders[[#This Row],[Quantity]]*Orders[[#This Row],[Selling Price]]</f>
        <v>62878.499999999993</v>
      </c>
      <c r="K925" s="13">
        <f>Orders[[#This Row],[Quantity]]*Orders[[#This Row],[Cost Price]]</f>
        <v>53446.724999999999</v>
      </c>
      <c r="L925" s="13">
        <f>Orders[[#This Row],[Revenue]]-Orders[[#This Row],[Expenses]]</f>
        <v>9431.7749999999942</v>
      </c>
      <c r="M925" t="s">
        <v>2203</v>
      </c>
      <c r="N925" t="str">
        <f>_xlfn.XLOOKUP(Orders[[#This Row],[CustomerID]],Customers[CustomerID],Customers[CustomerName])</f>
        <v>Efe Adeyemi</v>
      </c>
      <c r="O925" t="str">
        <f>_xlfn.XLOOKUP(Orders[[#This Row],[CustomerID]],Customers[CustomerID],Customers[City])</f>
        <v>Florida</v>
      </c>
      <c r="P925" t="str">
        <f>_xlfn.XLOOKUP(Orders[[#This Row],[CustomerID]],Customers[CustomerID],Customers[Gender])</f>
        <v>Female</v>
      </c>
      <c r="Q925">
        <f>_xlfn.XLOOKUP(Orders[[#This Row],[CustomerID]],Customers[CustomerID],Customers[CustomerAge])</f>
        <v>25</v>
      </c>
      <c r="R925" t="str">
        <f>IF(Orders[[#This Row],[CustomerAge]]&gt;=35, "Older", "Young")</f>
        <v>Young</v>
      </c>
      <c r="S925" t="str">
        <f>_xlfn.XLOOKUP(Orders[[#This Row],[ProductID]],Products[ProductID],Products[ProductName])</f>
        <v>Beaded Earrings And Necklaces</v>
      </c>
      <c r="T925" t="str">
        <f>_xlfn.XLOOKUP(Orders[[#This Row],[ProductID]],Products[ProductID],Products[Category])</f>
        <v>Accessories</v>
      </c>
    </row>
    <row r="926" spans="1:20" x14ac:dyDescent="0.25">
      <c r="A926" s="4" t="s">
        <v>1115</v>
      </c>
      <c r="B926" s="5">
        <v>45993</v>
      </c>
      <c r="C926" s="15">
        <f>WEEKNUM(Orders[[#This Row],[OrderDate]])</f>
        <v>49</v>
      </c>
      <c r="D926" s="15" t="str">
        <f>TEXT(Orders[[#This Row],[OrderDate]],"mmmm")</f>
        <v>December</v>
      </c>
      <c r="E926" s="4" t="s">
        <v>546</v>
      </c>
      <c r="F926" s="4" t="s">
        <v>34</v>
      </c>
      <c r="G926" s="4">
        <v>6</v>
      </c>
      <c r="H926" s="12">
        <v>3900.7</v>
      </c>
      <c r="I926" s="13">
        <v>3315.5949999999998</v>
      </c>
      <c r="J926" s="13">
        <f>Orders[[#This Row],[Quantity]]*Orders[[#This Row],[Selling Price]]</f>
        <v>23404.199999999997</v>
      </c>
      <c r="K926" s="13">
        <f>Orders[[#This Row],[Quantity]]*Orders[[#This Row],[Cost Price]]</f>
        <v>19893.57</v>
      </c>
      <c r="L926" s="13">
        <f>Orders[[#This Row],[Revenue]]-Orders[[#This Row],[Expenses]]</f>
        <v>3510.6299999999974</v>
      </c>
      <c r="M926" t="s">
        <v>2199</v>
      </c>
      <c r="N926" t="str">
        <f>_xlfn.XLOOKUP(Orders[[#This Row],[CustomerID]],Customers[CustomerID],Customers[CustomerName])</f>
        <v>Bisi Eze</v>
      </c>
      <c r="O926" t="str">
        <f>_xlfn.XLOOKUP(Orders[[#This Row],[CustomerID]],Customers[CustomerID],Customers[City])</f>
        <v>Texas</v>
      </c>
      <c r="P926" t="str">
        <f>_xlfn.XLOOKUP(Orders[[#This Row],[CustomerID]],Customers[CustomerID],Customers[Gender])</f>
        <v>Female</v>
      </c>
      <c r="Q926">
        <f>_xlfn.XLOOKUP(Orders[[#This Row],[CustomerID]],Customers[CustomerID],Customers[CustomerAge])</f>
        <v>32</v>
      </c>
      <c r="R926" t="str">
        <f>IF(Orders[[#This Row],[CustomerAge]]&gt;=35, "Older", "Young")</f>
        <v>Young</v>
      </c>
      <c r="S926" t="str">
        <f>_xlfn.XLOOKUP(Orders[[#This Row],[ProductID]],Products[ProductID],Products[ProductName])</f>
        <v>Gold Bracelets</v>
      </c>
      <c r="T926" t="str">
        <f>_xlfn.XLOOKUP(Orders[[#This Row],[ProductID]],Products[ProductID],Products[Category])</f>
        <v>Accessories</v>
      </c>
    </row>
    <row r="927" spans="1:20" x14ac:dyDescent="0.25">
      <c r="A927" s="4" t="s">
        <v>1116</v>
      </c>
      <c r="B927" s="5">
        <v>46013</v>
      </c>
      <c r="C927" s="15">
        <f>WEEKNUM(Orders[[#This Row],[OrderDate]])</f>
        <v>52</v>
      </c>
      <c r="D927" s="15" t="str">
        <f>TEXT(Orders[[#This Row],[OrderDate]],"mmmm")</f>
        <v>December</v>
      </c>
      <c r="E927" s="4" t="s">
        <v>239</v>
      </c>
      <c r="F927" s="4" t="s">
        <v>92</v>
      </c>
      <c r="G927" s="4">
        <v>9</v>
      </c>
      <c r="H927" s="12">
        <v>19464.7</v>
      </c>
      <c r="I927" s="13">
        <v>16544.995000000003</v>
      </c>
      <c r="J927" s="13">
        <f>Orders[[#This Row],[Quantity]]*Orders[[#This Row],[Selling Price]]</f>
        <v>175182.30000000002</v>
      </c>
      <c r="K927" s="13">
        <f>Orders[[#This Row],[Quantity]]*Orders[[#This Row],[Cost Price]]</f>
        <v>148904.95500000002</v>
      </c>
      <c r="L927" s="13">
        <f>Orders[[#This Row],[Revenue]]-Orders[[#This Row],[Expenses]]</f>
        <v>26277.345000000001</v>
      </c>
      <c r="M927" t="s">
        <v>2218</v>
      </c>
      <c r="N927" t="str">
        <f>_xlfn.XLOOKUP(Orders[[#This Row],[CustomerID]],Customers[CustomerID],Customers[CustomerName])</f>
        <v>Emeka Danladi</v>
      </c>
      <c r="O927" t="str">
        <f>_xlfn.XLOOKUP(Orders[[#This Row],[CustomerID]],Customers[CustomerID],Customers[City])</f>
        <v>Florida</v>
      </c>
      <c r="P927" t="str">
        <f>_xlfn.XLOOKUP(Orders[[#This Row],[CustomerID]],Customers[CustomerID],Customers[Gender])</f>
        <v>Male</v>
      </c>
      <c r="Q927">
        <f>_xlfn.XLOOKUP(Orders[[#This Row],[CustomerID]],Customers[CustomerID],Customers[CustomerAge])</f>
        <v>23</v>
      </c>
      <c r="R927" t="str">
        <f>IF(Orders[[#This Row],[CustomerAge]]&gt;=35, "Older", "Young")</f>
        <v>Young</v>
      </c>
      <c r="S927" t="str">
        <f>_xlfn.XLOOKUP(Orders[[#This Row],[ProductID]],Products[ProductID],Products[ProductName])</f>
        <v>Chest Expander</v>
      </c>
      <c r="T927" t="str">
        <f>_xlfn.XLOOKUP(Orders[[#This Row],[ProductID]],Products[ProductID],Products[Category])</f>
        <v>Gym</v>
      </c>
    </row>
    <row r="928" spans="1:20" x14ac:dyDescent="0.25">
      <c r="A928" s="4" t="s">
        <v>1117</v>
      </c>
      <c r="B928" s="5">
        <v>45959</v>
      </c>
      <c r="C928" s="15">
        <f>WEEKNUM(Orders[[#This Row],[OrderDate]])</f>
        <v>44</v>
      </c>
      <c r="D928" s="15" t="str">
        <f>TEXT(Orders[[#This Row],[OrderDate]],"mmmm")</f>
        <v>October</v>
      </c>
      <c r="E928" s="4" t="s">
        <v>33</v>
      </c>
      <c r="F928" s="4" t="s">
        <v>25</v>
      </c>
      <c r="G928" s="4">
        <v>6</v>
      </c>
      <c r="H928" s="12">
        <v>17328.699999999997</v>
      </c>
      <c r="I928" s="13">
        <v>14729.394999999997</v>
      </c>
      <c r="J928" s="13">
        <f>Orders[[#This Row],[Quantity]]*Orders[[#This Row],[Selling Price]]</f>
        <v>103972.19999999998</v>
      </c>
      <c r="K928" s="13">
        <f>Orders[[#This Row],[Quantity]]*Orders[[#This Row],[Cost Price]]</f>
        <v>88376.369999999981</v>
      </c>
      <c r="L928" s="13">
        <f>Orders[[#This Row],[Revenue]]-Orders[[#This Row],[Expenses]]</f>
        <v>15595.830000000002</v>
      </c>
      <c r="M928" t="s">
        <v>2208</v>
      </c>
      <c r="N928" t="str">
        <f>_xlfn.XLOOKUP(Orders[[#This Row],[CustomerID]],Customers[CustomerID],Customers[CustomerName])</f>
        <v>Okon Balogun</v>
      </c>
      <c r="O928" t="str">
        <f>_xlfn.XLOOKUP(Orders[[#This Row],[CustomerID]],Customers[CustomerID],Customers[City])</f>
        <v>Texas</v>
      </c>
      <c r="P928" t="str">
        <f>_xlfn.XLOOKUP(Orders[[#This Row],[CustomerID]],Customers[CustomerID],Customers[Gender])</f>
        <v>Male</v>
      </c>
      <c r="Q928">
        <f>_xlfn.XLOOKUP(Orders[[#This Row],[CustomerID]],Customers[CustomerID],Customers[CustomerAge])</f>
        <v>28</v>
      </c>
      <c r="R928" t="str">
        <f>IF(Orders[[#This Row],[CustomerAge]]&gt;=35, "Older", "Young")</f>
        <v>Young</v>
      </c>
      <c r="S928" t="str">
        <f>_xlfn.XLOOKUP(Orders[[#This Row],[ProductID]],Products[ProductID],Products[ProductName])</f>
        <v>Gold Rings</v>
      </c>
      <c r="T928" t="str">
        <f>_xlfn.XLOOKUP(Orders[[#This Row],[ProductID]],Products[ProductID],Products[Category])</f>
        <v>Accessories</v>
      </c>
    </row>
    <row r="929" spans="1:20" x14ac:dyDescent="0.25">
      <c r="A929" s="4" t="s">
        <v>1118</v>
      </c>
      <c r="B929" s="5">
        <v>45934</v>
      </c>
      <c r="C929" s="15">
        <f>WEEKNUM(Orders[[#This Row],[OrderDate]])</f>
        <v>40</v>
      </c>
      <c r="D929" s="15" t="str">
        <f>TEXT(Orders[[#This Row],[OrderDate]],"mmmm")</f>
        <v>October</v>
      </c>
      <c r="E929" s="4" t="s">
        <v>198</v>
      </c>
      <c r="F929" s="4" t="s">
        <v>125</v>
      </c>
      <c r="G929" s="4">
        <v>9</v>
      </c>
      <c r="H929" s="12">
        <v>3051.3999999999996</v>
      </c>
      <c r="I929" s="13">
        <v>2593.6899999999996</v>
      </c>
      <c r="J929" s="13">
        <f>Orders[[#This Row],[Quantity]]*Orders[[#This Row],[Selling Price]]</f>
        <v>27462.6</v>
      </c>
      <c r="K929" s="13">
        <f>Orders[[#This Row],[Quantity]]*Orders[[#This Row],[Cost Price]]</f>
        <v>23343.209999999995</v>
      </c>
      <c r="L929" s="13">
        <f>Orders[[#This Row],[Revenue]]-Orders[[#This Row],[Expenses]]</f>
        <v>4119.3900000000031</v>
      </c>
      <c r="M929" t="s">
        <v>2198</v>
      </c>
      <c r="N929" t="str">
        <f>_xlfn.XLOOKUP(Orders[[#This Row],[CustomerID]],Customers[CustomerID],Customers[CustomerName])</f>
        <v>Blessing Danladi</v>
      </c>
      <c r="O929" t="str">
        <f>_xlfn.XLOOKUP(Orders[[#This Row],[CustomerID]],Customers[CustomerID],Customers[City])</f>
        <v>Texas</v>
      </c>
      <c r="P929" t="str">
        <f>_xlfn.XLOOKUP(Orders[[#This Row],[CustomerID]],Customers[CustomerID],Customers[Gender])</f>
        <v>Female</v>
      </c>
      <c r="Q929">
        <f>_xlfn.XLOOKUP(Orders[[#This Row],[CustomerID]],Customers[CustomerID],Customers[CustomerAge])</f>
        <v>19</v>
      </c>
      <c r="R929" t="str">
        <f>IF(Orders[[#This Row],[CustomerAge]]&gt;=35, "Older", "Young")</f>
        <v>Young</v>
      </c>
      <c r="S929" t="str">
        <f>_xlfn.XLOOKUP(Orders[[#This Row],[ProductID]],Products[ProductID],Products[ProductName])</f>
        <v>Earrings</v>
      </c>
      <c r="T929" t="str">
        <f>_xlfn.XLOOKUP(Orders[[#This Row],[ProductID]],Products[ProductID],Products[Category])</f>
        <v>Accessories</v>
      </c>
    </row>
    <row r="930" spans="1:20" x14ac:dyDescent="0.25">
      <c r="A930" s="4" t="s">
        <v>1119</v>
      </c>
      <c r="B930" s="5">
        <v>45992</v>
      </c>
      <c r="C930" s="15">
        <f>WEEKNUM(Orders[[#This Row],[OrderDate]])</f>
        <v>49</v>
      </c>
      <c r="D930" s="15" t="str">
        <f>TEXT(Orders[[#This Row],[OrderDate]],"mmmm")</f>
        <v>December</v>
      </c>
      <c r="E930" s="4" t="s">
        <v>374</v>
      </c>
      <c r="F930" s="4" t="s">
        <v>31</v>
      </c>
      <c r="G930" s="4">
        <v>8</v>
      </c>
      <c r="H930" s="12">
        <v>2786.3</v>
      </c>
      <c r="I930" s="13">
        <v>2368.355</v>
      </c>
      <c r="J930" s="13">
        <f>Orders[[#This Row],[Quantity]]*Orders[[#This Row],[Selling Price]]</f>
        <v>22290.400000000001</v>
      </c>
      <c r="K930" s="13">
        <f>Orders[[#This Row],[Quantity]]*Orders[[#This Row],[Cost Price]]</f>
        <v>18946.84</v>
      </c>
      <c r="L930" s="13">
        <f>Orders[[#This Row],[Revenue]]-Orders[[#This Row],[Expenses]]</f>
        <v>3343.5600000000013</v>
      </c>
      <c r="M930" t="s">
        <v>2195</v>
      </c>
      <c r="N930" t="str">
        <f>_xlfn.XLOOKUP(Orders[[#This Row],[CustomerID]],Customers[CustomerID],Customers[CustomerName])</f>
        <v>Uche Okonkwo</v>
      </c>
      <c r="O930" t="str">
        <f>_xlfn.XLOOKUP(Orders[[#This Row],[CustomerID]],Customers[CustomerID],Customers[City])</f>
        <v>Texas</v>
      </c>
      <c r="P930" t="str">
        <f>_xlfn.XLOOKUP(Orders[[#This Row],[CustomerID]],Customers[CustomerID],Customers[Gender])</f>
        <v>Male</v>
      </c>
      <c r="Q930">
        <f>_xlfn.XLOOKUP(Orders[[#This Row],[CustomerID]],Customers[CustomerID],Customers[CustomerAge])</f>
        <v>27</v>
      </c>
      <c r="R930" t="str">
        <f>IF(Orders[[#This Row],[CustomerAge]]&gt;=35, "Older", "Young")</f>
        <v>Young</v>
      </c>
      <c r="S930" t="str">
        <f>_xlfn.XLOOKUP(Orders[[#This Row],[ProductID]],Products[ProductID],Products[ProductName])</f>
        <v>Kids Games</v>
      </c>
      <c r="T930" t="str">
        <f>_xlfn.XLOOKUP(Orders[[#This Row],[ProductID]],Products[ProductID],Products[Category])</f>
        <v>Games</v>
      </c>
    </row>
    <row r="931" spans="1:20" x14ac:dyDescent="0.25">
      <c r="A931" s="4" t="s">
        <v>1120</v>
      </c>
      <c r="B931" s="5">
        <v>45931</v>
      </c>
      <c r="C931" s="15">
        <f>WEEKNUM(Orders[[#This Row],[OrderDate]])</f>
        <v>40</v>
      </c>
      <c r="D931" s="15" t="str">
        <f>TEXT(Orders[[#This Row],[OrderDate]],"mmmm")</f>
        <v>October</v>
      </c>
      <c r="E931" s="4" t="s">
        <v>48</v>
      </c>
      <c r="F931" s="4" t="s">
        <v>120</v>
      </c>
      <c r="G931" s="4">
        <v>8</v>
      </c>
      <c r="H931" s="12">
        <v>18932.400000000001</v>
      </c>
      <c r="I931" s="13">
        <v>16092.54</v>
      </c>
      <c r="J931" s="13">
        <f>Orders[[#This Row],[Quantity]]*Orders[[#This Row],[Selling Price]]</f>
        <v>151459.20000000001</v>
      </c>
      <c r="K931" s="13">
        <f>Orders[[#This Row],[Quantity]]*Orders[[#This Row],[Cost Price]]</f>
        <v>128740.32</v>
      </c>
      <c r="L931" s="13">
        <f>Orders[[#This Row],[Revenue]]-Orders[[#This Row],[Expenses]]</f>
        <v>22718.880000000005</v>
      </c>
      <c r="M931" t="s">
        <v>2208</v>
      </c>
      <c r="N931" t="str">
        <f>_xlfn.XLOOKUP(Orders[[#This Row],[CustomerID]],Customers[CustomerID],Customers[CustomerName])</f>
        <v>Mustafa Obi</v>
      </c>
      <c r="O931" t="str">
        <f>_xlfn.XLOOKUP(Orders[[#This Row],[CustomerID]],Customers[CustomerID],Customers[City])</f>
        <v>California</v>
      </c>
      <c r="P931" t="str">
        <f>_xlfn.XLOOKUP(Orders[[#This Row],[CustomerID]],Customers[CustomerID],Customers[Gender])</f>
        <v>Male</v>
      </c>
      <c r="Q931">
        <f>_xlfn.XLOOKUP(Orders[[#This Row],[CustomerID]],Customers[CustomerID],Customers[CustomerAge])</f>
        <v>23</v>
      </c>
      <c r="R931" t="str">
        <f>IF(Orders[[#This Row],[CustomerAge]]&gt;=35, "Older", "Young")</f>
        <v>Young</v>
      </c>
      <c r="S931" t="str">
        <f>_xlfn.XLOOKUP(Orders[[#This Row],[ProductID]],Products[ProductID],Products[ProductName])</f>
        <v>Chess</v>
      </c>
      <c r="T931" t="str">
        <f>_xlfn.XLOOKUP(Orders[[#This Row],[ProductID]],Products[ProductID],Products[Category])</f>
        <v>Games</v>
      </c>
    </row>
    <row r="932" spans="1:20" x14ac:dyDescent="0.25">
      <c r="A932" s="4" t="s">
        <v>1121</v>
      </c>
      <c r="B932" s="5">
        <v>45936</v>
      </c>
      <c r="C932" s="15">
        <f>WEEKNUM(Orders[[#This Row],[OrderDate]])</f>
        <v>41</v>
      </c>
      <c r="D932" s="15" t="str">
        <f>TEXT(Orders[[#This Row],[OrderDate]],"mmmm")</f>
        <v>October</v>
      </c>
      <c r="E932" s="4" t="s">
        <v>75</v>
      </c>
      <c r="F932" s="4" t="s">
        <v>34</v>
      </c>
      <c r="G932" s="4">
        <v>8</v>
      </c>
      <c r="H932" s="12">
        <v>16414.3</v>
      </c>
      <c r="I932" s="13">
        <v>13952.154999999999</v>
      </c>
      <c r="J932" s="13">
        <f>Orders[[#This Row],[Quantity]]*Orders[[#This Row],[Selling Price]]</f>
        <v>131314.4</v>
      </c>
      <c r="K932" s="13">
        <f>Orders[[#This Row],[Quantity]]*Orders[[#This Row],[Cost Price]]</f>
        <v>111617.23999999999</v>
      </c>
      <c r="L932" s="13">
        <f>Orders[[#This Row],[Revenue]]-Orders[[#This Row],[Expenses]]</f>
        <v>19697.160000000003</v>
      </c>
      <c r="M932" t="s">
        <v>2198</v>
      </c>
      <c r="N932" t="str">
        <f>_xlfn.XLOOKUP(Orders[[#This Row],[CustomerID]],Customers[CustomerID],Customers[CustomerName])</f>
        <v>Tunde Danladi</v>
      </c>
      <c r="O932" t="str">
        <f>_xlfn.XLOOKUP(Orders[[#This Row],[CustomerID]],Customers[CustomerID],Customers[City])</f>
        <v>Texas</v>
      </c>
      <c r="P932" t="str">
        <f>_xlfn.XLOOKUP(Orders[[#This Row],[CustomerID]],Customers[CustomerID],Customers[Gender])</f>
        <v>Male</v>
      </c>
      <c r="Q932">
        <f>_xlfn.XLOOKUP(Orders[[#This Row],[CustomerID]],Customers[CustomerID],Customers[CustomerAge])</f>
        <v>47</v>
      </c>
      <c r="R932" t="str">
        <f>IF(Orders[[#This Row],[CustomerAge]]&gt;=35, "Older", "Young")</f>
        <v>Older</v>
      </c>
      <c r="S932" t="str">
        <f>_xlfn.XLOOKUP(Orders[[#This Row],[ProductID]],Products[ProductID],Products[ProductName])</f>
        <v>Gold Bracelets</v>
      </c>
      <c r="T932" t="str">
        <f>_xlfn.XLOOKUP(Orders[[#This Row],[ProductID]],Products[ProductID],Products[Category])</f>
        <v>Accessories</v>
      </c>
    </row>
    <row r="933" spans="1:20" x14ac:dyDescent="0.25">
      <c r="A933" s="4" t="s">
        <v>1122</v>
      </c>
      <c r="B933" s="5">
        <v>45983</v>
      </c>
      <c r="C933" s="15">
        <f>WEEKNUM(Orders[[#This Row],[OrderDate]])</f>
        <v>47</v>
      </c>
      <c r="D933" s="15" t="str">
        <f>TEXT(Orders[[#This Row],[OrderDate]],"mmmm")</f>
        <v>November</v>
      </c>
      <c r="E933" s="4" t="s">
        <v>227</v>
      </c>
      <c r="F933" s="4" t="s">
        <v>120</v>
      </c>
      <c r="G933" s="4">
        <v>4</v>
      </c>
      <c r="H933" s="12">
        <v>3607.2000000000003</v>
      </c>
      <c r="I933" s="13">
        <v>3066.1200000000003</v>
      </c>
      <c r="J933" s="13">
        <f>Orders[[#This Row],[Quantity]]*Orders[[#This Row],[Selling Price]]</f>
        <v>14428.800000000001</v>
      </c>
      <c r="K933" s="13">
        <f>Orders[[#This Row],[Quantity]]*Orders[[#This Row],[Cost Price]]</f>
        <v>12264.480000000001</v>
      </c>
      <c r="L933" s="13">
        <f>Orders[[#This Row],[Revenue]]-Orders[[#This Row],[Expenses]]</f>
        <v>2164.3199999999997</v>
      </c>
      <c r="M933" t="s">
        <v>2208</v>
      </c>
      <c r="N933" t="str">
        <f>_xlfn.XLOOKUP(Orders[[#This Row],[CustomerID]],Customers[CustomerID],Customers[CustomerName])</f>
        <v>Emmanuel Victor</v>
      </c>
      <c r="O933" t="str">
        <f>_xlfn.XLOOKUP(Orders[[#This Row],[CustomerID]],Customers[CustomerID],Customers[City])</f>
        <v>Washington</v>
      </c>
      <c r="P933" t="str">
        <f>_xlfn.XLOOKUP(Orders[[#This Row],[CustomerID]],Customers[CustomerID],Customers[Gender])</f>
        <v>Male</v>
      </c>
      <c r="Q933">
        <f>_xlfn.XLOOKUP(Orders[[#This Row],[CustomerID]],Customers[CustomerID],Customers[CustomerAge])</f>
        <v>35</v>
      </c>
      <c r="R933" t="str">
        <f>IF(Orders[[#This Row],[CustomerAge]]&gt;=35, "Older", "Young")</f>
        <v>Older</v>
      </c>
      <c r="S933" t="str">
        <f>_xlfn.XLOOKUP(Orders[[#This Row],[ProductID]],Products[ProductID],Products[ProductName])</f>
        <v>Chess</v>
      </c>
      <c r="T933" t="str">
        <f>_xlfn.XLOOKUP(Orders[[#This Row],[ProductID]],Products[ProductID],Products[Category])</f>
        <v>Games</v>
      </c>
    </row>
    <row r="934" spans="1:20" x14ac:dyDescent="0.25">
      <c r="A934" s="4" t="s">
        <v>1123</v>
      </c>
      <c r="B934" s="5">
        <v>45959</v>
      </c>
      <c r="C934" s="15">
        <f>WEEKNUM(Orders[[#This Row],[OrderDate]])</f>
        <v>44</v>
      </c>
      <c r="D934" s="15" t="str">
        <f>TEXT(Orders[[#This Row],[OrderDate]],"mmmm")</f>
        <v>October</v>
      </c>
      <c r="E934" s="4" t="s">
        <v>132</v>
      </c>
      <c r="F934" s="4" t="s">
        <v>70</v>
      </c>
      <c r="G934" s="4">
        <v>4</v>
      </c>
      <c r="H934" s="12">
        <v>2124.5</v>
      </c>
      <c r="I934" s="13">
        <v>1805.825</v>
      </c>
      <c r="J934" s="13">
        <f>Orders[[#This Row],[Quantity]]*Orders[[#This Row],[Selling Price]]</f>
        <v>8498</v>
      </c>
      <c r="K934" s="13">
        <f>Orders[[#This Row],[Quantity]]*Orders[[#This Row],[Cost Price]]</f>
        <v>7223.3</v>
      </c>
      <c r="L934" s="13">
        <f>Orders[[#This Row],[Revenue]]-Orders[[#This Row],[Expenses]]</f>
        <v>1274.6999999999998</v>
      </c>
      <c r="M934" t="s">
        <v>2201</v>
      </c>
      <c r="N934" t="str">
        <f>_xlfn.XLOOKUP(Orders[[#This Row],[CustomerID]],Customers[CustomerID],Customers[CustomerName])</f>
        <v>Emeka Balogun</v>
      </c>
      <c r="O934" t="str">
        <f>_xlfn.XLOOKUP(Orders[[#This Row],[CustomerID]],Customers[CustomerID],Customers[City])</f>
        <v>Illinois</v>
      </c>
      <c r="P934" t="str">
        <f>_xlfn.XLOOKUP(Orders[[#This Row],[CustomerID]],Customers[CustomerID],Customers[Gender])</f>
        <v>Male</v>
      </c>
      <c r="Q934">
        <f>_xlfn.XLOOKUP(Orders[[#This Row],[CustomerID]],Customers[CustomerID],Customers[CustomerAge])</f>
        <v>36</v>
      </c>
      <c r="R934" t="str">
        <f>IF(Orders[[#This Row],[CustomerAge]]&gt;=35, "Older", "Young")</f>
        <v>Older</v>
      </c>
      <c r="S934" t="str">
        <f>_xlfn.XLOOKUP(Orders[[#This Row],[ProductID]],Products[ProductID],Products[ProductName])</f>
        <v>Yoga Mat</v>
      </c>
      <c r="T934" t="str">
        <f>_xlfn.XLOOKUP(Orders[[#This Row],[ProductID]],Products[ProductID],Products[Category])</f>
        <v>Gym</v>
      </c>
    </row>
    <row r="935" spans="1:20" x14ac:dyDescent="0.25">
      <c r="A935" s="4" t="s">
        <v>1124</v>
      </c>
      <c r="B935" s="5">
        <v>45943</v>
      </c>
      <c r="C935" s="15">
        <f>WEEKNUM(Orders[[#This Row],[OrderDate]])</f>
        <v>42</v>
      </c>
      <c r="D935" s="15" t="str">
        <f>TEXT(Orders[[#This Row],[OrderDate]],"mmmm")</f>
        <v>October</v>
      </c>
      <c r="E935" s="4" t="s">
        <v>198</v>
      </c>
      <c r="F935" s="4" t="s">
        <v>25</v>
      </c>
      <c r="G935" s="4">
        <v>7</v>
      </c>
      <c r="H935" s="12">
        <v>10191.200000000001</v>
      </c>
      <c r="I935" s="13">
        <v>8662.52</v>
      </c>
      <c r="J935" s="13">
        <f>Orders[[#This Row],[Quantity]]*Orders[[#This Row],[Selling Price]]</f>
        <v>71338.400000000009</v>
      </c>
      <c r="K935" s="13">
        <f>Orders[[#This Row],[Quantity]]*Orders[[#This Row],[Cost Price]]</f>
        <v>60637.64</v>
      </c>
      <c r="L935" s="13">
        <f>Orders[[#This Row],[Revenue]]-Orders[[#This Row],[Expenses]]</f>
        <v>10700.760000000009</v>
      </c>
      <c r="M935" t="s">
        <v>2213</v>
      </c>
      <c r="N935" t="str">
        <f>_xlfn.XLOOKUP(Orders[[#This Row],[CustomerID]],Customers[CustomerID],Customers[CustomerName])</f>
        <v>Blessing Danladi</v>
      </c>
      <c r="O935" t="str">
        <f>_xlfn.XLOOKUP(Orders[[#This Row],[CustomerID]],Customers[CustomerID],Customers[City])</f>
        <v>Texas</v>
      </c>
      <c r="P935" t="str">
        <f>_xlfn.XLOOKUP(Orders[[#This Row],[CustomerID]],Customers[CustomerID],Customers[Gender])</f>
        <v>Female</v>
      </c>
      <c r="Q935">
        <f>_xlfn.XLOOKUP(Orders[[#This Row],[CustomerID]],Customers[CustomerID],Customers[CustomerAge])</f>
        <v>19</v>
      </c>
      <c r="R935" t="str">
        <f>IF(Orders[[#This Row],[CustomerAge]]&gt;=35, "Older", "Young")</f>
        <v>Young</v>
      </c>
      <c r="S935" t="str">
        <f>_xlfn.XLOOKUP(Orders[[#This Row],[ProductID]],Products[ProductID],Products[ProductName])</f>
        <v>Gold Rings</v>
      </c>
      <c r="T935" t="str">
        <f>_xlfn.XLOOKUP(Orders[[#This Row],[ProductID]],Products[ProductID],Products[Category])</f>
        <v>Accessories</v>
      </c>
    </row>
    <row r="936" spans="1:20" x14ac:dyDescent="0.25">
      <c r="A936" s="4" t="s">
        <v>1125</v>
      </c>
      <c r="B936" s="5">
        <v>45963</v>
      </c>
      <c r="C936" s="15">
        <f>WEEKNUM(Orders[[#This Row],[OrderDate]])</f>
        <v>45</v>
      </c>
      <c r="D936" s="15" t="str">
        <f>TEXT(Orders[[#This Row],[OrderDate]],"mmmm")</f>
        <v>November</v>
      </c>
      <c r="E936" s="4" t="s">
        <v>340</v>
      </c>
      <c r="F936" s="4" t="s">
        <v>84</v>
      </c>
      <c r="G936" s="4">
        <v>8</v>
      </c>
      <c r="H936" s="12">
        <v>14698.5</v>
      </c>
      <c r="I936" s="13">
        <v>12493.725</v>
      </c>
      <c r="J936" s="13">
        <f>Orders[[#This Row],[Quantity]]*Orders[[#This Row],[Selling Price]]</f>
        <v>117588</v>
      </c>
      <c r="K936" s="13">
        <f>Orders[[#This Row],[Quantity]]*Orders[[#This Row],[Cost Price]]</f>
        <v>99949.8</v>
      </c>
      <c r="L936" s="13">
        <f>Orders[[#This Row],[Revenue]]-Orders[[#This Row],[Expenses]]</f>
        <v>17638.199999999997</v>
      </c>
      <c r="M936" t="s">
        <v>2199</v>
      </c>
      <c r="N936" t="str">
        <f>_xlfn.XLOOKUP(Orders[[#This Row],[CustomerID]],Customers[CustomerID],Customers[CustomerName])</f>
        <v>Uche Abubakar</v>
      </c>
      <c r="O936" t="str">
        <f>_xlfn.XLOOKUP(Orders[[#This Row],[CustomerID]],Customers[CustomerID],Customers[City])</f>
        <v>Illinois</v>
      </c>
      <c r="P936" t="str">
        <f>_xlfn.XLOOKUP(Orders[[#This Row],[CustomerID]],Customers[CustomerID],Customers[Gender])</f>
        <v>Male</v>
      </c>
      <c r="Q936">
        <f>_xlfn.XLOOKUP(Orders[[#This Row],[CustomerID]],Customers[CustomerID],Customers[CustomerAge])</f>
        <v>18</v>
      </c>
      <c r="R936" t="str">
        <f>IF(Orders[[#This Row],[CustomerAge]]&gt;=35, "Older", "Young")</f>
        <v>Young</v>
      </c>
      <c r="S936" t="str">
        <f>_xlfn.XLOOKUP(Orders[[#This Row],[ProductID]],Products[ProductID],Products[ProductName])</f>
        <v>Gym Wears</v>
      </c>
      <c r="T936" t="str">
        <f>_xlfn.XLOOKUP(Orders[[#This Row],[ProductID]],Products[ProductID],Products[Category])</f>
        <v>Clothing</v>
      </c>
    </row>
    <row r="937" spans="1:20" x14ac:dyDescent="0.25">
      <c r="A937" s="4" t="s">
        <v>1126</v>
      </c>
      <c r="B937" s="5">
        <v>45966</v>
      </c>
      <c r="C937" s="15">
        <f>WEEKNUM(Orders[[#This Row],[OrderDate]])</f>
        <v>45</v>
      </c>
      <c r="D937" s="15" t="str">
        <f>TEXT(Orders[[#This Row],[OrderDate]],"mmmm")</f>
        <v>November</v>
      </c>
      <c r="E937" s="4" t="s">
        <v>346</v>
      </c>
      <c r="F937" s="4" t="s">
        <v>353</v>
      </c>
      <c r="G937" s="4">
        <v>1</v>
      </c>
      <c r="H937" s="12">
        <v>866.1</v>
      </c>
      <c r="I937" s="13">
        <v>736.18500000000006</v>
      </c>
      <c r="J937" s="13">
        <f>Orders[[#This Row],[Quantity]]*Orders[[#This Row],[Selling Price]]</f>
        <v>866.1</v>
      </c>
      <c r="K937" s="13">
        <f>Orders[[#This Row],[Quantity]]*Orders[[#This Row],[Cost Price]]</f>
        <v>736.18500000000006</v>
      </c>
      <c r="L937" s="13">
        <f>Orders[[#This Row],[Revenue]]-Orders[[#This Row],[Expenses]]</f>
        <v>129.91499999999996</v>
      </c>
      <c r="M937" t="s">
        <v>2213</v>
      </c>
      <c r="N937" t="str">
        <f>_xlfn.XLOOKUP(Orders[[#This Row],[CustomerID]],Customers[CustomerID],Customers[CustomerName])</f>
        <v>Ngozi Danladi</v>
      </c>
      <c r="O937" t="str">
        <f>_xlfn.XLOOKUP(Orders[[#This Row],[CustomerID]],Customers[CustomerID],Customers[City])</f>
        <v>California</v>
      </c>
      <c r="P937" t="str">
        <f>_xlfn.XLOOKUP(Orders[[#This Row],[CustomerID]],Customers[CustomerID],Customers[Gender])</f>
        <v>Female</v>
      </c>
      <c r="Q937">
        <f>_xlfn.XLOOKUP(Orders[[#This Row],[CustomerID]],Customers[CustomerID],Customers[CustomerAge])</f>
        <v>30</v>
      </c>
      <c r="R937" t="str">
        <f>IF(Orders[[#This Row],[CustomerAge]]&gt;=35, "Older", "Young")</f>
        <v>Young</v>
      </c>
      <c r="S937" t="str">
        <f>_xlfn.XLOOKUP(Orders[[#This Row],[ProductID]],Products[ProductID],Products[ProductName])</f>
        <v>Silver Earrings And Necklaces</v>
      </c>
      <c r="T937" t="str">
        <f>_xlfn.XLOOKUP(Orders[[#This Row],[ProductID]],Products[ProductID],Products[Category])</f>
        <v>Accessories</v>
      </c>
    </row>
    <row r="938" spans="1:20" x14ac:dyDescent="0.25">
      <c r="A938" s="4" t="s">
        <v>1127</v>
      </c>
      <c r="B938" s="5">
        <v>45981</v>
      </c>
      <c r="C938" s="15">
        <f>WEEKNUM(Orders[[#This Row],[OrderDate]])</f>
        <v>47</v>
      </c>
      <c r="D938" s="15" t="str">
        <f>TEXT(Orders[[#This Row],[OrderDate]],"mmmm")</f>
        <v>November</v>
      </c>
      <c r="E938" s="4" t="s">
        <v>14</v>
      </c>
      <c r="F938" s="4" t="s">
        <v>23</v>
      </c>
      <c r="G938" s="4">
        <v>7</v>
      </c>
      <c r="H938" s="12">
        <v>14248.800000000001</v>
      </c>
      <c r="I938" s="13">
        <v>12111.480000000001</v>
      </c>
      <c r="J938" s="13">
        <f>Orders[[#This Row],[Quantity]]*Orders[[#This Row],[Selling Price]]</f>
        <v>99741.6</v>
      </c>
      <c r="K938" s="13">
        <f>Orders[[#This Row],[Quantity]]*Orders[[#This Row],[Cost Price]]</f>
        <v>84780.360000000015</v>
      </c>
      <c r="L938" s="13">
        <f>Orders[[#This Row],[Revenue]]-Orders[[#This Row],[Expenses]]</f>
        <v>14961.239999999991</v>
      </c>
      <c r="M938" t="s">
        <v>2213</v>
      </c>
      <c r="N938" t="str">
        <f>_xlfn.XLOOKUP(Orders[[#This Row],[CustomerID]],Customers[CustomerID],Customers[CustomerName])</f>
        <v>Abiola Igwe</v>
      </c>
      <c r="O938" t="str">
        <f>_xlfn.XLOOKUP(Orders[[#This Row],[CustomerID]],Customers[CustomerID],Customers[City])</f>
        <v>Texas</v>
      </c>
      <c r="P938" t="str">
        <f>_xlfn.XLOOKUP(Orders[[#This Row],[CustomerID]],Customers[CustomerID],Customers[Gender])</f>
        <v>Male</v>
      </c>
      <c r="Q938">
        <f>_xlfn.XLOOKUP(Orders[[#This Row],[CustomerID]],Customers[CustomerID],Customers[CustomerAge])</f>
        <v>39</v>
      </c>
      <c r="R938" t="str">
        <f>IF(Orders[[#This Row],[CustomerAge]]&gt;=35, "Older", "Young")</f>
        <v>Older</v>
      </c>
      <c r="S938" t="str">
        <f>_xlfn.XLOOKUP(Orders[[#This Row],[ProductID]],Products[ProductID],Products[ProductName])</f>
        <v>Gym Gloves</v>
      </c>
      <c r="T938" t="str">
        <f>_xlfn.XLOOKUP(Orders[[#This Row],[ProductID]],Products[ProductID],Products[Category])</f>
        <v>Gym</v>
      </c>
    </row>
    <row r="939" spans="1:20" x14ac:dyDescent="0.25">
      <c r="A939" s="4" t="s">
        <v>1128</v>
      </c>
      <c r="B939" s="5">
        <v>45967</v>
      </c>
      <c r="C939" s="15">
        <f>WEEKNUM(Orders[[#This Row],[OrderDate]])</f>
        <v>45</v>
      </c>
      <c r="D939" s="15" t="str">
        <f>TEXT(Orders[[#This Row],[OrderDate]],"mmmm")</f>
        <v>November</v>
      </c>
      <c r="E939" s="4" t="s">
        <v>564</v>
      </c>
      <c r="F939" s="4" t="s">
        <v>53</v>
      </c>
      <c r="G939" s="4">
        <v>6</v>
      </c>
      <c r="H939" s="12">
        <v>19817.7</v>
      </c>
      <c r="I939" s="13">
        <v>16845.045000000002</v>
      </c>
      <c r="J939" s="13">
        <f>Orders[[#This Row],[Quantity]]*Orders[[#This Row],[Selling Price]]</f>
        <v>118906.20000000001</v>
      </c>
      <c r="K939" s="13">
        <f>Orders[[#This Row],[Quantity]]*Orders[[#This Row],[Cost Price]]</f>
        <v>101070.27000000002</v>
      </c>
      <c r="L939" s="13">
        <f>Orders[[#This Row],[Revenue]]-Orders[[#This Row],[Expenses]]</f>
        <v>17835.929999999993</v>
      </c>
      <c r="M939" t="s">
        <v>2199</v>
      </c>
      <c r="N939" t="str">
        <f>_xlfn.XLOOKUP(Orders[[#This Row],[CustomerID]],Customers[CustomerID],Customers[CustomerName])</f>
        <v>Blessing Eze</v>
      </c>
      <c r="O939" t="str">
        <f>_xlfn.XLOOKUP(Orders[[#This Row],[CustomerID]],Customers[CustomerID],Customers[City])</f>
        <v>Georgia</v>
      </c>
      <c r="P939" t="str">
        <f>_xlfn.XLOOKUP(Orders[[#This Row],[CustomerID]],Customers[CustomerID],Customers[Gender])</f>
        <v>Female</v>
      </c>
      <c r="Q939">
        <f>_xlfn.XLOOKUP(Orders[[#This Row],[CustomerID]],Customers[CustomerID],Customers[CustomerAge])</f>
        <v>19</v>
      </c>
      <c r="R939" t="str">
        <f>IF(Orders[[#This Row],[CustomerAge]]&gt;=35, "Older", "Young")</f>
        <v>Young</v>
      </c>
      <c r="S939" t="str">
        <f>_xlfn.XLOOKUP(Orders[[#This Row],[ProductID]],Products[ProductID],Products[ProductName])</f>
        <v>Silver Bangles</v>
      </c>
      <c r="T939" t="str">
        <f>_xlfn.XLOOKUP(Orders[[#This Row],[ProductID]],Products[ProductID],Products[Category])</f>
        <v>Accessories</v>
      </c>
    </row>
    <row r="940" spans="1:20" x14ac:dyDescent="0.25">
      <c r="A940" s="4" t="s">
        <v>1129</v>
      </c>
      <c r="B940" s="5">
        <v>45938</v>
      </c>
      <c r="C940" s="15">
        <f>WEEKNUM(Orders[[#This Row],[OrderDate]])</f>
        <v>41</v>
      </c>
      <c r="D940" s="15" t="str">
        <f>TEXT(Orders[[#This Row],[OrderDate]],"mmmm")</f>
        <v>October</v>
      </c>
      <c r="E940" s="4" t="s">
        <v>346</v>
      </c>
      <c r="F940" s="4" t="s">
        <v>28</v>
      </c>
      <c r="G940" s="4">
        <v>1</v>
      </c>
      <c r="H940" s="12">
        <v>9947.1</v>
      </c>
      <c r="I940" s="13">
        <v>8455.0349999999999</v>
      </c>
      <c r="J940" s="13">
        <f>Orders[[#This Row],[Quantity]]*Orders[[#This Row],[Selling Price]]</f>
        <v>9947.1</v>
      </c>
      <c r="K940" s="13">
        <f>Orders[[#This Row],[Quantity]]*Orders[[#This Row],[Cost Price]]</f>
        <v>8455.0349999999999</v>
      </c>
      <c r="L940" s="13">
        <f>Orders[[#This Row],[Revenue]]-Orders[[#This Row],[Expenses]]</f>
        <v>1492.0650000000005</v>
      </c>
      <c r="M940" t="s">
        <v>2205</v>
      </c>
      <c r="N940" t="str">
        <f>_xlfn.XLOOKUP(Orders[[#This Row],[CustomerID]],Customers[CustomerID],Customers[CustomerName])</f>
        <v>Ngozi Danladi</v>
      </c>
      <c r="O940" t="str">
        <f>_xlfn.XLOOKUP(Orders[[#This Row],[CustomerID]],Customers[CustomerID],Customers[City])</f>
        <v>California</v>
      </c>
      <c r="P940" t="str">
        <f>_xlfn.XLOOKUP(Orders[[#This Row],[CustomerID]],Customers[CustomerID],Customers[Gender])</f>
        <v>Female</v>
      </c>
      <c r="Q940">
        <f>_xlfn.XLOOKUP(Orders[[#This Row],[CustomerID]],Customers[CustomerID],Customers[CustomerAge])</f>
        <v>30</v>
      </c>
      <c r="R940" t="str">
        <f>IF(Orders[[#This Row],[CustomerAge]]&gt;=35, "Older", "Young")</f>
        <v>Young</v>
      </c>
      <c r="S940" t="str">
        <f>_xlfn.XLOOKUP(Orders[[#This Row],[ProductID]],Products[ProductID],Products[ProductName])</f>
        <v>Sneakers</v>
      </c>
      <c r="T940" t="str">
        <f>_xlfn.XLOOKUP(Orders[[#This Row],[ProductID]],Products[ProductID],Products[Category])</f>
        <v>Sports</v>
      </c>
    </row>
    <row r="941" spans="1:20" x14ac:dyDescent="0.25">
      <c r="A941" s="4" t="s">
        <v>1130</v>
      </c>
      <c r="B941" s="5">
        <v>45977</v>
      </c>
      <c r="C941" s="15">
        <f>WEEKNUM(Orders[[#This Row],[OrderDate]])</f>
        <v>47</v>
      </c>
      <c r="D941" s="15" t="str">
        <f>TEXT(Orders[[#This Row],[OrderDate]],"mmmm")</f>
        <v>November</v>
      </c>
      <c r="E941" s="4" t="s">
        <v>244</v>
      </c>
      <c r="F941" s="4" t="s">
        <v>76</v>
      </c>
      <c r="G941" s="4">
        <v>8</v>
      </c>
      <c r="H941" s="12">
        <v>1858.6000000000001</v>
      </c>
      <c r="I941" s="13">
        <v>1579.8100000000002</v>
      </c>
      <c r="J941" s="13">
        <f>Orders[[#This Row],[Quantity]]*Orders[[#This Row],[Selling Price]]</f>
        <v>14868.800000000001</v>
      </c>
      <c r="K941" s="13">
        <f>Orders[[#This Row],[Quantity]]*Orders[[#This Row],[Cost Price]]</f>
        <v>12638.480000000001</v>
      </c>
      <c r="L941" s="13">
        <f>Orders[[#This Row],[Revenue]]-Orders[[#This Row],[Expenses]]</f>
        <v>2230.3199999999997</v>
      </c>
      <c r="M941" t="s">
        <v>2203</v>
      </c>
      <c r="N941" t="str">
        <f>_xlfn.XLOOKUP(Orders[[#This Row],[CustomerID]],Customers[CustomerID],Customers[CustomerName])</f>
        <v>Zainab Abubakar</v>
      </c>
      <c r="O941" t="str">
        <f>_xlfn.XLOOKUP(Orders[[#This Row],[CustomerID]],Customers[CustomerID],Customers[City])</f>
        <v>Texas</v>
      </c>
      <c r="P941" t="str">
        <f>_xlfn.XLOOKUP(Orders[[#This Row],[CustomerID]],Customers[CustomerID],Customers[Gender])</f>
        <v>Female</v>
      </c>
      <c r="Q941">
        <f>_xlfn.XLOOKUP(Orders[[#This Row],[CustomerID]],Customers[CustomerID],Customers[CustomerAge])</f>
        <v>33</v>
      </c>
      <c r="R941" t="str">
        <f>IF(Orders[[#This Row],[CustomerAge]]&gt;=35, "Older", "Young")</f>
        <v>Young</v>
      </c>
      <c r="S941" t="str">
        <f>_xlfn.XLOOKUP(Orders[[#This Row],[ProductID]],Products[ProductID],Products[ProductName])</f>
        <v>Blender</v>
      </c>
      <c r="T941" t="str">
        <f>_xlfn.XLOOKUP(Orders[[#This Row],[ProductID]],Products[ProductID],Products[Category])</f>
        <v>Electronics</v>
      </c>
    </row>
    <row r="942" spans="1:20" x14ac:dyDescent="0.25">
      <c r="A942" s="4" t="s">
        <v>1131</v>
      </c>
      <c r="B942" s="5">
        <v>46006</v>
      </c>
      <c r="C942" s="15">
        <f>WEEKNUM(Orders[[#This Row],[OrderDate]])</f>
        <v>51</v>
      </c>
      <c r="D942" s="15" t="str">
        <f>TEXT(Orders[[#This Row],[OrderDate]],"mmmm")</f>
        <v>December</v>
      </c>
      <c r="E942" s="4" t="s">
        <v>246</v>
      </c>
      <c r="F942" s="4" t="s">
        <v>76</v>
      </c>
      <c r="G942" s="4">
        <v>9</v>
      </c>
      <c r="H942" s="12">
        <v>11584.2</v>
      </c>
      <c r="I942" s="13">
        <v>9846.57</v>
      </c>
      <c r="J942" s="13">
        <f>Orders[[#This Row],[Quantity]]*Orders[[#This Row],[Selling Price]]</f>
        <v>104257.8</v>
      </c>
      <c r="K942" s="13">
        <f>Orders[[#This Row],[Quantity]]*Orders[[#This Row],[Cost Price]]</f>
        <v>88619.13</v>
      </c>
      <c r="L942" s="13">
        <f>Orders[[#This Row],[Revenue]]-Orders[[#This Row],[Expenses]]</f>
        <v>15638.669999999998</v>
      </c>
      <c r="M942" t="s">
        <v>2207</v>
      </c>
      <c r="N942" t="str">
        <f>_xlfn.XLOOKUP(Orders[[#This Row],[CustomerID]],Customers[CustomerID],Customers[CustomerName])</f>
        <v>Emeka Abubakar</v>
      </c>
      <c r="O942" t="str">
        <f>_xlfn.XLOOKUP(Orders[[#This Row],[CustomerID]],Customers[CustomerID],Customers[City])</f>
        <v>Florida</v>
      </c>
      <c r="P942" t="str">
        <f>_xlfn.XLOOKUP(Orders[[#This Row],[CustomerID]],Customers[CustomerID],Customers[Gender])</f>
        <v>Male</v>
      </c>
      <c r="Q942">
        <f>_xlfn.XLOOKUP(Orders[[#This Row],[CustomerID]],Customers[CustomerID],Customers[CustomerAge])</f>
        <v>28</v>
      </c>
      <c r="R942" t="str">
        <f>IF(Orders[[#This Row],[CustomerAge]]&gt;=35, "Older", "Young")</f>
        <v>Young</v>
      </c>
      <c r="S942" t="str">
        <f>_xlfn.XLOOKUP(Orders[[#This Row],[ProductID]],Products[ProductID],Products[ProductName])</f>
        <v>Blender</v>
      </c>
      <c r="T942" t="str">
        <f>_xlfn.XLOOKUP(Orders[[#This Row],[ProductID]],Products[ProductID],Products[Category])</f>
        <v>Electronics</v>
      </c>
    </row>
    <row r="943" spans="1:20" x14ac:dyDescent="0.25">
      <c r="A943" s="4" t="s">
        <v>1132</v>
      </c>
      <c r="B943" s="5">
        <v>45961</v>
      </c>
      <c r="C943" s="15">
        <f>WEEKNUM(Orders[[#This Row],[OrderDate]])</f>
        <v>44</v>
      </c>
      <c r="D943" s="15" t="str">
        <f>TEXT(Orders[[#This Row],[OrderDate]],"mmmm")</f>
        <v>October</v>
      </c>
      <c r="E943" s="4" t="s">
        <v>45</v>
      </c>
      <c r="F943" s="4" t="s">
        <v>57</v>
      </c>
      <c r="G943" s="4">
        <v>1</v>
      </c>
      <c r="H943" s="12">
        <v>19570.2</v>
      </c>
      <c r="I943" s="13">
        <v>16634.670000000002</v>
      </c>
      <c r="J943" s="13">
        <f>Orders[[#This Row],[Quantity]]*Orders[[#This Row],[Selling Price]]</f>
        <v>19570.2</v>
      </c>
      <c r="K943" s="13">
        <f>Orders[[#This Row],[Quantity]]*Orders[[#This Row],[Cost Price]]</f>
        <v>16634.670000000002</v>
      </c>
      <c r="L943" s="13">
        <f>Orders[[#This Row],[Revenue]]-Orders[[#This Row],[Expenses]]</f>
        <v>2935.5299999999988</v>
      </c>
      <c r="M943" t="s">
        <v>2204</v>
      </c>
      <c r="N943" t="str">
        <f>_xlfn.XLOOKUP(Orders[[#This Row],[CustomerID]],Customers[CustomerID],Customers[CustomerName])</f>
        <v>Abiola Abubakar</v>
      </c>
      <c r="O943" t="str">
        <f>_xlfn.XLOOKUP(Orders[[#This Row],[CustomerID]],Customers[CustomerID],Customers[City])</f>
        <v>Florida</v>
      </c>
      <c r="P943" t="str">
        <f>_xlfn.XLOOKUP(Orders[[#This Row],[CustomerID]],Customers[CustomerID],Customers[Gender])</f>
        <v>Male</v>
      </c>
      <c r="Q943">
        <f>_xlfn.XLOOKUP(Orders[[#This Row],[CustomerID]],Customers[CustomerID],Customers[CustomerAge])</f>
        <v>26</v>
      </c>
      <c r="R943" t="str">
        <f>IF(Orders[[#This Row],[CustomerAge]]&gt;=35, "Older", "Young")</f>
        <v>Young</v>
      </c>
      <c r="S943" t="str">
        <f>_xlfn.XLOOKUP(Orders[[#This Row],[ProductID]],Products[ProductID],Products[ProductName])</f>
        <v>Badminton Racket</v>
      </c>
      <c r="T943" t="str">
        <f>_xlfn.XLOOKUP(Orders[[#This Row],[ProductID]],Products[ProductID],Products[Category])</f>
        <v>Sports</v>
      </c>
    </row>
    <row r="944" spans="1:20" x14ac:dyDescent="0.25">
      <c r="A944" s="4" t="s">
        <v>1133</v>
      </c>
      <c r="B944" s="5">
        <v>46009</v>
      </c>
      <c r="C944" s="15">
        <f>WEEKNUM(Orders[[#This Row],[OrderDate]])</f>
        <v>51</v>
      </c>
      <c r="D944" s="15" t="str">
        <f>TEXT(Orders[[#This Row],[OrderDate]],"mmmm")</f>
        <v>December</v>
      </c>
      <c r="E944" s="4" t="s">
        <v>260</v>
      </c>
      <c r="F944" s="4" t="s">
        <v>232</v>
      </c>
      <c r="G944" s="4">
        <v>4</v>
      </c>
      <c r="H944" s="12">
        <v>15035.599999999999</v>
      </c>
      <c r="I944" s="13">
        <v>12780.259999999998</v>
      </c>
      <c r="J944" s="13">
        <f>Orders[[#This Row],[Quantity]]*Orders[[#This Row],[Selling Price]]</f>
        <v>60142.399999999994</v>
      </c>
      <c r="K944" s="13">
        <f>Orders[[#This Row],[Quantity]]*Orders[[#This Row],[Cost Price]]</f>
        <v>51121.039999999994</v>
      </c>
      <c r="L944" s="13">
        <f>Orders[[#This Row],[Revenue]]-Orders[[#This Row],[Expenses]]</f>
        <v>9021.36</v>
      </c>
      <c r="M944" t="s">
        <v>2203</v>
      </c>
      <c r="N944" t="str">
        <f>_xlfn.XLOOKUP(Orders[[#This Row],[CustomerID]],Customers[CustomerID],Customers[CustomerName])</f>
        <v>Amina Obi</v>
      </c>
      <c r="O944" t="str">
        <f>_xlfn.XLOOKUP(Orders[[#This Row],[CustomerID]],Customers[CustomerID],Customers[City])</f>
        <v>Florida</v>
      </c>
      <c r="P944" t="str">
        <f>_xlfn.XLOOKUP(Orders[[#This Row],[CustomerID]],Customers[CustomerID],Customers[Gender])</f>
        <v>Female</v>
      </c>
      <c r="Q944">
        <f>_xlfn.XLOOKUP(Orders[[#This Row],[CustomerID]],Customers[CustomerID],Customers[CustomerAge])</f>
        <v>29</v>
      </c>
      <c r="R944" t="str">
        <f>IF(Orders[[#This Row],[CustomerAge]]&gt;=35, "Older", "Young")</f>
        <v>Young</v>
      </c>
      <c r="S944" t="str">
        <f>_xlfn.XLOOKUP(Orders[[#This Row],[ProductID]],Products[ProductID],Products[ProductName])</f>
        <v>Ankara</v>
      </c>
      <c r="T944" t="str">
        <f>_xlfn.XLOOKUP(Orders[[#This Row],[ProductID]],Products[ProductID],Products[Category])</f>
        <v>Clothing</v>
      </c>
    </row>
    <row r="945" spans="1:20" x14ac:dyDescent="0.25">
      <c r="A945" s="4" t="s">
        <v>1134</v>
      </c>
      <c r="B945" s="5">
        <v>45959</v>
      </c>
      <c r="C945" s="15">
        <f>WEEKNUM(Orders[[#This Row],[OrderDate]])</f>
        <v>44</v>
      </c>
      <c r="D945" s="15" t="str">
        <f>TEXT(Orders[[#This Row],[OrderDate]],"mmmm")</f>
        <v>October</v>
      </c>
      <c r="E945" s="4" t="s">
        <v>116</v>
      </c>
      <c r="F945" s="4" t="s">
        <v>57</v>
      </c>
      <c r="G945" s="4">
        <v>9</v>
      </c>
      <c r="H945" s="12">
        <v>8707.7999999999993</v>
      </c>
      <c r="I945" s="13">
        <v>7401.6299999999992</v>
      </c>
      <c r="J945" s="13">
        <f>Orders[[#This Row],[Quantity]]*Orders[[#This Row],[Selling Price]]</f>
        <v>78370.2</v>
      </c>
      <c r="K945" s="13">
        <f>Orders[[#This Row],[Quantity]]*Orders[[#This Row],[Cost Price]]</f>
        <v>66614.67</v>
      </c>
      <c r="L945" s="13">
        <f>Orders[[#This Row],[Revenue]]-Orders[[#This Row],[Expenses]]</f>
        <v>11755.529999999999</v>
      </c>
      <c r="M945" t="s">
        <v>2214</v>
      </c>
      <c r="N945" t="str">
        <f>_xlfn.XLOOKUP(Orders[[#This Row],[CustomerID]],Customers[CustomerID],Customers[CustomerName])</f>
        <v>Uche Bello</v>
      </c>
      <c r="O945" t="str">
        <f>_xlfn.XLOOKUP(Orders[[#This Row],[CustomerID]],Customers[CustomerID],Customers[City])</f>
        <v>Texas</v>
      </c>
      <c r="P945" t="str">
        <f>_xlfn.XLOOKUP(Orders[[#This Row],[CustomerID]],Customers[CustomerID],Customers[Gender])</f>
        <v>Male</v>
      </c>
      <c r="Q945">
        <f>_xlfn.XLOOKUP(Orders[[#This Row],[CustomerID]],Customers[CustomerID],Customers[CustomerAge])</f>
        <v>21</v>
      </c>
      <c r="R945" t="str">
        <f>IF(Orders[[#This Row],[CustomerAge]]&gt;=35, "Older", "Young")</f>
        <v>Young</v>
      </c>
      <c r="S945" t="str">
        <f>_xlfn.XLOOKUP(Orders[[#This Row],[ProductID]],Products[ProductID],Products[ProductName])</f>
        <v>Badminton Racket</v>
      </c>
      <c r="T945" t="str">
        <f>_xlfn.XLOOKUP(Orders[[#This Row],[ProductID]],Products[ProductID],Products[Category])</f>
        <v>Sports</v>
      </c>
    </row>
    <row r="946" spans="1:20" x14ac:dyDescent="0.25">
      <c r="A946" s="4" t="s">
        <v>1135</v>
      </c>
      <c r="B946" s="5">
        <v>45997</v>
      </c>
      <c r="C946" s="15">
        <f>WEEKNUM(Orders[[#This Row],[OrderDate]])</f>
        <v>49</v>
      </c>
      <c r="D946" s="15" t="str">
        <f>TEXT(Orders[[#This Row],[OrderDate]],"mmmm")</f>
        <v>December</v>
      </c>
      <c r="E946" s="4" t="s">
        <v>207</v>
      </c>
      <c r="F946" s="4" t="s">
        <v>46</v>
      </c>
      <c r="G946" s="4">
        <v>9</v>
      </c>
      <c r="H946" s="12">
        <v>11151.5</v>
      </c>
      <c r="I946" s="13">
        <v>9478.7749999999996</v>
      </c>
      <c r="J946" s="13">
        <f>Orders[[#This Row],[Quantity]]*Orders[[#This Row],[Selling Price]]</f>
        <v>100363.5</v>
      </c>
      <c r="K946" s="13">
        <f>Orders[[#This Row],[Quantity]]*Orders[[#This Row],[Cost Price]]</f>
        <v>85308.974999999991</v>
      </c>
      <c r="L946" s="13">
        <f>Orders[[#This Row],[Revenue]]-Orders[[#This Row],[Expenses]]</f>
        <v>15054.525000000009</v>
      </c>
      <c r="M946" t="s">
        <v>2201</v>
      </c>
      <c r="N946" t="str">
        <f>_xlfn.XLOOKUP(Orders[[#This Row],[CustomerID]],Customers[CustomerID],Customers[CustomerName])</f>
        <v>Bisi Eze</v>
      </c>
      <c r="O946" t="str">
        <f>_xlfn.XLOOKUP(Orders[[#This Row],[CustomerID]],Customers[CustomerID],Customers[City])</f>
        <v>Florida</v>
      </c>
      <c r="P946" t="str">
        <f>_xlfn.XLOOKUP(Orders[[#This Row],[CustomerID]],Customers[CustomerID],Customers[Gender])</f>
        <v>Female</v>
      </c>
      <c r="Q946">
        <f>_xlfn.XLOOKUP(Orders[[#This Row],[CustomerID]],Customers[CustomerID],Customers[CustomerAge])</f>
        <v>37</v>
      </c>
      <c r="R946" t="str">
        <f>IF(Orders[[#This Row],[CustomerAge]]&gt;=35, "Older", "Young")</f>
        <v>Older</v>
      </c>
      <c r="S946" t="str">
        <f>_xlfn.XLOOKUP(Orders[[#This Row],[ProductID]],Products[ProductID],Products[ProductName])</f>
        <v>Turtle Neck</v>
      </c>
      <c r="T946" t="str">
        <f>_xlfn.XLOOKUP(Orders[[#This Row],[ProductID]],Products[ProductID],Products[Category])</f>
        <v>Clothing</v>
      </c>
    </row>
    <row r="947" spans="1:20" x14ac:dyDescent="0.25">
      <c r="A947" s="4" t="s">
        <v>1136</v>
      </c>
      <c r="B947" s="5">
        <v>45991</v>
      </c>
      <c r="C947" s="15">
        <f>WEEKNUM(Orders[[#This Row],[OrderDate]])</f>
        <v>49</v>
      </c>
      <c r="D947" s="15" t="str">
        <f>TEXT(Orders[[#This Row],[OrderDate]],"mmmm")</f>
        <v>November</v>
      </c>
      <c r="E947" s="4" t="s">
        <v>311</v>
      </c>
      <c r="F947" s="4" t="s">
        <v>28</v>
      </c>
      <c r="G947" s="4">
        <v>8</v>
      </c>
      <c r="H947" s="12">
        <v>6002.7999999999993</v>
      </c>
      <c r="I947" s="13">
        <v>5102.3799999999992</v>
      </c>
      <c r="J947" s="13">
        <f>Orders[[#This Row],[Quantity]]*Orders[[#This Row],[Selling Price]]</f>
        <v>48022.399999999994</v>
      </c>
      <c r="K947" s="13">
        <f>Orders[[#This Row],[Quantity]]*Orders[[#This Row],[Cost Price]]</f>
        <v>40819.039999999994</v>
      </c>
      <c r="L947" s="13">
        <f>Orders[[#This Row],[Revenue]]-Orders[[#This Row],[Expenses]]</f>
        <v>7203.3600000000006</v>
      </c>
      <c r="M947" t="s">
        <v>2201</v>
      </c>
      <c r="N947" t="str">
        <f>_xlfn.XLOOKUP(Orders[[#This Row],[CustomerID]],Customers[CustomerID],Customers[CustomerName])</f>
        <v>Bisi Bello</v>
      </c>
      <c r="O947" t="str">
        <f>_xlfn.XLOOKUP(Orders[[#This Row],[CustomerID]],Customers[CustomerID],Customers[City])</f>
        <v>Georgia</v>
      </c>
      <c r="P947" t="str">
        <f>_xlfn.XLOOKUP(Orders[[#This Row],[CustomerID]],Customers[CustomerID],Customers[Gender])</f>
        <v>Female</v>
      </c>
      <c r="Q947">
        <f>_xlfn.XLOOKUP(Orders[[#This Row],[CustomerID]],Customers[CustomerID],Customers[CustomerAge])</f>
        <v>31</v>
      </c>
      <c r="R947" t="str">
        <f>IF(Orders[[#This Row],[CustomerAge]]&gt;=35, "Older", "Young")</f>
        <v>Young</v>
      </c>
      <c r="S947" t="str">
        <f>_xlfn.XLOOKUP(Orders[[#This Row],[ProductID]],Products[ProductID],Products[ProductName])</f>
        <v>Sneakers</v>
      </c>
      <c r="T947" t="str">
        <f>_xlfn.XLOOKUP(Orders[[#This Row],[ProductID]],Products[ProductID],Products[Category])</f>
        <v>Sports</v>
      </c>
    </row>
    <row r="948" spans="1:20" x14ac:dyDescent="0.25">
      <c r="A948" s="4" t="s">
        <v>1137</v>
      </c>
      <c r="B948" s="5">
        <v>45932</v>
      </c>
      <c r="C948" s="15">
        <f>WEEKNUM(Orders[[#This Row],[OrderDate]])</f>
        <v>40</v>
      </c>
      <c r="D948" s="15" t="str">
        <f>TEXT(Orders[[#This Row],[OrderDate]],"mmmm")</f>
        <v>October</v>
      </c>
      <c r="E948" s="4" t="s">
        <v>68</v>
      </c>
      <c r="F948" s="4" t="s">
        <v>84</v>
      </c>
      <c r="G948" s="4">
        <v>9</v>
      </c>
      <c r="H948" s="12">
        <v>14793.099999999999</v>
      </c>
      <c r="I948" s="13">
        <v>12574.134999999998</v>
      </c>
      <c r="J948" s="13">
        <f>Orders[[#This Row],[Quantity]]*Orders[[#This Row],[Selling Price]]</f>
        <v>133137.9</v>
      </c>
      <c r="K948" s="13">
        <f>Orders[[#This Row],[Quantity]]*Orders[[#This Row],[Cost Price]]</f>
        <v>113167.21499999998</v>
      </c>
      <c r="L948" s="13">
        <f>Orders[[#This Row],[Revenue]]-Orders[[#This Row],[Expenses]]</f>
        <v>19970.685000000012</v>
      </c>
      <c r="M948" t="s">
        <v>2195</v>
      </c>
      <c r="N948" t="str">
        <f>_xlfn.XLOOKUP(Orders[[#This Row],[CustomerID]],Customers[CustomerID],Customers[CustomerName])</f>
        <v>Abiola Balogun</v>
      </c>
      <c r="O948" t="str">
        <f>_xlfn.XLOOKUP(Orders[[#This Row],[CustomerID]],Customers[CustomerID],Customers[City])</f>
        <v>Texas</v>
      </c>
      <c r="P948" t="str">
        <f>_xlfn.XLOOKUP(Orders[[#This Row],[CustomerID]],Customers[CustomerID],Customers[Gender])</f>
        <v>Male</v>
      </c>
      <c r="Q948">
        <f>_xlfn.XLOOKUP(Orders[[#This Row],[CustomerID]],Customers[CustomerID],Customers[CustomerAge])</f>
        <v>29</v>
      </c>
      <c r="R948" t="str">
        <f>IF(Orders[[#This Row],[CustomerAge]]&gt;=35, "Older", "Young")</f>
        <v>Young</v>
      </c>
      <c r="S948" t="str">
        <f>_xlfn.XLOOKUP(Orders[[#This Row],[ProductID]],Products[ProductID],Products[ProductName])</f>
        <v>Gym Wears</v>
      </c>
      <c r="T948" t="str">
        <f>_xlfn.XLOOKUP(Orders[[#This Row],[ProductID]],Products[ProductID],Products[Category])</f>
        <v>Clothing</v>
      </c>
    </row>
    <row r="949" spans="1:20" x14ac:dyDescent="0.25">
      <c r="A949" s="4" t="s">
        <v>1138</v>
      </c>
      <c r="B949" s="5">
        <v>45949</v>
      </c>
      <c r="C949" s="15">
        <f>WEEKNUM(Orders[[#This Row],[OrderDate]])</f>
        <v>43</v>
      </c>
      <c r="D949" s="15" t="str">
        <f>TEXT(Orders[[#This Row],[OrderDate]],"mmmm")</f>
        <v>October</v>
      </c>
      <c r="E949" s="4" t="s">
        <v>184</v>
      </c>
      <c r="F949" s="4" t="s">
        <v>120</v>
      </c>
      <c r="G949" s="4">
        <v>5</v>
      </c>
      <c r="H949" s="12">
        <v>8099.4000000000005</v>
      </c>
      <c r="I949" s="13">
        <v>6884.4900000000007</v>
      </c>
      <c r="J949" s="13">
        <f>Orders[[#This Row],[Quantity]]*Orders[[#This Row],[Selling Price]]</f>
        <v>40497</v>
      </c>
      <c r="K949" s="13">
        <f>Orders[[#This Row],[Quantity]]*Orders[[#This Row],[Cost Price]]</f>
        <v>34422.450000000004</v>
      </c>
      <c r="L949" s="13">
        <f>Orders[[#This Row],[Revenue]]-Orders[[#This Row],[Expenses]]</f>
        <v>6074.5499999999956</v>
      </c>
      <c r="M949" t="s">
        <v>2218</v>
      </c>
      <c r="N949" t="str">
        <f>_xlfn.XLOOKUP(Orders[[#This Row],[CustomerID]],Customers[CustomerID],Customers[CustomerName])</f>
        <v>Ngozi Obi</v>
      </c>
      <c r="O949" t="str">
        <f>_xlfn.XLOOKUP(Orders[[#This Row],[CustomerID]],Customers[CustomerID],Customers[City])</f>
        <v>Washington</v>
      </c>
      <c r="P949" t="str">
        <f>_xlfn.XLOOKUP(Orders[[#This Row],[CustomerID]],Customers[CustomerID],Customers[Gender])</f>
        <v>Female</v>
      </c>
      <c r="Q949">
        <f>_xlfn.XLOOKUP(Orders[[#This Row],[CustomerID]],Customers[CustomerID],Customers[CustomerAge])</f>
        <v>32</v>
      </c>
      <c r="R949" t="str">
        <f>IF(Orders[[#This Row],[CustomerAge]]&gt;=35, "Older", "Young")</f>
        <v>Young</v>
      </c>
      <c r="S949" t="str">
        <f>_xlfn.XLOOKUP(Orders[[#This Row],[ProductID]],Products[ProductID],Products[ProductName])</f>
        <v>Chess</v>
      </c>
      <c r="T949" t="str">
        <f>_xlfn.XLOOKUP(Orders[[#This Row],[ProductID]],Products[ProductID],Products[Category])</f>
        <v>Games</v>
      </c>
    </row>
    <row r="950" spans="1:20" x14ac:dyDescent="0.25">
      <c r="A950" s="4" t="s">
        <v>1139</v>
      </c>
      <c r="B950" s="5">
        <v>45966</v>
      </c>
      <c r="C950" s="15">
        <f>WEEKNUM(Orders[[#This Row],[OrderDate]])</f>
        <v>45</v>
      </c>
      <c r="D950" s="15" t="str">
        <f>TEXT(Orders[[#This Row],[OrderDate]],"mmmm")</f>
        <v>November</v>
      </c>
      <c r="E950" s="4" t="s">
        <v>68</v>
      </c>
      <c r="F950" s="4" t="s">
        <v>151</v>
      </c>
      <c r="G950" s="4">
        <v>5</v>
      </c>
      <c r="H950" s="12">
        <v>8514.9</v>
      </c>
      <c r="I950" s="13">
        <v>7237.665</v>
      </c>
      <c r="J950" s="13">
        <f>Orders[[#This Row],[Quantity]]*Orders[[#This Row],[Selling Price]]</f>
        <v>42574.5</v>
      </c>
      <c r="K950" s="13">
        <f>Orders[[#This Row],[Quantity]]*Orders[[#This Row],[Cost Price]]</f>
        <v>36188.324999999997</v>
      </c>
      <c r="L950" s="13">
        <f>Orders[[#This Row],[Revenue]]-Orders[[#This Row],[Expenses]]</f>
        <v>6386.1750000000029</v>
      </c>
      <c r="M950" t="s">
        <v>2193</v>
      </c>
      <c r="N950" t="str">
        <f>_xlfn.XLOOKUP(Orders[[#This Row],[CustomerID]],Customers[CustomerID],Customers[CustomerName])</f>
        <v>Abiola Balogun</v>
      </c>
      <c r="O950" t="str">
        <f>_xlfn.XLOOKUP(Orders[[#This Row],[CustomerID]],Customers[CustomerID],Customers[City])</f>
        <v>Texas</v>
      </c>
      <c r="P950" t="str">
        <f>_xlfn.XLOOKUP(Orders[[#This Row],[CustomerID]],Customers[CustomerID],Customers[Gender])</f>
        <v>Male</v>
      </c>
      <c r="Q950">
        <f>_xlfn.XLOOKUP(Orders[[#This Row],[CustomerID]],Customers[CustomerID],Customers[CustomerAge])</f>
        <v>29</v>
      </c>
      <c r="R950" t="str">
        <f>IF(Orders[[#This Row],[CustomerAge]]&gt;=35, "Older", "Young")</f>
        <v>Young</v>
      </c>
      <c r="S950" t="str">
        <f>_xlfn.XLOOKUP(Orders[[#This Row],[ProductID]],Products[ProductID],Products[ProductName])</f>
        <v>Checkers</v>
      </c>
      <c r="T950" t="str">
        <f>_xlfn.XLOOKUP(Orders[[#This Row],[ProductID]],Products[ProductID],Products[Category])</f>
        <v>Games</v>
      </c>
    </row>
    <row r="951" spans="1:20" x14ac:dyDescent="0.25">
      <c r="A951" s="4" t="s">
        <v>1140</v>
      </c>
      <c r="B951" s="5">
        <v>45939</v>
      </c>
      <c r="C951" s="15">
        <f>WEEKNUM(Orders[[#This Row],[OrderDate]])</f>
        <v>41</v>
      </c>
      <c r="D951" s="15" t="str">
        <f>TEXT(Orders[[#This Row],[OrderDate]],"mmmm")</f>
        <v>October</v>
      </c>
      <c r="E951" s="4" t="s">
        <v>50</v>
      </c>
      <c r="F951" s="4" t="s">
        <v>60</v>
      </c>
      <c r="G951" s="4">
        <v>1</v>
      </c>
      <c r="H951" s="12">
        <v>15229.7</v>
      </c>
      <c r="I951" s="13">
        <v>12945.245000000001</v>
      </c>
      <c r="J951" s="13">
        <f>Orders[[#This Row],[Quantity]]*Orders[[#This Row],[Selling Price]]</f>
        <v>15229.7</v>
      </c>
      <c r="K951" s="13">
        <f>Orders[[#This Row],[Quantity]]*Orders[[#This Row],[Cost Price]]</f>
        <v>12945.245000000001</v>
      </c>
      <c r="L951" s="13">
        <f>Orders[[#This Row],[Revenue]]-Orders[[#This Row],[Expenses]]</f>
        <v>2284.4549999999999</v>
      </c>
      <c r="M951" t="s">
        <v>2215</v>
      </c>
      <c r="N951" t="str">
        <f>_xlfn.XLOOKUP(Orders[[#This Row],[CustomerID]],Customers[CustomerID],Customers[CustomerName])</f>
        <v>Funke Danladi</v>
      </c>
      <c r="O951" t="str">
        <f>_xlfn.XLOOKUP(Orders[[#This Row],[CustomerID]],Customers[CustomerID],Customers[City])</f>
        <v>California</v>
      </c>
      <c r="P951" t="str">
        <f>_xlfn.XLOOKUP(Orders[[#This Row],[CustomerID]],Customers[CustomerID],Customers[Gender])</f>
        <v>Female</v>
      </c>
      <c r="Q951">
        <f>_xlfn.XLOOKUP(Orders[[#This Row],[CustomerID]],Customers[CustomerID],Customers[CustomerAge])</f>
        <v>31</v>
      </c>
      <c r="R951" t="str">
        <f>IF(Orders[[#This Row],[CustomerAge]]&gt;=35, "Older", "Young")</f>
        <v>Young</v>
      </c>
      <c r="S951" t="str">
        <f>_xlfn.XLOOKUP(Orders[[#This Row],[ProductID]],Products[ProductID],Products[ProductName])</f>
        <v>Silver Rings</v>
      </c>
      <c r="T951" t="str">
        <f>_xlfn.XLOOKUP(Orders[[#This Row],[ProductID]],Products[ProductID],Products[Category])</f>
        <v>Accessories</v>
      </c>
    </row>
    <row r="952" spans="1:20" x14ac:dyDescent="0.25">
      <c r="A952" s="4" t="s">
        <v>1141</v>
      </c>
      <c r="B952" s="5">
        <v>45947</v>
      </c>
      <c r="C952" s="15">
        <f>WEEKNUM(Orders[[#This Row],[OrderDate]])</f>
        <v>42</v>
      </c>
      <c r="D952" s="15" t="str">
        <f>TEXT(Orders[[#This Row],[OrderDate]],"mmmm")</f>
        <v>October</v>
      </c>
      <c r="E952" s="4" t="s">
        <v>205</v>
      </c>
      <c r="F952" s="4" t="s">
        <v>60</v>
      </c>
      <c r="G952" s="4">
        <v>4</v>
      </c>
      <c r="H952" s="12">
        <v>15314</v>
      </c>
      <c r="I952" s="13">
        <v>13016.9</v>
      </c>
      <c r="J952" s="13">
        <f>Orders[[#This Row],[Quantity]]*Orders[[#This Row],[Selling Price]]</f>
        <v>61256</v>
      </c>
      <c r="K952" s="13">
        <f>Orders[[#This Row],[Quantity]]*Orders[[#This Row],[Cost Price]]</f>
        <v>52067.6</v>
      </c>
      <c r="L952" s="13">
        <f>Orders[[#This Row],[Revenue]]-Orders[[#This Row],[Expenses]]</f>
        <v>9188.4000000000015</v>
      </c>
      <c r="M952" t="s">
        <v>2200</v>
      </c>
      <c r="N952" t="str">
        <f>_xlfn.XLOOKUP(Orders[[#This Row],[CustomerID]],Customers[CustomerID],Customers[CustomerName])</f>
        <v>Jide Adeyemi</v>
      </c>
      <c r="O952" t="str">
        <f>_xlfn.XLOOKUP(Orders[[#This Row],[CustomerID]],Customers[CustomerID],Customers[City])</f>
        <v>Washington</v>
      </c>
      <c r="P952" t="str">
        <f>_xlfn.XLOOKUP(Orders[[#This Row],[CustomerID]],Customers[CustomerID],Customers[Gender])</f>
        <v>Male</v>
      </c>
      <c r="Q952">
        <f>_xlfn.XLOOKUP(Orders[[#This Row],[CustomerID]],Customers[CustomerID],Customers[CustomerAge])</f>
        <v>19</v>
      </c>
      <c r="R952" t="str">
        <f>IF(Orders[[#This Row],[CustomerAge]]&gt;=35, "Older", "Young")</f>
        <v>Young</v>
      </c>
      <c r="S952" t="str">
        <f>_xlfn.XLOOKUP(Orders[[#This Row],[ProductID]],Products[ProductID],Products[ProductName])</f>
        <v>Silver Rings</v>
      </c>
      <c r="T952" t="str">
        <f>_xlfn.XLOOKUP(Orders[[#This Row],[ProductID]],Products[ProductID],Products[Category])</f>
        <v>Accessories</v>
      </c>
    </row>
    <row r="953" spans="1:20" x14ac:dyDescent="0.25">
      <c r="A953" s="4" t="s">
        <v>1142</v>
      </c>
      <c r="B953" s="5">
        <v>45951</v>
      </c>
      <c r="C953" s="15">
        <f>WEEKNUM(Orders[[#This Row],[OrderDate]])</f>
        <v>43</v>
      </c>
      <c r="D953" s="15" t="str">
        <f>TEXT(Orders[[#This Row],[OrderDate]],"mmmm")</f>
        <v>October</v>
      </c>
      <c r="E953" s="4" t="s">
        <v>287</v>
      </c>
      <c r="F953" s="4" t="s">
        <v>157</v>
      </c>
      <c r="G953" s="4">
        <v>6</v>
      </c>
      <c r="H953" s="12">
        <v>3831.3</v>
      </c>
      <c r="I953" s="13">
        <v>3256.605</v>
      </c>
      <c r="J953" s="13">
        <f>Orders[[#This Row],[Quantity]]*Orders[[#This Row],[Selling Price]]</f>
        <v>22987.800000000003</v>
      </c>
      <c r="K953" s="13">
        <f>Orders[[#This Row],[Quantity]]*Orders[[#This Row],[Cost Price]]</f>
        <v>19539.63</v>
      </c>
      <c r="L953" s="13">
        <f>Orders[[#This Row],[Revenue]]-Orders[[#This Row],[Expenses]]</f>
        <v>3448.1700000000019</v>
      </c>
      <c r="M953" t="s">
        <v>2218</v>
      </c>
      <c r="N953" t="str">
        <f>_xlfn.XLOOKUP(Orders[[#This Row],[CustomerID]],Customers[CustomerID],Customers[CustomerName])</f>
        <v>Okon Obi</v>
      </c>
      <c r="O953" t="str">
        <f>_xlfn.XLOOKUP(Orders[[#This Row],[CustomerID]],Customers[CustomerID],Customers[City])</f>
        <v>Texas</v>
      </c>
      <c r="P953" t="str">
        <f>_xlfn.XLOOKUP(Orders[[#This Row],[CustomerID]],Customers[CustomerID],Customers[Gender])</f>
        <v>Male</v>
      </c>
      <c r="Q953">
        <f>_xlfn.XLOOKUP(Orders[[#This Row],[CustomerID]],Customers[CustomerID],Customers[CustomerAge])</f>
        <v>55</v>
      </c>
      <c r="R953" t="str">
        <f>IF(Orders[[#This Row],[CustomerAge]]&gt;=35, "Older", "Young")</f>
        <v>Older</v>
      </c>
      <c r="S953" t="str">
        <f>_xlfn.XLOOKUP(Orders[[#This Row],[ProductID]],Products[ProductID],Products[ProductName])</f>
        <v>Football</v>
      </c>
      <c r="T953" t="str">
        <f>_xlfn.XLOOKUP(Orders[[#This Row],[ProductID]],Products[ProductID],Products[Category])</f>
        <v>Sports</v>
      </c>
    </row>
    <row r="954" spans="1:20" x14ac:dyDescent="0.25">
      <c r="A954" s="4" t="s">
        <v>1143</v>
      </c>
      <c r="B954" s="5">
        <v>45995</v>
      </c>
      <c r="C954" s="15">
        <f>WEEKNUM(Orders[[#This Row],[OrderDate]])</f>
        <v>49</v>
      </c>
      <c r="D954" s="15" t="str">
        <f>TEXT(Orders[[#This Row],[OrderDate]],"mmmm")</f>
        <v>December</v>
      </c>
      <c r="E954" s="4" t="s">
        <v>150</v>
      </c>
      <c r="F954" s="4" t="s">
        <v>15</v>
      </c>
      <c r="G954" s="4">
        <v>1</v>
      </c>
      <c r="H954" s="12">
        <v>5852.5</v>
      </c>
      <c r="I954" s="13">
        <v>4974.625</v>
      </c>
      <c r="J954" s="13">
        <f>Orders[[#This Row],[Quantity]]*Orders[[#This Row],[Selling Price]]</f>
        <v>5852.5</v>
      </c>
      <c r="K954" s="13">
        <f>Orders[[#This Row],[Quantity]]*Orders[[#This Row],[Cost Price]]</f>
        <v>4974.625</v>
      </c>
      <c r="L954" s="13">
        <f>Orders[[#This Row],[Revenue]]-Orders[[#This Row],[Expenses]]</f>
        <v>877.875</v>
      </c>
      <c r="M954" t="s">
        <v>2202</v>
      </c>
      <c r="N954" t="str">
        <f>_xlfn.XLOOKUP(Orders[[#This Row],[CustomerID]],Customers[CustomerID],Customers[CustomerName])</f>
        <v>Ronke Eze</v>
      </c>
      <c r="O954" t="str">
        <f>_xlfn.XLOOKUP(Orders[[#This Row],[CustomerID]],Customers[CustomerID],Customers[City])</f>
        <v>Georgia</v>
      </c>
      <c r="P954" t="str">
        <f>_xlfn.XLOOKUP(Orders[[#This Row],[CustomerID]],Customers[CustomerID],Customers[Gender])</f>
        <v>Female</v>
      </c>
      <c r="Q954">
        <f>_xlfn.XLOOKUP(Orders[[#This Row],[CustomerID]],Customers[CustomerID],Customers[CustomerAge])</f>
        <v>23</v>
      </c>
      <c r="R954" t="str">
        <f>IF(Orders[[#This Row],[CustomerAge]]&gt;=35, "Older", "Young")</f>
        <v>Young</v>
      </c>
      <c r="S954" t="str">
        <f>_xlfn.XLOOKUP(Orders[[#This Row],[ProductID]],Products[ProductID],Products[ProductName])</f>
        <v>Monopoly</v>
      </c>
      <c r="T954" t="str">
        <f>_xlfn.XLOOKUP(Orders[[#This Row],[ProductID]],Products[ProductID],Products[Category])</f>
        <v>Games</v>
      </c>
    </row>
    <row r="955" spans="1:20" x14ac:dyDescent="0.25">
      <c r="A955" s="4" t="s">
        <v>1144</v>
      </c>
      <c r="B955" s="5">
        <v>45983</v>
      </c>
      <c r="C955" s="15">
        <f>WEEKNUM(Orders[[#This Row],[OrderDate]])</f>
        <v>47</v>
      </c>
      <c r="D955" s="15" t="str">
        <f>TEXT(Orders[[#This Row],[OrderDate]],"mmmm")</f>
        <v>November</v>
      </c>
      <c r="E955" s="4" t="s">
        <v>136</v>
      </c>
      <c r="F955" s="4" t="s">
        <v>151</v>
      </c>
      <c r="G955" s="4">
        <v>4</v>
      </c>
      <c r="H955" s="12">
        <v>13227.1</v>
      </c>
      <c r="I955" s="13">
        <v>11243.035</v>
      </c>
      <c r="J955" s="13">
        <f>Orders[[#This Row],[Quantity]]*Orders[[#This Row],[Selling Price]]</f>
        <v>52908.4</v>
      </c>
      <c r="K955" s="13">
        <f>Orders[[#This Row],[Quantity]]*Orders[[#This Row],[Cost Price]]</f>
        <v>44972.14</v>
      </c>
      <c r="L955" s="13">
        <f>Orders[[#This Row],[Revenue]]-Orders[[#This Row],[Expenses]]</f>
        <v>7936.260000000002</v>
      </c>
      <c r="M955" t="s">
        <v>2200</v>
      </c>
      <c r="N955" t="str">
        <f>_xlfn.XLOOKUP(Orders[[#This Row],[CustomerID]],Customers[CustomerID],Customers[CustomerName])</f>
        <v>Chinedu Obi</v>
      </c>
      <c r="O955" t="str">
        <f>_xlfn.XLOOKUP(Orders[[#This Row],[CustomerID]],Customers[CustomerID],Customers[City])</f>
        <v>California</v>
      </c>
      <c r="P955" t="str">
        <f>_xlfn.XLOOKUP(Orders[[#This Row],[CustomerID]],Customers[CustomerID],Customers[Gender])</f>
        <v>Male</v>
      </c>
      <c r="Q955">
        <f>_xlfn.XLOOKUP(Orders[[#This Row],[CustomerID]],Customers[CustomerID],Customers[CustomerAge])</f>
        <v>27</v>
      </c>
      <c r="R955" t="str">
        <f>IF(Orders[[#This Row],[CustomerAge]]&gt;=35, "Older", "Young")</f>
        <v>Young</v>
      </c>
      <c r="S955" t="str">
        <f>_xlfn.XLOOKUP(Orders[[#This Row],[ProductID]],Products[ProductID],Products[ProductName])</f>
        <v>Checkers</v>
      </c>
      <c r="T955" t="str">
        <f>_xlfn.XLOOKUP(Orders[[#This Row],[ProductID]],Products[ProductID],Products[Category])</f>
        <v>Games</v>
      </c>
    </row>
    <row r="956" spans="1:20" x14ac:dyDescent="0.25">
      <c r="A956" s="4" t="s">
        <v>1145</v>
      </c>
      <c r="B956" s="5">
        <v>45931</v>
      </c>
      <c r="C956" s="15">
        <f>WEEKNUM(Orders[[#This Row],[OrderDate]])</f>
        <v>40</v>
      </c>
      <c r="D956" s="15" t="str">
        <f>TEXT(Orders[[#This Row],[OrderDate]],"mmmm")</f>
        <v>October</v>
      </c>
      <c r="E956" s="4" t="s">
        <v>52</v>
      </c>
      <c r="F956" s="4" t="s">
        <v>60</v>
      </c>
      <c r="G956" s="4">
        <v>7</v>
      </c>
      <c r="H956" s="12">
        <v>11075.699999999999</v>
      </c>
      <c r="I956" s="13">
        <v>9414.3449999999993</v>
      </c>
      <c r="J956" s="13">
        <f>Orders[[#This Row],[Quantity]]*Orders[[#This Row],[Selling Price]]</f>
        <v>77529.899999999994</v>
      </c>
      <c r="K956" s="13">
        <f>Orders[[#This Row],[Quantity]]*Orders[[#This Row],[Cost Price]]</f>
        <v>65900.414999999994</v>
      </c>
      <c r="L956" s="13">
        <f>Orders[[#This Row],[Revenue]]-Orders[[#This Row],[Expenses]]</f>
        <v>11629.485000000001</v>
      </c>
      <c r="M956" t="s">
        <v>2217</v>
      </c>
      <c r="N956" t="str">
        <f>_xlfn.XLOOKUP(Orders[[#This Row],[CustomerID]],Customers[CustomerID],Customers[CustomerName])</f>
        <v>Folasade Ojo</v>
      </c>
      <c r="O956" t="str">
        <f>_xlfn.XLOOKUP(Orders[[#This Row],[CustomerID]],Customers[CustomerID],Customers[City])</f>
        <v>Texas</v>
      </c>
      <c r="P956" t="str">
        <f>_xlfn.XLOOKUP(Orders[[#This Row],[CustomerID]],Customers[CustomerID],Customers[Gender])</f>
        <v>Female</v>
      </c>
      <c r="Q956">
        <f>_xlfn.XLOOKUP(Orders[[#This Row],[CustomerID]],Customers[CustomerID],Customers[CustomerAge])</f>
        <v>29</v>
      </c>
      <c r="R956" t="str">
        <f>IF(Orders[[#This Row],[CustomerAge]]&gt;=35, "Older", "Young")</f>
        <v>Young</v>
      </c>
      <c r="S956" t="str">
        <f>_xlfn.XLOOKUP(Orders[[#This Row],[ProductID]],Products[ProductID],Products[ProductName])</f>
        <v>Silver Rings</v>
      </c>
      <c r="T956" t="str">
        <f>_xlfn.XLOOKUP(Orders[[#This Row],[ProductID]],Products[ProductID],Products[Category])</f>
        <v>Accessories</v>
      </c>
    </row>
    <row r="957" spans="1:20" x14ac:dyDescent="0.25">
      <c r="A957" s="4" t="s">
        <v>1146</v>
      </c>
      <c r="B957" s="5">
        <v>46022</v>
      </c>
      <c r="C957" s="15">
        <f>WEEKNUM(Orders[[#This Row],[OrderDate]])</f>
        <v>53</v>
      </c>
      <c r="D957" s="15" t="str">
        <f>TEXT(Orders[[#This Row],[OrderDate]],"mmmm")</f>
        <v>December</v>
      </c>
      <c r="E957" s="4" t="s">
        <v>182</v>
      </c>
      <c r="F957" s="4" t="s">
        <v>70</v>
      </c>
      <c r="G957" s="4">
        <v>8</v>
      </c>
      <c r="H957" s="12">
        <v>16886.900000000001</v>
      </c>
      <c r="I957" s="13">
        <v>14353.865000000002</v>
      </c>
      <c r="J957" s="13">
        <f>Orders[[#This Row],[Quantity]]*Orders[[#This Row],[Selling Price]]</f>
        <v>135095.20000000001</v>
      </c>
      <c r="K957" s="13">
        <f>Orders[[#This Row],[Quantity]]*Orders[[#This Row],[Cost Price]]</f>
        <v>114830.92000000001</v>
      </c>
      <c r="L957" s="13">
        <f>Orders[[#This Row],[Revenue]]-Orders[[#This Row],[Expenses]]</f>
        <v>20264.28</v>
      </c>
      <c r="M957" t="s">
        <v>2210</v>
      </c>
      <c r="N957" t="str">
        <f>_xlfn.XLOOKUP(Orders[[#This Row],[CustomerID]],Customers[CustomerID],Customers[CustomerName])</f>
        <v>Abiola Okonkwo</v>
      </c>
      <c r="O957" t="str">
        <f>_xlfn.XLOOKUP(Orders[[#This Row],[CustomerID]],Customers[CustomerID],Customers[City])</f>
        <v>Georgia</v>
      </c>
      <c r="P957" t="str">
        <f>_xlfn.XLOOKUP(Orders[[#This Row],[CustomerID]],Customers[CustomerID],Customers[Gender])</f>
        <v>Male</v>
      </c>
      <c r="Q957">
        <f>_xlfn.XLOOKUP(Orders[[#This Row],[CustomerID]],Customers[CustomerID],Customers[CustomerAge])</f>
        <v>39</v>
      </c>
      <c r="R957" t="str">
        <f>IF(Orders[[#This Row],[CustomerAge]]&gt;=35, "Older", "Young")</f>
        <v>Older</v>
      </c>
      <c r="S957" t="str">
        <f>_xlfn.XLOOKUP(Orders[[#This Row],[ProductID]],Products[ProductID],Products[ProductName])</f>
        <v>Yoga Mat</v>
      </c>
      <c r="T957" t="str">
        <f>_xlfn.XLOOKUP(Orders[[#This Row],[ProductID]],Products[ProductID],Products[Category])</f>
        <v>Gym</v>
      </c>
    </row>
    <row r="958" spans="1:20" x14ac:dyDescent="0.25">
      <c r="A958" s="4" t="s">
        <v>1147</v>
      </c>
      <c r="B958" s="5">
        <v>46018</v>
      </c>
      <c r="C958" s="15">
        <f>WEEKNUM(Orders[[#This Row],[OrderDate]])</f>
        <v>52</v>
      </c>
      <c r="D958" s="15" t="str">
        <f>TEXT(Orders[[#This Row],[OrderDate]],"mmmm")</f>
        <v>December</v>
      </c>
      <c r="E958" s="4" t="s">
        <v>198</v>
      </c>
      <c r="F958" s="4" t="s">
        <v>37</v>
      </c>
      <c r="G958" s="4">
        <v>4</v>
      </c>
      <c r="H958" s="12">
        <v>6836.5999999999995</v>
      </c>
      <c r="I958" s="13">
        <v>5811.11</v>
      </c>
      <c r="J958" s="13">
        <f>Orders[[#This Row],[Quantity]]*Orders[[#This Row],[Selling Price]]</f>
        <v>27346.399999999998</v>
      </c>
      <c r="K958" s="13">
        <f>Orders[[#This Row],[Quantity]]*Orders[[#This Row],[Cost Price]]</f>
        <v>23244.44</v>
      </c>
      <c r="L958" s="13">
        <f>Orders[[#This Row],[Revenue]]-Orders[[#This Row],[Expenses]]</f>
        <v>4101.9599999999991</v>
      </c>
      <c r="M958" t="s">
        <v>2212</v>
      </c>
      <c r="N958" t="str">
        <f>_xlfn.XLOOKUP(Orders[[#This Row],[CustomerID]],Customers[CustomerID],Customers[CustomerName])</f>
        <v>Blessing Danladi</v>
      </c>
      <c r="O958" t="str">
        <f>_xlfn.XLOOKUP(Orders[[#This Row],[CustomerID]],Customers[CustomerID],Customers[City])</f>
        <v>Texas</v>
      </c>
      <c r="P958" t="str">
        <f>_xlfn.XLOOKUP(Orders[[#This Row],[CustomerID]],Customers[CustomerID],Customers[Gender])</f>
        <v>Female</v>
      </c>
      <c r="Q958">
        <f>_xlfn.XLOOKUP(Orders[[#This Row],[CustomerID]],Customers[CustomerID],Customers[CustomerAge])</f>
        <v>19</v>
      </c>
      <c r="R958" t="str">
        <f>IF(Orders[[#This Row],[CustomerAge]]&gt;=35, "Older", "Young")</f>
        <v>Young</v>
      </c>
      <c r="S958" t="str">
        <f>_xlfn.XLOOKUP(Orders[[#This Row],[ProductID]],Products[ProductID],Products[ProductName])</f>
        <v>Iron</v>
      </c>
      <c r="T958" t="str">
        <f>_xlfn.XLOOKUP(Orders[[#This Row],[ProductID]],Products[ProductID],Products[Category])</f>
        <v>Electronics</v>
      </c>
    </row>
    <row r="959" spans="1:20" x14ac:dyDescent="0.25">
      <c r="A959" s="4" t="s">
        <v>1148</v>
      </c>
      <c r="B959" s="5">
        <v>45958</v>
      </c>
      <c r="C959" s="15">
        <f>WEEKNUM(Orders[[#This Row],[OrderDate]])</f>
        <v>44</v>
      </c>
      <c r="D959" s="15" t="str">
        <f>TEXT(Orders[[#This Row],[OrderDate]],"mmmm")</f>
        <v>October</v>
      </c>
      <c r="E959" s="4" t="s">
        <v>314</v>
      </c>
      <c r="F959" s="4" t="s">
        <v>31</v>
      </c>
      <c r="G959" s="4">
        <v>8</v>
      </c>
      <c r="H959" s="12">
        <v>19382.5</v>
      </c>
      <c r="I959" s="13">
        <v>16475.125</v>
      </c>
      <c r="J959" s="13">
        <f>Orders[[#This Row],[Quantity]]*Orders[[#This Row],[Selling Price]]</f>
        <v>155060</v>
      </c>
      <c r="K959" s="13">
        <f>Orders[[#This Row],[Quantity]]*Orders[[#This Row],[Cost Price]]</f>
        <v>131801</v>
      </c>
      <c r="L959" s="13">
        <f>Orders[[#This Row],[Revenue]]-Orders[[#This Row],[Expenses]]</f>
        <v>23259</v>
      </c>
      <c r="M959" t="s">
        <v>2202</v>
      </c>
      <c r="N959" t="str">
        <f>_xlfn.XLOOKUP(Orders[[#This Row],[CustomerID]],Customers[CustomerID],Customers[CustomerName])</f>
        <v>Bisi Ojo</v>
      </c>
      <c r="O959" t="str">
        <f>_xlfn.XLOOKUP(Orders[[#This Row],[CustomerID]],Customers[CustomerID],Customers[City])</f>
        <v>Washington</v>
      </c>
      <c r="P959" t="str">
        <f>_xlfn.XLOOKUP(Orders[[#This Row],[CustomerID]],Customers[CustomerID],Customers[Gender])</f>
        <v>Female</v>
      </c>
      <c r="Q959">
        <f>_xlfn.XLOOKUP(Orders[[#This Row],[CustomerID]],Customers[CustomerID],Customers[CustomerAge])</f>
        <v>18</v>
      </c>
      <c r="R959" t="str">
        <f>IF(Orders[[#This Row],[CustomerAge]]&gt;=35, "Older", "Young")</f>
        <v>Young</v>
      </c>
      <c r="S959" t="str">
        <f>_xlfn.XLOOKUP(Orders[[#This Row],[ProductID]],Products[ProductID],Products[ProductName])</f>
        <v>Kids Games</v>
      </c>
      <c r="T959" t="str">
        <f>_xlfn.XLOOKUP(Orders[[#This Row],[ProductID]],Products[ProductID],Products[Category])</f>
        <v>Games</v>
      </c>
    </row>
    <row r="960" spans="1:20" x14ac:dyDescent="0.25">
      <c r="A960" s="4" t="s">
        <v>1149</v>
      </c>
      <c r="B960" s="5">
        <v>45975</v>
      </c>
      <c r="C960" s="15">
        <f>WEEKNUM(Orders[[#This Row],[OrderDate]])</f>
        <v>46</v>
      </c>
      <c r="D960" s="15" t="str">
        <f>TEXT(Orders[[#This Row],[OrderDate]],"mmmm")</f>
        <v>November</v>
      </c>
      <c r="E960" s="4" t="s">
        <v>184</v>
      </c>
      <c r="F960" s="4" t="s">
        <v>28</v>
      </c>
      <c r="G960" s="4">
        <v>4</v>
      </c>
      <c r="H960" s="12">
        <v>18526.8</v>
      </c>
      <c r="I960" s="13">
        <v>15747.779999999999</v>
      </c>
      <c r="J960" s="13">
        <f>Orders[[#This Row],[Quantity]]*Orders[[#This Row],[Selling Price]]</f>
        <v>74107.199999999997</v>
      </c>
      <c r="K960" s="13">
        <f>Orders[[#This Row],[Quantity]]*Orders[[#This Row],[Cost Price]]</f>
        <v>62991.119999999995</v>
      </c>
      <c r="L960" s="13">
        <f>Orders[[#This Row],[Revenue]]-Orders[[#This Row],[Expenses]]</f>
        <v>11116.080000000002</v>
      </c>
      <c r="M960" t="s">
        <v>2201</v>
      </c>
      <c r="N960" t="str">
        <f>_xlfn.XLOOKUP(Orders[[#This Row],[CustomerID]],Customers[CustomerID],Customers[CustomerName])</f>
        <v>Ngozi Obi</v>
      </c>
      <c r="O960" t="str">
        <f>_xlfn.XLOOKUP(Orders[[#This Row],[CustomerID]],Customers[CustomerID],Customers[City])</f>
        <v>Washington</v>
      </c>
      <c r="P960" t="str">
        <f>_xlfn.XLOOKUP(Orders[[#This Row],[CustomerID]],Customers[CustomerID],Customers[Gender])</f>
        <v>Female</v>
      </c>
      <c r="Q960">
        <f>_xlfn.XLOOKUP(Orders[[#This Row],[CustomerID]],Customers[CustomerID],Customers[CustomerAge])</f>
        <v>32</v>
      </c>
      <c r="R960" t="str">
        <f>IF(Orders[[#This Row],[CustomerAge]]&gt;=35, "Older", "Young")</f>
        <v>Young</v>
      </c>
      <c r="S960" t="str">
        <f>_xlfn.XLOOKUP(Orders[[#This Row],[ProductID]],Products[ProductID],Products[ProductName])</f>
        <v>Sneakers</v>
      </c>
      <c r="T960" t="str">
        <f>_xlfn.XLOOKUP(Orders[[#This Row],[ProductID]],Products[ProductID],Products[Category])</f>
        <v>Sports</v>
      </c>
    </row>
    <row r="961" spans="1:20" x14ac:dyDescent="0.25">
      <c r="A961" s="4" t="s">
        <v>1150</v>
      </c>
      <c r="B961" s="5">
        <v>45983</v>
      </c>
      <c r="C961" s="15">
        <f>WEEKNUM(Orders[[#This Row],[OrderDate]])</f>
        <v>47</v>
      </c>
      <c r="D961" s="15" t="str">
        <f>TEXT(Orders[[#This Row],[OrderDate]],"mmmm")</f>
        <v>November</v>
      </c>
      <c r="E961" s="4" t="s">
        <v>383</v>
      </c>
      <c r="F961" s="4" t="s">
        <v>31</v>
      </c>
      <c r="G961" s="4">
        <v>4</v>
      </c>
      <c r="H961" s="12">
        <v>13710.699999999999</v>
      </c>
      <c r="I961" s="13">
        <v>11654.094999999999</v>
      </c>
      <c r="J961" s="13">
        <f>Orders[[#This Row],[Quantity]]*Orders[[#This Row],[Selling Price]]</f>
        <v>54842.799999999996</v>
      </c>
      <c r="K961" s="13">
        <f>Orders[[#This Row],[Quantity]]*Orders[[#This Row],[Cost Price]]</f>
        <v>46616.38</v>
      </c>
      <c r="L961" s="13">
        <f>Orders[[#This Row],[Revenue]]-Orders[[#This Row],[Expenses]]</f>
        <v>8226.4199999999983</v>
      </c>
      <c r="M961" t="s">
        <v>2198</v>
      </c>
      <c r="N961" t="str">
        <f>_xlfn.XLOOKUP(Orders[[#This Row],[CustomerID]],Customers[CustomerID],Customers[CustomerName])</f>
        <v>Ibrahim Balogun</v>
      </c>
      <c r="O961" t="str">
        <f>_xlfn.XLOOKUP(Orders[[#This Row],[CustomerID]],Customers[CustomerID],Customers[City])</f>
        <v>Florida</v>
      </c>
      <c r="P961" t="str">
        <f>_xlfn.XLOOKUP(Orders[[#This Row],[CustomerID]],Customers[CustomerID],Customers[Gender])</f>
        <v>Male</v>
      </c>
      <c r="Q961">
        <f>_xlfn.XLOOKUP(Orders[[#This Row],[CustomerID]],Customers[CustomerID],Customers[CustomerAge])</f>
        <v>27</v>
      </c>
      <c r="R961" t="str">
        <f>IF(Orders[[#This Row],[CustomerAge]]&gt;=35, "Older", "Young")</f>
        <v>Young</v>
      </c>
      <c r="S961" t="str">
        <f>_xlfn.XLOOKUP(Orders[[#This Row],[ProductID]],Products[ProductID],Products[ProductName])</f>
        <v>Kids Games</v>
      </c>
      <c r="T961" t="str">
        <f>_xlfn.XLOOKUP(Orders[[#This Row],[ProductID]],Products[ProductID],Products[Category])</f>
        <v>Games</v>
      </c>
    </row>
    <row r="962" spans="1:20" x14ac:dyDescent="0.25">
      <c r="A962" s="4" t="s">
        <v>1151</v>
      </c>
      <c r="B962" s="5">
        <v>45965</v>
      </c>
      <c r="C962" s="15">
        <f>WEEKNUM(Orders[[#This Row],[OrderDate]])</f>
        <v>45</v>
      </c>
      <c r="D962" s="15" t="str">
        <f>TEXT(Orders[[#This Row],[OrderDate]],"mmmm")</f>
        <v>November</v>
      </c>
      <c r="E962" s="4" t="s">
        <v>11</v>
      </c>
      <c r="F962" s="4" t="s">
        <v>46</v>
      </c>
      <c r="G962" s="4">
        <v>1</v>
      </c>
      <c r="H962" s="12">
        <v>18026</v>
      </c>
      <c r="I962" s="13">
        <v>15322.1</v>
      </c>
      <c r="J962" s="13">
        <f>Orders[[#This Row],[Quantity]]*Orders[[#This Row],[Selling Price]]</f>
        <v>18026</v>
      </c>
      <c r="K962" s="13">
        <f>Orders[[#This Row],[Quantity]]*Orders[[#This Row],[Cost Price]]</f>
        <v>15322.1</v>
      </c>
      <c r="L962" s="13">
        <f>Orders[[#This Row],[Revenue]]-Orders[[#This Row],[Expenses]]</f>
        <v>2703.8999999999996</v>
      </c>
      <c r="M962" t="s">
        <v>2220</v>
      </c>
      <c r="N962" t="str">
        <f>_xlfn.XLOOKUP(Orders[[#This Row],[CustomerID]],Customers[CustomerID],Customers[CustomerName])</f>
        <v>Efe Ojo</v>
      </c>
      <c r="O962" t="str">
        <f>_xlfn.XLOOKUP(Orders[[#This Row],[CustomerID]],Customers[CustomerID],Customers[City])</f>
        <v>Texas</v>
      </c>
      <c r="P962" t="str">
        <f>_xlfn.XLOOKUP(Orders[[#This Row],[CustomerID]],Customers[CustomerID],Customers[Gender])</f>
        <v>Female</v>
      </c>
      <c r="Q962">
        <f>_xlfn.XLOOKUP(Orders[[#This Row],[CustomerID]],Customers[CustomerID],Customers[CustomerAge])</f>
        <v>55</v>
      </c>
      <c r="R962" t="str">
        <f>IF(Orders[[#This Row],[CustomerAge]]&gt;=35, "Older", "Young")</f>
        <v>Older</v>
      </c>
      <c r="S962" t="str">
        <f>_xlfn.XLOOKUP(Orders[[#This Row],[ProductID]],Products[ProductID],Products[ProductName])</f>
        <v>Turtle Neck</v>
      </c>
      <c r="T962" t="str">
        <f>_xlfn.XLOOKUP(Orders[[#This Row],[ProductID]],Products[ProductID],Products[Category])</f>
        <v>Clothing</v>
      </c>
    </row>
    <row r="963" spans="1:20" x14ac:dyDescent="0.25">
      <c r="A963" s="4" t="s">
        <v>1152</v>
      </c>
      <c r="B963" s="5">
        <v>45942</v>
      </c>
      <c r="C963" s="15">
        <f>WEEKNUM(Orders[[#This Row],[OrderDate]])</f>
        <v>42</v>
      </c>
      <c r="D963" s="15" t="str">
        <f>TEXT(Orders[[#This Row],[OrderDate]],"mmmm")</f>
        <v>October</v>
      </c>
      <c r="E963" s="4" t="s">
        <v>91</v>
      </c>
      <c r="F963" s="4" t="s">
        <v>20</v>
      </c>
      <c r="G963" s="4">
        <v>5</v>
      </c>
      <c r="H963" s="12">
        <v>665.3</v>
      </c>
      <c r="I963" s="13">
        <v>565.505</v>
      </c>
      <c r="J963" s="13">
        <f>Orders[[#This Row],[Quantity]]*Orders[[#This Row],[Selling Price]]</f>
        <v>3326.5</v>
      </c>
      <c r="K963" s="13">
        <f>Orders[[#This Row],[Quantity]]*Orders[[#This Row],[Cost Price]]</f>
        <v>2827.5250000000001</v>
      </c>
      <c r="L963" s="13">
        <f>Orders[[#This Row],[Revenue]]-Orders[[#This Row],[Expenses]]</f>
        <v>498.97499999999991</v>
      </c>
      <c r="M963" t="s">
        <v>2204</v>
      </c>
      <c r="N963" t="str">
        <f>_xlfn.XLOOKUP(Orders[[#This Row],[CustomerID]],Customers[CustomerID],Customers[CustomerName])</f>
        <v>Uche Abubakar</v>
      </c>
      <c r="O963" t="str">
        <f>_xlfn.XLOOKUP(Orders[[#This Row],[CustomerID]],Customers[CustomerID],Customers[City])</f>
        <v>Florida</v>
      </c>
      <c r="P963" t="str">
        <f>_xlfn.XLOOKUP(Orders[[#This Row],[CustomerID]],Customers[CustomerID],Customers[Gender])</f>
        <v>Male</v>
      </c>
      <c r="Q963">
        <f>_xlfn.XLOOKUP(Orders[[#This Row],[CustomerID]],Customers[CustomerID],Customers[CustomerAge])</f>
        <v>28</v>
      </c>
      <c r="R963" t="str">
        <f>IF(Orders[[#This Row],[CustomerAge]]&gt;=35, "Older", "Young")</f>
        <v>Young</v>
      </c>
      <c r="S963" t="str">
        <f>_xlfn.XLOOKUP(Orders[[#This Row],[ProductID]],Products[ProductID],Products[ProductName])</f>
        <v>Gym Bag</v>
      </c>
      <c r="T963" t="str">
        <f>_xlfn.XLOOKUP(Orders[[#This Row],[ProductID]],Products[ProductID],Products[Category])</f>
        <v>Gym</v>
      </c>
    </row>
    <row r="964" spans="1:20" x14ac:dyDescent="0.25">
      <c r="A964" s="4" t="s">
        <v>1153</v>
      </c>
      <c r="B964" s="5">
        <v>45962</v>
      </c>
      <c r="C964" s="15">
        <f>WEEKNUM(Orders[[#This Row],[OrderDate]])</f>
        <v>44</v>
      </c>
      <c r="D964" s="15" t="str">
        <f>TEXT(Orders[[#This Row],[OrderDate]],"mmmm")</f>
        <v>November</v>
      </c>
      <c r="E964" s="4" t="s">
        <v>833</v>
      </c>
      <c r="F964" s="4" t="s">
        <v>111</v>
      </c>
      <c r="G964" s="4">
        <v>6</v>
      </c>
      <c r="H964" s="12">
        <v>15708.800000000001</v>
      </c>
      <c r="I964" s="13">
        <v>13352.480000000001</v>
      </c>
      <c r="J964" s="13">
        <f>Orders[[#This Row],[Quantity]]*Orders[[#This Row],[Selling Price]]</f>
        <v>94252.800000000003</v>
      </c>
      <c r="K964" s="13">
        <f>Orders[[#This Row],[Quantity]]*Orders[[#This Row],[Cost Price]]</f>
        <v>80114.880000000005</v>
      </c>
      <c r="L964" s="13">
        <f>Orders[[#This Row],[Revenue]]-Orders[[#This Row],[Expenses]]</f>
        <v>14137.919999999998</v>
      </c>
      <c r="M964" t="s">
        <v>2218</v>
      </c>
      <c r="N964" t="str">
        <f>_xlfn.XLOOKUP(Orders[[#This Row],[CustomerID]],Customers[CustomerID],Customers[CustomerName])</f>
        <v>Abiola Adeyemi</v>
      </c>
      <c r="O964" t="str">
        <f>_xlfn.XLOOKUP(Orders[[#This Row],[CustomerID]],Customers[CustomerID],Customers[City])</f>
        <v>Washington</v>
      </c>
      <c r="P964" t="str">
        <f>_xlfn.XLOOKUP(Orders[[#This Row],[CustomerID]],Customers[CustomerID],Customers[Gender])</f>
        <v>Male</v>
      </c>
      <c r="Q964">
        <f>_xlfn.XLOOKUP(Orders[[#This Row],[CustomerID]],Customers[CustomerID],Customers[CustomerAge])</f>
        <v>53</v>
      </c>
      <c r="R964" t="str">
        <f>IF(Orders[[#This Row],[CustomerAge]]&gt;=35, "Older", "Young")</f>
        <v>Older</v>
      </c>
      <c r="S964" t="str">
        <f>_xlfn.XLOOKUP(Orders[[#This Row],[ProductID]],Products[ProductID],Products[ProductName])</f>
        <v>Refrigerator</v>
      </c>
      <c r="T964" t="str">
        <f>_xlfn.XLOOKUP(Orders[[#This Row],[ProductID]],Products[ProductID],Products[Category])</f>
        <v>Electronics</v>
      </c>
    </row>
    <row r="965" spans="1:20" x14ac:dyDescent="0.25">
      <c r="A965" s="4" t="s">
        <v>1154</v>
      </c>
      <c r="B965" s="5">
        <v>46005</v>
      </c>
      <c r="C965" s="15">
        <f>WEEKNUM(Orders[[#This Row],[OrderDate]])</f>
        <v>51</v>
      </c>
      <c r="D965" s="15" t="str">
        <f>TEXT(Orders[[#This Row],[OrderDate]],"mmmm")</f>
        <v>December</v>
      </c>
      <c r="E965" s="4" t="s">
        <v>207</v>
      </c>
      <c r="F965" s="4" t="s">
        <v>189</v>
      </c>
      <c r="G965" s="4">
        <v>3</v>
      </c>
      <c r="H965" s="12">
        <v>7654</v>
      </c>
      <c r="I965" s="13">
        <v>6505.9</v>
      </c>
      <c r="J965" s="13">
        <f>Orders[[#This Row],[Quantity]]*Orders[[#This Row],[Selling Price]]</f>
        <v>22962</v>
      </c>
      <c r="K965" s="13">
        <f>Orders[[#This Row],[Quantity]]*Orders[[#This Row],[Cost Price]]</f>
        <v>19517.699999999997</v>
      </c>
      <c r="L965" s="13">
        <f>Orders[[#This Row],[Revenue]]-Orders[[#This Row],[Expenses]]</f>
        <v>3444.3000000000029</v>
      </c>
      <c r="M965" t="s">
        <v>2220</v>
      </c>
      <c r="N965" t="str">
        <f>_xlfn.XLOOKUP(Orders[[#This Row],[CustomerID]],Customers[CustomerID],Customers[CustomerName])</f>
        <v>Bisi Eze</v>
      </c>
      <c r="O965" t="str">
        <f>_xlfn.XLOOKUP(Orders[[#This Row],[CustomerID]],Customers[CustomerID],Customers[City])</f>
        <v>Florida</v>
      </c>
      <c r="P965" t="str">
        <f>_xlfn.XLOOKUP(Orders[[#This Row],[CustomerID]],Customers[CustomerID],Customers[Gender])</f>
        <v>Female</v>
      </c>
      <c r="Q965">
        <f>_xlfn.XLOOKUP(Orders[[#This Row],[CustomerID]],Customers[CustomerID],Customers[CustomerAge])</f>
        <v>37</v>
      </c>
      <c r="R965" t="str">
        <f>IF(Orders[[#This Row],[CustomerAge]]&gt;=35, "Older", "Young")</f>
        <v>Older</v>
      </c>
      <c r="S965" t="str">
        <f>_xlfn.XLOOKUP(Orders[[#This Row],[ProductID]],Products[ProductID],Products[ProductName])</f>
        <v>Scrabble</v>
      </c>
      <c r="T965" t="str">
        <f>_xlfn.XLOOKUP(Orders[[#This Row],[ProductID]],Products[ProductID],Products[Category])</f>
        <v>Games</v>
      </c>
    </row>
    <row r="966" spans="1:20" x14ac:dyDescent="0.25">
      <c r="A966" s="4" t="s">
        <v>1155</v>
      </c>
      <c r="B966" s="5">
        <v>46006</v>
      </c>
      <c r="C966" s="15">
        <f>WEEKNUM(Orders[[#This Row],[OrderDate]])</f>
        <v>51</v>
      </c>
      <c r="D966" s="15" t="str">
        <f>TEXT(Orders[[#This Row],[OrderDate]],"mmmm")</f>
        <v>December</v>
      </c>
      <c r="E966" s="4" t="s">
        <v>574</v>
      </c>
      <c r="F966" s="4" t="s">
        <v>125</v>
      </c>
      <c r="G966" s="4">
        <v>1</v>
      </c>
      <c r="H966" s="12">
        <v>648.9</v>
      </c>
      <c r="I966" s="13">
        <v>551.56499999999994</v>
      </c>
      <c r="J966" s="13">
        <f>Orders[[#This Row],[Quantity]]*Orders[[#This Row],[Selling Price]]</f>
        <v>648.9</v>
      </c>
      <c r="K966" s="13">
        <f>Orders[[#This Row],[Quantity]]*Orders[[#This Row],[Cost Price]]</f>
        <v>551.56499999999994</v>
      </c>
      <c r="L966" s="13">
        <f>Orders[[#This Row],[Revenue]]-Orders[[#This Row],[Expenses]]</f>
        <v>97.335000000000036</v>
      </c>
      <c r="M966" t="s">
        <v>2194</v>
      </c>
      <c r="N966" t="str">
        <f>_xlfn.XLOOKUP(Orders[[#This Row],[CustomerID]],Customers[CustomerID],Customers[CustomerName])</f>
        <v>Adanma Obi</v>
      </c>
      <c r="O966" t="str">
        <f>_xlfn.XLOOKUP(Orders[[#This Row],[CustomerID]],Customers[CustomerID],Customers[City])</f>
        <v>Texas</v>
      </c>
      <c r="P966" t="str">
        <f>_xlfn.XLOOKUP(Orders[[#This Row],[CustomerID]],Customers[CustomerID],Customers[Gender])</f>
        <v>Female</v>
      </c>
      <c r="Q966">
        <f>_xlfn.XLOOKUP(Orders[[#This Row],[CustomerID]],Customers[CustomerID],Customers[CustomerAge])</f>
        <v>23</v>
      </c>
      <c r="R966" t="str">
        <f>IF(Orders[[#This Row],[CustomerAge]]&gt;=35, "Older", "Young")</f>
        <v>Young</v>
      </c>
      <c r="S966" t="str">
        <f>_xlfn.XLOOKUP(Orders[[#This Row],[ProductID]],Products[ProductID],Products[ProductName])</f>
        <v>Earrings</v>
      </c>
      <c r="T966" t="str">
        <f>_xlfn.XLOOKUP(Orders[[#This Row],[ProductID]],Products[ProductID],Products[Category])</f>
        <v>Accessories</v>
      </c>
    </row>
    <row r="967" spans="1:20" x14ac:dyDescent="0.25">
      <c r="A967" s="4" t="s">
        <v>1156</v>
      </c>
      <c r="B967" s="5">
        <v>45934</v>
      </c>
      <c r="C967" s="15">
        <f>WEEKNUM(Orders[[#This Row],[OrderDate]])</f>
        <v>40</v>
      </c>
      <c r="D967" s="15" t="str">
        <f>TEXT(Orders[[#This Row],[OrderDate]],"mmmm")</f>
        <v>October</v>
      </c>
      <c r="E967" s="4" t="s">
        <v>62</v>
      </c>
      <c r="F967" s="4" t="s">
        <v>84</v>
      </c>
      <c r="G967" s="4">
        <v>3</v>
      </c>
      <c r="H967" s="12">
        <v>2945.6</v>
      </c>
      <c r="I967" s="13">
        <v>2503.7599999999998</v>
      </c>
      <c r="J967" s="13">
        <f>Orders[[#This Row],[Quantity]]*Orders[[#This Row],[Selling Price]]</f>
        <v>8836.7999999999993</v>
      </c>
      <c r="K967" s="13">
        <f>Orders[[#This Row],[Quantity]]*Orders[[#This Row],[Cost Price]]</f>
        <v>7511.2799999999988</v>
      </c>
      <c r="L967" s="13">
        <f>Orders[[#This Row],[Revenue]]-Orders[[#This Row],[Expenses]]</f>
        <v>1325.5200000000004</v>
      </c>
      <c r="M967" t="s">
        <v>2208</v>
      </c>
      <c r="N967" t="str">
        <f>_xlfn.XLOOKUP(Orders[[#This Row],[CustomerID]],Customers[CustomerID],Customers[CustomerName])</f>
        <v>Ronke Okonkwo</v>
      </c>
      <c r="O967" t="str">
        <f>_xlfn.XLOOKUP(Orders[[#This Row],[CustomerID]],Customers[CustomerID],Customers[City])</f>
        <v>Texas</v>
      </c>
      <c r="P967" t="str">
        <f>_xlfn.XLOOKUP(Orders[[#This Row],[CustomerID]],Customers[CustomerID],Customers[Gender])</f>
        <v>Female</v>
      </c>
      <c r="Q967">
        <f>_xlfn.XLOOKUP(Orders[[#This Row],[CustomerID]],Customers[CustomerID],Customers[CustomerAge])</f>
        <v>36</v>
      </c>
      <c r="R967" t="str">
        <f>IF(Orders[[#This Row],[CustomerAge]]&gt;=35, "Older", "Young")</f>
        <v>Older</v>
      </c>
      <c r="S967" t="str">
        <f>_xlfn.XLOOKUP(Orders[[#This Row],[ProductID]],Products[ProductID],Products[ProductName])</f>
        <v>Gym Wears</v>
      </c>
      <c r="T967" t="str">
        <f>_xlfn.XLOOKUP(Orders[[#This Row],[ProductID]],Products[ProductID],Products[Category])</f>
        <v>Clothing</v>
      </c>
    </row>
    <row r="968" spans="1:20" x14ac:dyDescent="0.25">
      <c r="A968" s="4" t="s">
        <v>1157</v>
      </c>
      <c r="B968" s="5">
        <v>45964</v>
      </c>
      <c r="C968" s="15">
        <f>WEEKNUM(Orders[[#This Row],[OrderDate]])</f>
        <v>45</v>
      </c>
      <c r="D968" s="15" t="str">
        <f>TEXT(Orders[[#This Row],[OrderDate]],"mmmm")</f>
        <v>November</v>
      </c>
      <c r="E968" s="4" t="s">
        <v>305</v>
      </c>
      <c r="F968" s="4" t="s">
        <v>84</v>
      </c>
      <c r="G968" s="4">
        <v>4</v>
      </c>
      <c r="H968" s="12">
        <v>3187.5</v>
      </c>
      <c r="I968" s="13">
        <v>2709.375</v>
      </c>
      <c r="J968" s="13">
        <f>Orders[[#This Row],[Quantity]]*Orders[[#This Row],[Selling Price]]</f>
        <v>12750</v>
      </c>
      <c r="K968" s="13">
        <f>Orders[[#This Row],[Quantity]]*Orders[[#This Row],[Cost Price]]</f>
        <v>10837.5</v>
      </c>
      <c r="L968" s="13">
        <f>Orders[[#This Row],[Revenue]]-Orders[[#This Row],[Expenses]]</f>
        <v>1912.5</v>
      </c>
      <c r="M968" t="s">
        <v>2219</v>
      </c>
      <c r="N968" t="str">
        <f>_xlfn.XLOOKUP(Orders[[#This Row],[CustomerID]],Customers[CustomerID],Customers[CustomerName])</f>
        <v>Tunde Danladi</v>
      </c>
      <c r="O968" t="str">
        <f>_xlfn.XLOOKUP(Orders[[#This Row],[CustomerID]],Customers[CustomerID],Customers[City])</f>
        <v>California</v>
      </c>
      <c r="P968" t="str">
        <f>_xlfn.XLOOKUP(Orders[[#This Row],[CustomerID]],Customers[CustomerID],Customers[Gender])</f>
        <v>Male</v>
      </c>
      <c r="Q968">
        <f>_xlfn.XLOOKUP(Orders[[#This Row],[CustomerID]],Customers[CustomerID],Customers[CustomerAge])</f>
        <v>40</v>
      </c>
      <c r="R968" t="str">
        <f>IF(Orders[[#This Row],[CustomerAge]]&gt;=35, "Older", "Young")</f>
        <v>Older</v>
      </c>
      <c r="S968" t="str">
        <f>_xlfn.XLOOKUP(Orders[[#This Row],[ProductID]],Products[ProductID],Products[ProductName])</f>
        <v>Gym Wears</v>
      </c>
      <c r="T968" t="str">
        <f>_xlfn.XLOOKUP(Orders[[#This Row],[ProductID]],Products[ProductID],Products[Category])</f>
        <v>Clothing</v>
      </c>
    </row>
    <row r="969" spans="1:20" x14ac:dyDescent="0.25">
      <c r="A969" s="4" t="s">
        <v>1158</v>
      </c>
      <c r="B969" s="5">
        <v>45993</v>
      </c>
      <c r="C969" s="15">
        <f>WEEKNUM(Orders[[#This Row],[OrderDate]])</f>
        <v>49</v>
      </c>
      <c r="D969" s="15" t="str">
        <f>TEXT(Orders[[#This Row],[OrderDate]],"mmmm")</f>
        <v>December</v>
      </c>
      <c r="E969" s="4" t="s">
        <v>101</v>
      </c>
      <c r="F969" s="4" t="s">
        <v>353</v>
      </c>
      <c r="G969" s="4">
        <v>1</v>
      </c>
      <c r="H969" s="12">
        <v>1978.1999999999998</v>
      </c>
      <c r="I969" s="13">
        <v>1681.4699999999998</v>
      </c>
      <c r="J969" s="13">
        <f>Orders[[#This Row],[Quantity]]*Orders[[#This Row],[Selling Price]]</f>
        <v>1978.1999999999998</v>
      </c>
      <c r="K969" s="13">
        <f>Orders[[#This Row],[Quantity]]*Orders[[#This Row],[Cost Price]]</f>
        <v>1681.4699999999998</v>
      </c>
      <c r="L969" s="13">
        <f>Orders[[#This Row],[Revenue]]-Orders[[#This Row],[Expenses]]</f>
        <v>296.73</v>
      </c>
      <c r="M969" t="s">
        <v>2209</v>
      </c>
      <c r="N969" t="str">
        <f>_xlfn.XLOOKUP(Orders[[#This Row],[CustomerID]],Customers[CustomerID],Customers[CustomerName])</f>
        <v>Blessing Eze</v>
      </c>
      <c r="O969" t="str">
        <f>_xlfn.XLOOKUP(Orders[[#This Row],[CustomerID]],Customers[CustomerID],Customers[City])</f>
        <v>Texas</v>
      </c>
      <c r="P969" t="str">
        <f>_xlfn.XLOOKUP(Orders[[#This Row],[CustomerID]],Customers[CustomerID],Customers[Gender])</f>
        <v>Female</v>
      </c>
      <c r="Q969">
        <f>_xlfn.XLOOKUP(Orders[[#This Row],[CustomerID]],Customers[CustomerID],Customers[CustomerAge])</f>
        <v>55</v>
      </c>
      <c r="R969" t="str">
        <f>IF(Orders[[#This Row],[CustomerAge]]&gt;=35, "Older", "Young")</f>
        <v>Older</v>
      </c>
      <c r="S969" t="str">
        <f>_xlfn.XLOOKUP(Orders[[#This Row],[ProductID]],Products[ProductID],Products[ProductName])</f>
        <v>Silver Earrings And Necklaces</v>
      </c>
      <c r="T969" t="str">
        <f>_xlfn.XLOOKUP(Orders[[#This Row],[ProductID]],Products[ProductID],Products[Category])</f>
        <v>Accessories</v>
      </c>
    </row>
    <row r="970" spans="1:20" x14ac:dyDescent="0.25">
      <c r="A970" s="4" t="s">
        <v>1159</v>
      </c>
      <c r="B970" s="5">
        <v>45983</v>
      </c>
      <c r="C970" s="15">
        <f>WEEKNUM(Orders[[#This Row],[OrderDate]])</f>
        <v>47</v>
      </c>
      <c r="D970" s="15" t="str">
        <f>TEXT(Orders[[#This Row],[OrderDate]],"mmmm")</f>
        <v>November</v>
      </c>
      <c r="E970" s="4" t="s">
        <v>105</v>
      </c>
      <c r="F970" s="4" t="s">
        <v>34</v>
      </c>
      <c r="G970" s="4">
        <v>1</v>
      </c>
      <c r="H970" s="12">
        <v>9391.4</v>
      </c>
      <c r="I970" s="13">
        <v>7982.69</v>
      </c>
      <c r="J970" s="13">
        <f>Orders[[#This Row],[Quantity]]*Orders[[#This Row],[Selling Price]]</f>
        <v>9391.4</v>
      </c>
      <c r="K970" s="13">
        <f>Orders[[#This Row],[Quantity]]*Orders[[#This Row],[Cost Price]]</f>
        <v>7982.69</v>
      </c>
      <c r="L970" s="13">
        <f>Orders[[#This Row],[Revenue]]-Orders[[#This Row],[Expenses]]</f>
        <v>1408.71</v>
      </c>
      <c r="M970" t="s">
        <v>2197</v>
      </c>
      <c r="N970" t="str">
        <f>_xlfn.XLOOKUP(Orders[[#This Row],[CustomerID]],Customers[CustomerID],Customers[CustomerName])</f>
        <v>Folasade Adeyemi</v>
      </c>
      <c r="O970" t="str">
        <f>_xlfn.XLOOKUP(Orders[[#This Row],[CustomerID]],Customers[CustomerID],Customers[City])</f>
        <v>Georgia</v>
      </c>
      <c r="P970" t="str">
        <f>_xlfn.XLOOKUP(Orders[[#This Row],[CustomerID]],Customers[CustomerID],Customers[Gender])</f>
        <v>Female</v>
      </c>
      <c r="Q970">
        <f>_xlfn.XLOOKUP(Orders[[#This Row],[CustomerID]],Customers[CustomerID],Customers[CustomerAge])</f>
        <v>42</v>
      </c>
      <c r="R970" t="str">
        <f>IF(Orders[[#This Row],[CustomerAge]]&gt;=35, "Older", "Young")</f>
        <v>Older</v>
      </c>
      <c r="S970" t="str">
        <f>_xlfn.XLOOKUP(Orders[[#This Row],[ProductID]],Products[ProductID],Products[ProductName])</f>
        <v>Gold Bracelets</v>
      </c>
      <c r="T970" t="str">
        <f>_xlfn.XLOOKUP(Orders[[#This Row],[ProductID]],Products[ProductID],Products[Category])</f>
        <v>Accessories</v>
      </c>
    </row>
    <row r="971" spans="1:20" x14ac:dyDescent="0.25">
      <c r="A971" s="4" t="s">
        <v>1160</v>
      </c>
      <c r="B971" s="5">
        <v>46019</v>
      </c>
      <c r="C971" s="15">
        <f>WEEKNUM(Orders[[#This Row],[OrderDate]])</f>
        <v>53</v>
      </c>
      <c r="D971" s="15" t="str">
        <f>TEXT(Orders[[#This Row],[OrderDate]],"mmmm")</f>
        <v>December</v>
      </c>
      <c r="E971" s="4" t="s">
        <v>33</v>
      </c>
      <c r="F971" s="4" t="s">
        <v>120</v>
      </c>
      <c r="G971" s="4">
        <v>4</v>
      </c>
      <c r="H971" s="12">
        <v>10123.300000000001</v>
      </c>
      <c r="I971" s="13">
        <v>8604.8050000000003</v>
      </c>
      <c r="J971" s="13">
        <f>Orders[[#This Row],[Quantity]]*Orders[[#This Row],[Selling Price]]</f>
        <v>40493.200000000004</v>
      </c>
      <c r="K971" s="13">
        <f>Orders[[#This Row],[Quantity]]*Orders[[#This Row],[Cost Price]]</f>
        <v>34419.22</v>
      </c>
      <c r="L971" s="13">
        <f>Orders[[#This Row],[Revenue]]-Orders[[#This Row],[Expenses]]</f>
        <v>6073.9800000000032</v>
      </c>
      <c r="M971" t="s">
        <v>2194</v>
      </c>
      <c r="N971" t="str">
        <f>_xlfn.XLOOKUP(Orders[[#This Row],[CustomerID]],Customers[CustomerID],Customers[CustomerName])</f>
        <v>Okon Balogun</v>
      </c>
      <c r="O971" t="str">
        <f>_xlfn.XLOOKUP(Orders[[#This Row],[CustomerID]],Customers[CustomerID],Customers[City])</f>
        <v>Texas</v>
      </c>
      <c r="P971" t="str">
        <f>_xlfn.XLOOKUP(Orders[[#This Row],[CustomerID]],Customers[CustomerID],Customers[Gender])</f>
        <v>Male</v>
      </c>
      <c r="Q971">
        <f>_xlfn.XLOOKUP(Orders[[#This Row],[CustomerID]],Customers[CustomerID],Customers[CustomerAge])</f>
        <v>28</v>
      </c>
      <c r="R971" t="str">
        <f>IF(Orders[[#This Row],[CustomerAge]]&gt;=35, "Older", "Young")</f>
        <v>Young</v>
      </c>
      <c r="S971" t="str">
        <f>_xlfn.XLOOKUP(Orders[[#This Row],[ProductID]],Products[ProductID],Products[ProductName])</f>
        <v>Chess</v>
      </c>
      <c r="T971" t="str">
        <f>_xlfn.XLOOKUP(Orders[[#This Row],[ProductID]],Products[ProductID],Products[Category])</f>
        <v>Games</v>
      </c>
    </row>
    <row r="972" spans="1:20" x14ac:dyDescent="0.25">
      <c r="A972" s="4" t="s">
        <v>1161</v>
      </c>
      <c r="B972" s="5">
        <v>46020</v>
      </c>
      <c r="C972" s="15">
        <f>WEEKNUM(Orders[[#This Row],[OrderDate]])</f>
        <v>53</v>
      </c>
      <c r="D972" s="15" t="str">
        <f>TEXT(Orders[[#This Row],[OrderDate]],"mmmm")</f>
        <v>December</v>
      </c>
      <c r="E972" s="4" t="s">
        <v>239</v>
      </c>
      <c r="F972" s="4" t="s">
        <v>76</v>
      </c>
      <c r="G972" s="4">
        <v>9</v>
      </c>
      <c r="H972" s="12">
        <v>3425.2999999999997</v>
      </c>
      <c r="I972" s="13">
        <v>2911.5049999999997</v>
      </c>
      <c r="J972" s="13">
        <f>Orders[[#This Row],[Quantity]]*Orders[[#This Row],[Selling Price]]</f>
        <v>30827.699999999997</v>
      </c>
      <c r="K972" s="13">
        <f>Orders[[#This Row],[Quantity]]*Orders[[#This Row],[Cost Price]]</f>
        <v>26203.544999999998</v>
      </c>
      <c r="L972" s="13">
        <f>Orders[[#This Row],[Revenue]]-Orders[[#This Row],[Expenses]]</f>
        <v>4624.1549999999988</v>
      </c>
      <c r="M972" t="s">
        <v>2197</v>
      </c>
      <c r="N972" t="str">
        <f>_xlfn.XLOOKUP(Orders[[#This Row],[CustomerID]],Customers[CustomerID],Customers[CustomerName])</f>
        <v>Emeka Danladi</v>
      </c>
      <c r="O972" t="str">
        <f>_xlfn.XLOOKUP(Orders[[#This Row],[CustomerID]],Customers[CustomerID],Customers[City])</f>
        <v>Florida</v>
      </c>
      <c r="P972" t="str">
        <f>_xlfn.XLOOKUP(Orders[[#This Row],[CustomerID]],Customers[CustomerID],Customers[Gender])</f>
        <v>Male</v>
      </c>
      <c r="Q972">
        <f>_xlfn.XLOOKUP(Orders[[#This Row],[CustomerID]],Customers[CustomerID],Customers[CustomerAge])</f>
        <v>23</v>
      </c>
      <c r="R972" t="str">
        <f>IF(Orders[[#This Row],[CustomerAge]]&gt;=35, "Older", "Young")</f>
        <v>Young</v>
      </c>
      <c r="S972" t="str">
        <f>_xlfn.XLOOKUP(Orders[[#This Row],[ProductID]],Products[ProductID],Products[ProductName])</f>
        <v>Blender</v>
      </c>
      <c r="T972" t="str">
        <f>_xlfn.XLOOKUP(Orders[[#This Row],[ProductID]],Products[ProductID],Products[Category])</f>
        <v>Electronics</v>
      </c>
    </row>
    <row r="973" spans="1:20" x14ac:dyDescent="0.25">
      <c r="A973" s="4" t="s">
        <v>1162</v>
      </c>
      <c r="B973" s="5">
        <v>46006</v>
      </c>
      <c r="C973" s="15">
        <f>WEEKNUM(Orders[[#This Row],[OrderDate]])</f>
        <v>51</v>
      </c>
      <c r="D973" s="15" t="str">
        <f>TEXT(Orders[[#This Row],[OrderDate]],"mmmm")</f>
        <v>December</v>
      </c>
      <c r="E973" s="4" t="s">
        <v>225</v>
      </c>
      <c r="F973" s="4" t="s">
        <v>168</v>
      </c>
      <c r="G973" s="4">
        <v>6</v>
      </c>
      <c r="H973" s="12">
        <v>1210</v>
      </c>
      <c r="I973" s="13">
        <v>1028.5</v>
      </c>
      <c r="J973" s="13">
        <f>Orders[[#This Row],[Quantity]]*Orders[[#This Row],[Selling Price]]</f>
        <v>7260</v>
      </c>
      <c r="K973" s="13">
        <f>Orders[[#This Row],[Quantity]]*Orders[[#This Row],[Cost Price]]</f>
        <v>6171</v>
      </c>
      <c r="L973" s="13">
        <f>Orders[[#This Row],[Revenue]]-Orders[[#This Row],[Expenses]]</f>
        <v>1089</v>
      </c>
      <c r="M973" t="s">
        <v>2209</v>
      </c>
      <c r="N973" t="str">
        <f>_xlfn.XLOOKUP(Orders[[#This Row],[CustomerID]],Customers[CustomerID],Customers[CustomerName])</f>
        <v>Uche Danladi</v>
      </c>
      <c r="O973" t="str">
        <f>_xlfn.XLOOKUP(Orders[[#This Row],[CustomerID]],Customers[CustomerID],Customers[City])</f>
        <v>Texas</v>
      </c>
      <c r="P973" t="str">
        <f>_xlfn.XLOOKUP(Orders[[#This Row],[CustomerID]],Customers[CustomerID],Customers[Gender])</f>
        <v>Male</v>
      </c>
      <c r="Q973">
        <f>_xlfn.XLOOKUP(Orders[[#This Row],[CustomerID]],Customers[CustomerID],Customers[CustomerAge])</f>
        <v>45</v>
      </c>
      <c r="R973" t="str">
        <f>IF(Orders[[#This Row],[CustomerAge]]&gt;=35, "Older", "Young")</f>
        <v>Older</v>
      </c>
      <c r="S973" t="str">
        <f>_xlfn.XLOOKUP(Orders[[#This Row],[ProductID]],Products[ProductID],Products[ProductName])</f>
        <v>Dumb Bells</v>
      </c>
      <c r="T973" t="str">
        <f>_xlfn.XLOOKUP(Orders[[#This Row],[ProductID]],Products[ProductID],Products[Category])</f>
        <v>Gym</v>
      </c>
    </row>
    <row r="974" spans="1:20" x14ac:dyDescent="0.25">
      <c r="A974" s="4" t="s">
        <v>1163</v>
      </c>
      <c r="B974" s="5">
        <v>45963</v>
      </c>
      <c r="C974" s="15">
        <f>WEEKNUM(Orders[[#This Row],[OrderDate]])</f>
        <v>45</v>
      </c>
      <c r="D974" s="15" t="str">
        <f>TEXT(Orders[[#This Row],[OrderDate]],"mmmm")</f>
        <v>November</v>
      </c>
      <c r="E974" s="4" t="s">
        <v>287</v>
      </c>
      <c r="F974" s="4" t="s">
        <v>120</v>
      </c>
      <c r="G974" s="4">
        <v>9</v>
      </c>
      <c r="H974" s="12">
        <v>15465.599999999999</v>
      </c>
      <c r="I974" s="13">
        <v>13145.759999999998</v>
      </c>
      <c r="J974" s="13">
        <f>Orders[[#This Row],[Quantity]]*Orders[[#This Row],[Selling Price]]</f>
        <v>139190.39999999999</v>
      </c>
      <c r="K974" s="13">
        <f>Orders[[#This Row],[Quantity]]*Orders[[#This Row],[Cost Price]]</f>
        <v>118311.83999999998</v>
      </c>
      <c r="L974" s="13">
        <f>Orders[[#This Row],[Revenue]]-Orders[[#This Row],[Expenses]]</f>
        <v>20878.560000000012</v>
      </c>
      <c r="M974" t="s">
        <v>2220</v>
      </c>
      <c r="N974" t="str">
        <f>_xlfn.XLOOKUP(Orders[[#This Row],[CustomerID]],Customers[CustomerID],Customers[CustomerName])</f>
        <v>Okon Obi</v>
      </c>
      <c r="O974" t="str">
        <f>_xlfn.XLOOKUP(Orders[[#This Row],[CustomerID]],Customers[CustomerID],Customers[City])</f>
        <v>Texas</v>
      </c>
      <c r="P974" t="str">
        <f>_xlfn.XLOOKUP(Orders[[#This Row],[CustomerID]],Customers[CustomerID],Customers[Gender])</f>
        <v>Male</v>
      </c>
      <c r="Q974">
        <f>_xlfn.XLOOKUP(Orders[[#This Row],[CustomerID]],Customers[CustomerID],Customers[CustomerAge])</f>
        <v>55</v>
      </c>
      <c r="R974" t="str">
        <f>IF(Orders[[#This Row],[CustomerAge]]&gt;=35, "Older", "Young")</f>
        <v>Older</v>
      </c>
      <c r="S974" t="str">
        <f>_xlfn.XLOOKUP(Orders[[#This Row],[ProductID]],Products[ProductID],Products[ProductName])</f>
        <v>Chess</v>
      </c>
      <c r="T974" t="str">
        <f>_xlfn.XLOOKUP(Orders[[#This Row],[ProductID]],Products[ProductID],Products[Category])</f>
        <v>Games</v>
      </c>
    </row>
    <row r="975" spans="1:20" x14ac:dyDescent="0.25">
      <c r="A975" s="4" t="s">
        <v>1164</v>
      </c>
      <c r="B975" s="5">
        <v>45951</v>
      </c>
      <c r="C975" s="15">
        <f>WEEKNUM(Orders[[#This Row],[OrderDate]])</f>
        <v>43</v>
      </c>
      <c r="D975" s="15" t="str">
        <f>TEXT(Orders[[#This Row],[OrderDate]],"mmmm")</f>
        <v>October</v>
      </c>
      <c r="E975" s="4" t="s">
        <v>161</v>
      </c>
      <c r="F975" s="4" t="s">
        <v>66</v>
      </c>
      <c r="G975" s="4">
        <v>7</v>
      </c>
      <c r="H975" s="12">
        <v>6395.7000000000007</v>
      </c>
      <c r="I975" s="13">
        <v>5436.3450000000012</v>
      </c>
      <c r="J975" s="13">
        <f>Orders[[#This Row],[Quantity]]*Orders[[#This Row],[Selling Price]]</f>
        <v>44769.900000000009</v>
      </c>
      <c r="K975" s="13">
        <f>Orders[[#This Row],[Quantity]]*Orders[[#This Row],[Cost Price]]</f>
        <v>38054.415000000008</v>
      </c>
      <c r="L975" s="13">
        <f>Orders[[#This Row],[Revenue]]-Orders[[#This Row],[Expenses]]</f>
        <v>6715.4850000000006</v>
      </c>
      <c r="M975" t="s">
        <v>2205</v>
      </c>
      <c r="N975" t="str">
        <f>_xlfn.XLOOKUP(Orders[[#This Row],[CustomerID]],Customers[CustomerID],Customers[CustomerName])</f>
        <v>Okon Adeyemi</v>
      </c>
      <c r="O975" t="str">
        <f>_xlfn.XLOOKUP(Orders[[#This Row],[CustomerID]],Customers[CustomerID],Customers[City])</f>
        <v>Georgia</v>
      </c>
      <c r="P975" t="str">
        <f>_xlfn.XLOOKUP(Orders[[#This Row],[CustomerID]],Customers[CustomerID],Customers[Gender])</f>
        <v>Male</v>
      </c>
      <c r="Q975">
        <f>_xlfn.XLOOKUP(Orders[[#This Row],[CustomerID]],Customers[CustomerID],Customers[CustomerAge])</f>
        <v>31</v>
      </c>
      <c r="R975" t="str">
        <f>IF(Orders[[#This Row],[CustomerAge]]&gt;=35, "Older", "Young")</f>
        <v>Young</v>
      </c>
      <c r="S975" t="str">
        <f>_xlfn.XLOOKUP(Orders[[#This Row],[ProductID]],Products[ProductID],Products[ProductName])</f>
        <v>Microwave</v>
      </c>
      <c r="T975" t="str">
        <f>_xlfn.XLOOKUP(Orders[[#This Row],[ProductID]],Products[ProductID],Products[Category])</f>
        <v>Electronics</v>
      </c>
    </row>
    <row r="976" spans="1:20" x14ac:dyDescent="0.25">
      <c r="A976" s="4" t="s">
        <v>1165</v>
      </c>
      <c r="B976" s="5">
        <v>45963</v>
      </c>
      <c r="C976" s="15">
        <f>WEEKNUM(Orders[[#This Row],[OrderDate]])</f>
        <v>45</v>
      </c>
      <c r="D976" s="15" t="str">
        <f>TEXT(Orders[[#This Row],[OrderDate]],"mmmm")</f>
        <v>November</v>
      </c>
      <c r="E976" s="4" t="s">
        <v>136</v>
      </c>
      <c r="F976" s="4" t="s">
        <v>81</v>
      </c>
      <c r="G976" s="4">
        <v>6</v>
      </c>
      <c r="H976" s="12">
        <v>2309.4</v>
      </c>
      <c r="I976" s="13">
        <v>1962.99</v>
      </c>
      <c r="J976" s="13">
        <f>Orders[[#This Row],[Quantity]]*Orders[[#This Row],[Selling Price]]</f>
        <v>13856.400000000001</v>
      </c>
      <c r="K976" s="13">
        <f>Orders[[#This Row],[Quantity]]*Orders[[#This Row],[Cost Price]]</f>
        <v>11777.94</v>
      </c>
      <c r="L976" s="13">
        <f>Orders[[#This Row],[Revenue]]-Orders[[#This Row],[Expenses]]</f>
        <v>2078.4600000000009</v>
      </c>
      <c r="M976" t="s">
        <v>2204</v>
      </c>
      <c r="N976" t="str">
        <f>_xlfn.XLOOKUP(Orders[[#This Row],[CustomerID]],Customers[CustomerID],Customers[CustomerName])</f>
        <v>Chinedu Obi</v>
      </c>
      <c r="O976" t="str">
        <f>_xlfn.XLOOKUP(Orders[[#This Row],[CustomerID]],Customers[CustomerID],Customers[City])</f>
        <v>California</v>
      </c>
      <c r="P976" t="str">
        <f>_xlfn.XLOOKUP(Orders[[#This Row],[CustomerID]],Customers[CustomerID],Customers[Gender])</f>
        <v>Male</v>
      </c>
      <c r="Q976">
        <f>_xlfn.XLOOKUP(Orders[[#This Row],[CustomerID]],Customers[CustomerID],Customers[CustomerAge])</f>
        <v>27</v>
      </c>
      <c r="R976" t="str">
        <f>IF(Orders[[#This Row],[CustomerAge]]&gt;=35, "Older", "Young")</f>
        <v>Young</v>
      </c>
      <c r="S976" t="str">
        <f>_xlfn.XLOOKUP(Orders[[#This Row],[ProductID]],Products[ProductID],Products[ProductName])</f>
        <v>Trousers</v>
      </c>
      <c r="T976" t="str">
        <f>_xlfn.XLOOKUP(Orders[[#This Row],[ProductID]],Products[ProductID],Products[Category])</f>
        <v>Clothing</v>
      </c>
    </row>
    <row r="977" spans="1:20" x14ac:dyDescent="0.25">
      <c r="A977" s="4" t="s">
        <v>1166</v>
      </c>
      <c r="B977" s="5">
        <v>45985</v>
      </c>
      <c r="C977" s="15">
        <f>WEEKNUM(Orders[[#This Row],[OrderDate]])</f>
        <v>48</v>
      </c>
      <c r="D977" s="15" t="str">
        <f>TEXT(Orders[[#This Row],[OrderDate]],"mmmm")</f>
        <v>November</v>
      </c>
      <c r="E977" s="4" t="s">
        <v>68</v>
      </c>
      <c r="F977" s="4" t="s">
        <v>168</v>
      </c>
      <c r="G977" s="4">
        <v>10</v>
      </c>
      <c r="H977" s="12">
        <v>18035.7</v>
      </c>
      <c r="I977" s="13">
        <v>15330.345000000001</v>
      </c>
      <c r="J977" s="13">
        <f>Orders[[#This Row],[Quantity]]*Orders[[#This Row],[Selling Price]]</f>
        <v>180357</v>
      </c>
      <c r="K977" s="13">
        <f>Orders[[#This Row],[Quantity]]*Orders[[#This Row],[Cost Price]]</f>
        <v>153303.45000000001</v>
      </c>
      <c r="L977" s="13">
        <f>Orders[[#This Row],[Revenue]]-Orders[[#This Row],[Expenses]]</f>
        <v>27053.549999999988</v>
      </c>
      <c r="M977" t="s">
        <v>2203</v>
      </c>
      <c r="N977" t="str">
        <f>_xlfn.XLOOKUP(Orders[[#This Row],[CustomerID]],Customers[CustomerID],Customers[CustomerName])</f>
        <v>Abiola Balogun</v>
      </c>
      <c r="O977" t="str">
        <f>_xlfn.XLOOKUP(Orders[[#This Row],[CustomerID]],Customers[CustomerID],Customers[City])</f>
        <v>Texas</v>
      </c>
      <c r="P977" t="str">
        <f>_xlfn.XLOOKUP(Orders[[#This Row],[CustomerID]],Customers[CustomerID],Customers[Gender])</f>
        <v>Male</v>
      </c>
      <c r="Q977">
        <f>_xlfn.XLOOKUP(Orders[[#This Row],[CustomerID]],Customers[CustomerID],Customers[CustomerAge])</f>
        <v>29</v>
      </c>
      <c r="R977" t="str">
        <f>IF(Orders[[#This Row],[CustomerAge]]&gt;=35, "Older", "Young")</f>
        <v>Young</v>
      </c>
      <c r="S977" t="str">
        <f>_xlfn.XLOOKUP(Orders[[#This Row],[ProductID]],Products[ProductID],Products[ProductName])</f>
        <v>Dumb Bells</v>
      </c>
      <c r="T977" t="str">
        <f>_xlfn.XLOOKUP(Orders[[#This Row],[ProductID]],Products[ProductID],Products[Category])</f>
        <v>Gym</v>
      </c>
    </row>
    <row r="978" spans="1:20" x14ac:dyDescent="0.25">
      <c r="A978" s="4" t="s">
        <v>1167</v>
      </c>
      <c r="B978" s="5">
        <v>45987</v>
      </c>
      <c r="C978" s="15">
        <f>WEEKNUM(Orders[[#This Row],[OrderDate]])</f>
        <v>48</v>
      </c>
      <c r="D978" s="15" t="str">
        <f>TEXT(Orders[[#This Row],[OrderDate]],"mmmm")</f>
        <v>November</v>
      </c>
      <c r="E978" s="4" t="s">
        <v>435</v>
      </c>
      <c r="F978" s="4" t="s">
        <v>37</v>
      </c>
      <c r="G978" s="4">
        <v>10</v>
      </c>
      <c r="H978" s="12">
        <v>6530.4</v>
      </c>
      <c r="I978" s="13">
        <v>5550.84</v>
      </c>
      <c r="J978" s="13">
        <f>Orders[[#This Row],[Quantity]]*Orders[[#This Row],[Selling Price]]</f>
        <v>65304</v>
      </c>
      <c r="K978" s="13">
        <f>Orders[[#This Row],[Quantity]]*Orders[[#This Row],[Cost Price]]</f>
        <v>55508.4</v>
      </c>
      <c r="L978" s="13">
        <f>Orders[[#This Row],[Revenue]]-Orders[[#This Row],[Expenses]]</f>
        <v>9795.5999999999985</v>
      </c>
      <c r="M978" t="s">
        <v>2199</v>
      </c>
      <c r="N978" t="str">
        <f>_xlfn.XLOOKUP(Orders[[#This Row],[CustomerID]],Customers[CustomerID],Customers[CustomerName])</f>
        <v>Amina Balogun</v>
      </c>
      <c r="O978" t="str">
        <f>_xlfn.XLOOKUP(Orders[[#This Row],[CustomerID]],Customers[CustomerID],Customers[City])</f>
        <v>Texas</v>
      </c>
      <c r="P978" t="str">
        <f>_xlfn.XLOOKUP(Orders[[#This Row],[CustomerID]],Customers[CustomerID],Customers[Gender])</f>
        <v>Female</v>
      </c>
      <c r="Q978">
        <f>_xlfn.XLOOKUP(Orders[[#This Row],[CustomerID]],Customers[CustomerID],Customers[CustomerAge])</f>
        <v>32</v>
      </c>
      <c r="R978" t="str">
        <f>IF(Orders[[#This Row],[CustomerAge]]&gt;=35, "Older", "Young")</f>
        <v>Young</v>
      </c>
      <c r="S978" t="str">
        <f>_xlfn.XLOOKUP(Orders[[#This Row],[ProductID]],Products[ProductID],Products[ProductName])</f>
        <v>Iron</v>
      </c>
      <c r="T978" t="str">
        <f>_xlfn.XLOOKUP(Orders[[#This Row],[ProductID]],Products[ProductID],Products[Category])</f>
        <v>Electronics</v>
      </c>
    </row>
    <row r="979" spans="1:20" x14ac:dyDescent="0.25">
      <c r="A979" s="4" t="s">
        <v>1168</v>
      </c>
      <c r="B979" s="5">
        <v>45984</v>
      </c>
      <c r="C979" s="15">
        <f>WEEKNUM(Orders[[#This Row],[OrderDate]])</f>
        <v>48</v>
      </c>
      <c r="D979" s="15" t="str">
        <f>TEXT(Orders[[#This Row],[OrderDate]],"mmmm")</f>
        <v>November</v>
      </c>
      <c r="E979" s="4" t="s">
        <v>298</v>
      </c>
      <c r="F979" s="4" t="s">
        <v>151</v>
      </c>
      <c r="G979" s="4">
        <v>4</v>
      </c>
      <c r="H979" s="12">
        <v>1634.5</v>
      </c>
      <c r="I979" s="13">
        <v>1389.325</v>
      </c>
      <c r="J979" s="13">
        <f>Orders[[#This Row],[Quantity]]*Orders[[#This Row],[Selling Price]]</f>
        <v>6538</v>
      </c>
      <c r="K979" s="13">
        <f>Orders[[#This Row],[Quantity]]*Orders[[#This Row],[Cost Price]]</f>
        <v>5557.3</v>
      </c>
      <c r="L979" s="13">
        <f>Orders[[#This Row],[Revenue]]-Orders[[#This Row],[Expenses]]</f>
        <v>980.69999999999982</v>
      </c>
      <c r="M979" t="s">
        <v>2197</v>
      </c>
      <c r="N979" t="str">
        <f>_xlfn.XLOOKUP(Orders[[#This Row],[CustomerID]],Customers[CustomerID],Customers[CustomerName])</f>
        <v>Amina Obi</v>
      </c>
      <c r="O979" t="str">
        <f>_xlfn.XLOOKUP(Orders[[#This Row],[CustomerID]],Customers[CustomerID],Customers[City])</f>
        <v>Florida</v>
      </c>
      <c r="P979" t="str">
        <f>_xlfn.XLOOKUP(Orders[[#This Row],[CustomerID]],Customers[CustomerID],Customers[Gender])</f>
        <v>Female</v>
      </c>
      <c r="Q979">
        <f>_xlfn.XLOOKUP(Orders[[#This Row],[CustomerID]],Customers[CustomerID],Customers[CustomerAge])</f>
        <v>19</v>
      </c>
      <c r="R979" t="str">
        <f>IF(Orders[[#This Row],[CustomerAge]]&gt;=35, "Older", "Young")</f>
        <v>Young</v>
      </c>
      <c r="S979" t="str">
        <f>_xlfn.XLOOKUP(Orders[[#This Row],[ProductID]],Products[ProductID],Products[ProductName])</f>
        <v>Checkers</v>
      </c>
      <c r="T979" t="str">
        <f>_xlfn.XLOOKUP(Orders[[#This Row],[ProductID]],Products[ProductID],Products[Category])</f>
        <v>Games</v>
      </c>
    </row>
    <row r="980" spans="1:20" x14ac:dyDescent="0.25">
      <c r="A980" s="4" t="s">
        <v>1169</v>
      </c>
      <c r="B980" s="5">
        <v>45999</v>
      </c>
      <c r="C980" s="15">
        <f>WEEKNUM(Orders[[#This Row],[OrderDate]])</f>
        <v>50</v>
      </c>
      <c r="D980" s="15" t="str">
        <f>TEXT(Orders[[#This Row],[OrderDate]],"mmmm")</f>
        <v>December</v>
      </c>
      <c r="E980" s="4" t="s">
        <v>444</v>
      </c>
      <c r="F980" s="4" t="s">
        <v>125</v>
      </c>
      <c r="G980" s="4">
        <v>2</v>
      </c>
      <c r="H980" s="12">
        <v>8991.7999999999993</v>
      </c>
      <c r="I980" s="13">
        <v>7643.03</v>
      </c>
      <c r="J980" s="13">
        <f>Orders[[#This Row],[Quantity]]*Orders[[#This Row],[Selling Price]]</f>
        <v>17983.599999999999</v>
      </c>
      <c r="K980" s="13">
        <f>Orders[[#This Row],[Quantity]]*Orders[[#This Row],[Cost Price]]</f>
        <v>15286.06</v>
      </c>
      <c r="L980" s="13">
        <f>Orders[[#This Row],[Revenue]]-Orders[[#This Row],[Expenses]]</f>
        <v>2697.5399999999991</v>
      </c>
      <c r="M980" t="s">
        <v>2199</v>
      </c>
      <c r="N980" t="str">
        <f>_xlfn.XLOOKUP(Orders[[#This Row],[CustomerID]],Customers[CustomerID],Customers[CustomerName])</f>
        <v>Blessing Eze</v>
      </c>
      <c r="O980" t="str">
        <f>_xlfn.XLOOKUP(Orders[[#This Row],[CustomerID]],Customers[CustomerID],Customers[City])</f>
        <v>Texas</v>
      </c>
      <c r="P980" t="str">
        <f>_xlfn.XLOOKUP(Orders[[#This Row],[CustomerID]],Customers[CustomerID],Customers[Gender])</f>
        <v>Female</v>
      </c>
      <c r="Q980">
        <f>_xlfn.XLOOKUP(Orders[[#This Row],[CustomerID]],Customers[CustomerID],Customers[CustomerAge])</f>
        <v>24</v>
      </c>
      <c r="R980" t="str">
        <f>IF(Orders[[#This Row],[CustomerAge]]&gt;=35, "Older", "Young")</f>
        <v>Young</v>
      </c>
      <c r="S980" t="str">
        <f>_xlfn.XLOOKUP(Orders[[#This Row],[ProductID]],Products[ProductID],Products[ProductName])</f>
        <v>Earrings</v>
      </c>
      <c r="T980" t="str">
        <f>_xlfn.XLOOKUP(Orders[[#This Row],[ProductID]],Products[ProductID],Products[Category])</f>
        <v>Accessories</v>
      </c>
    </row>
    <row r="981" spans="1:20" x14ac:dyDescent="0.25">
      <c r="A981" s="4" t="s">
        <v>1170</v>
      </c>
      <c r="B981" s="5">
        <v>45937</v>
      </c>
      <c r="C981" s="15">
        <f>WEEKNUM(Orders[[#This Row],[OrderDate]])</f>
        <v>41</v>
      </c>
      <c r="D981" s="15" t="str">
        <f>TEXT(Orders[[#This Row],[OrderDate]],"mmmm")</f>
        <v>October</v>
      </c>
      <c r="E981" s="4" t="s">
        <v>80</v>
      </c>
      <c r="F981" s="4" t="s">
        <v>46</v>
      </c>
      <c r="G981" s="4">
        <v>6</v>
      </c>
      <c r="H981" s="12">
        <v>16760.899999999998</v>
      </c>
      <c r="I981" s="13">
        <v>14246.764999999998</v>
      </c>
      <c r="J981" s="13">
        <f>Orders[[#This Row],[Quantity]]*Orders[[#This Row],[Selling Price]]</f>
        <v>100565.4</v>
      </c>
      <c r="K981" s="13">
        <f>Orders[[#This Row],[Quantity]]*Orders[[#This Row],[Cost Price]]</f>
        <v>85480.589999999982</v>
      </c>
      <c r="L981" s="13">
        <f>Orders[[#This Row],[Revenue]]-Orders[[#This Row],[Expenses]]</f>
        <v>15084.810000000012</v>
      </c>
      <c r="M981" t="s">
        <v>2218</v>
      </c>
      <c r="N981" t="str">
        <f>_xlfn.XLOOKUP(Orders[[#This Row],[CustomerID]],Customers[CustomerID],Customers[CustomerName])</f>
        <v>Sani Ojo</v>
      </c>
      <c r="O981" t="str">
        <f>_xlfn.XLOOKUP(Orders[[#This Row],[CustomerID]],Customers[CustomerID],Customers[City])</f>
        <v>Texas</v>
      </c>
      <c r="P981" t="str">
        <f>_xlfn.XLOOKUP(Orders[[#This Row],[CustomerID]],Customers[CustomerID],Customers[Gender])</f>
        <v>Male</v>
      </c>
      <c r="Q981">
        <f>_xlfn.XLOOKUP(Orders[[#This Row],[CustomerID]],Customers[CustomerID],Customers[CustomerAge])</f>
        <v>35</v>
      </c>
      <c r="R981" t="str">
        <f>IF(Orders[[#This Row],[CustomerAge]]&gt;=35, "Older", "Young")</f>
        <v>Older</v>
      </c>
      <c r="S981" t="str">
        <f>_xlfn.XLOOKUP(Orders[[#This Row],[ProductID]],Products[ProductID],Products[ProductName])</f>
        <v>Turtle Neck</v>
      </c>
      <c r="T981" t="str">
        <f>_xlfn.XLOOKUP(Orders[[#This Row],[ProductID]],Products[ProductID],Products[Category])</f>
        <v>Clothing</v>
      </c>
    </row>
    <row r="982" spans="1:20" x14ac:dyDescent="0.25">
      <c r="A982" s="4" t="s">
        <v>1171</v>
      </c>
      <c r="B982" s="5">
        <v>45936</v>
      </c>
      <c r="C982" s="15">
        <f>WEEKNUM(Orders[[#This Row],[OrderDate]])</f>
        <v>41</v>
      </c>
      <c r="D982" s="15" t="str">
        <f>TEXT(Orders[[#This Row],[OrderDate]],"mmmm")</f>
        <v>October</v>
      </c>
      <c r="E982" s="4" t="s">
        <v>212</v>
      </c>
      <c r="F982" s="4" t="s">
        <v>20</v>
      </c>
      <c r="G982" s="4">
        <v>5</v>
      </c>
      <c r="H982" s="12">
        <v>1136.4000000000001</v>
      </c>
      <c r="I982" s="13">
        <v>965.94</v>
      </c>
      <c r="J982" s="13">
        <f>Orders[[#This Row],[Quantity]]*Orders[[#This Row],[Selling Price]]</f>
        <v>5682</v>
      </c>
      <c r="K982" s="13">
        <f>Orders[[#This Row],[Quantity]]*Orders[[#This Row],[Cost Price]]</f>
        <v>4829.7000000000007</v>
      </c>
      <c r="L982" s="13">
        <f>Orders[[#This Row],[Revenue]]-Orders[[#This Row],[Expenses]]</f>
        <v>852.29999999999927</v>
      </c>
      <c r="M982" t="s">
        <v>2195</v>
      </c>
      <c r="N982" t="str">
        <f>_xlfn.XLOOKUP(Orders[[#This Row],[CustomerID]],Customers[CustomerID],Customers[CustomerName])</f>
        <v>Ngozi Ojo</v>
      </c>
      <c r="O982" t="str">
        <f>_xlfn.XLOOKUP(Orders[[#This Row],[CustomerID]],Customers[CustomerID],Customers[City])</f>
        <v>Illinois</v>
      </c>
      <c r="P982" t="str">
        <f>_xlfn.XLOOKUP(Orders[[#This Row],[CustomerID]],Customers[CustomerID],Customers[Gender])</f>
        <v>Female</v>
      </c>
      <c r="Q982">
        <f>_xlfn.XLOOKUP(Orders[[#This Row],[CustomerID]],Customers[CustomerID],Customers[CustomerAge])</f>
        <v>53</v>
      </c>
      <c r="R982" t="str">
        <f>IF(Orders[[#This Row],[CustomerAge]]&gt;=35, "Older", "Young")</f>
        <v>Older</v>
      </c>
      <c r="S982" t="str">
        <f>_xlfn.XLOOKUP(Orders[[#This Row],[ProductID]],Products[ProductID],Products[ProductName])</f>
        <v>Gym Bag</v>
      </c>
      <c r="T982" t="str">
        <f>_xlfn.XLOOKUP(Orders[[#This Row],[ProductID]],Products[ProductID],Products[Category])</f>
        <v>Gym</v>
      </c>
    </row>
    <row r="983" spans="1:20" x14ac:dyDescent="0.25">
      <c r="A983" s="4" t="s">
        <v>1172</v>
      </c>
      <c r="B983" s="5">
        <v>46022</v>
      </c>
      <c r="C983" s="15">
        <f>WEEKNUM(Orders[[#This Row],[OrderDate]])</f>
        <v>53</v>
      </c>
      <c r="D983" s="15" t="str">
        <f>TEXT(Orders[[#This Row],[OrderDate]],"mmmm")</f>
        <v>December</v>
      </c>
      <c r="E983" s="4" t="s">
        <v>649</v>
      </c>
      <c r="F983" s="4" t="s">
        <v>9</v>
      </c>
      <c r="G983" s="4">
        <v>7</v>
      </c>
      <c r="H983" s="12">
        <v>6622.3</v>
      </c>
      <c r="I983" s="13">
        <v>5628.9549999999999</v>
      </c>
      <c r="J983" s="13">
        <f>Orders[[#This Row],[Quantity]]*Orders[[#This Row],[Selling Price]]</f>
        <v>46356.1</v>
      </c>
      <c r="K983" s="13">
        <f>Orders[[#This Row],[Quantity]]*Orders[[#This Row],[Cost Price]]</f>
        <v>39402.684999999998</v>
      </c>
      <c r="L983" s="13">
        <f>Orders[[#This Row],[Revenue]]-Orders[[#This Row],[Expenses]]</f>
        <v>6953.4150000000009</v>
      </c>
      <c r="M983" t="s">
        <v>2199</v>
      </c>
      <c r="N983" t="str">
        <f>_xlfn.XLOOKUP(Orders[[#This Row],[CustomerID]],Customers[CustomerID],Customers[CustomerName])</f>
        <v>Bisi Abubakar</v>
      </c>
      <c r="O983" t="str">
        <f>_xlfn.XLOOKUP(Orders[[#This Row],[CustomerID]],Customers[CustomerID],Customers[City])</f>
        <v>Washington</v>
      </c>
      <c r="P983" t="str">
        <f>_xlfn.XLOOKUP(Orders[[#This Row],[CustomerID]],Customers[CustomerID],Customers[Gender])</f>
        <v>Female</v>
      </c>
      <c r="Q983">
        <f>_xlfn.XLOOKUP(Orders[[#This Row],[CustomerID]],Customers[CustomerID],Customers[CustomerAge])</f>
        <v>35</v>
      </c>
      <c r="R983" t="str">
        <f>IF(Orders[[#This Row],[CustomerAge]]&gt;=35, "Older", "Young")</f>
        <v>Older</v>
      </c>
      <c r="S983" t="str">
        <f>_xlfn.XLOOKUP(Orders[[#This Row],[ProductID]],Products[ProductID],Products[ProductName])</f>
        <v>Beaded Earrings And Necklaces</v>
      </c>
      <c r="T983" t="str">
        <f>_xlfn.XLOOKUP(Orders[[#This Row],[ProductID]],Products[ProductID],Products[Category])</f>
        <v>Accessories</v>
      </c>
    </row>
    <row r="984" spans="1:20" x14ac:dyDescent="0.25">
      <c r="A984" s="4" t="s">
        <v>1173</v>
      </c>
      <c r="B984" s="5">
        <v>46006</v>
      </c>
      <c r="C984" s="15">
        <f>WEEKNUM(Orders[[#This Row],[OrderDate]])</f>
        <v>51</v>
      </c>
      <c r="D984" s="15" t="str">
        <f>TEXT(Orders[[#This Row],[OrderDate]],"mmmm")</f>
        <v>December</v>
      </c>
      <c r="E984" s="4" t="s">
        <v>388</v>
      </c>
      <c r="F984" s="4" t="s">
        <v>232</v>
      </c>
      <c r="G984" s="4">
        <v>7</v>
      </c>
      <c r="H984" s="12">
        <v>12957.7</v>
      </c>
      <c r="I984" s="13">
        <v>11014.045</v>
      </c>
      <c r="J984" s="13">
        <f>Orders[[#This Row],[Quantity]]*Orders[[#This Row],[Selling Price]]</f>
        <v>90703.900000000009</v>
      </c>
      <c r="K984" s="13">
        <f>Orders[[#This Row],[Quantity]]*Orders[[#This Row],[Cost Price]]</f>
        <v>77098.315000000002</v>
      </c>
      <c r="L984" s="13">
        <f>Orders[[#This Row],[Revenue]]-Orders[[#This Row],[Expenses]]</f>
        <v>13605.585000000006</v>
      </c>
      <c r="M984" t="s">
        <v>2199</v>
      </c>
      <c r="N984" t="str">
        <f>_xlfn.XLOOKUP(Orders[[#This Row],[CustomerID]],Customers[CustomerID],Customers[CustomerName])</f>
        <v>Folasade Okonkwo</v>
      </c>
      <c r="O984" t="str">
        <f>_xlfn.XLOOKUP(Orders[[#This Row],[CustomerID]],Customers[CustomerID],Customers[City])</f>
        <v>Washington</v>
      </c>
      <c r="P984" t="str">
        <f>_xlfn.XLOOKUP(Orders[[#This Row],[CustomerID]],Customers[CustomerID],Customers[Gender])</f>
        <v>Female</v>
      </c>
      <c r="Q984">
        <f>_xlfn.XLOOKUP(Orders[[#This Row],[CustomerID]],Customers[CustomerID],Customers[CustomerAge])</f>
        <v>52</v>
      </c>
      <c r="R984" t="str">
        <f>IF(Orders[[#This Row],[CustomerAge]]&gt;=35, "Older", "Young")</f>
        <v>Older</v>
      </c>
      <c r="S984" t="str">
        <f>_xlfn.XLOOKUP(Orders[[#This Row],[ProductID]],Products[ProductID],Products[ProductName])</f>
        <v>Ankara</v>
      </c>
      <c r="T984" t="str">
        <f>_xlfn.XLOOKUP(Orders[[#This Row],[ProductID]],Products[ProductID],Products[Category])</f>
        <v>Clothing</v>
      </c>
    </row>
    <row r="985" spans="1:20" x14ac:dyDescent="0.25">
      <c r="A985" s="4" t="s">
        <v>1174</v>
      </c>
      <c r="B985" s="5">
        <v>45999</v>
      </c>
      <c r="C985" s="15">
        <f>WEEKNUM(Orders[[#This Row],[OrderDate]])</f>
        <v>50</v>
      </c>
      <c r="D985" s="15" t="str">
        <f>TEXT(Orders[[#This Row],[OrderDate]],"mmmm")</f>
        <v>December</v>
      </c>
      <c r="E985" s="4" t="s">
        <v>264</v>
      </c>
      <c r="F985" s="4" t="s">
        <v>130</v>
      </c>
      <c r="G985" s="4">
        <v>9</v>
      </c>
      <c r="H985" s="12">
        <v>5392.7999999999993</v>
      </c>
      <c r="I985" s="13">
        <v>4583.8799999999992</v>
      </c>
      <c r="J985" s="13">
        <f>Orders[[#This Row],[Quantity]]*Orders[[#This Row],[Selling Price]]</f>
        <v>48535.199999999997</v>
      </c>
      <c r="K985" s="13">
        <f>Orders[[#This Row],[Quantity]]*Orders[[#This Row],[Cost Price]]</f>
        <v>41254.919999999991</v>
      </c>
      <c r="L985" s="13">
        <f>Orders[[#This Row],[Revenue]]-Orders[[#This Row],[Expenses]]</f>
        <v>7280.2800000000061</v>
      </c>
      <c r="M985" t="s">
        <v>2194</v>
      </c>
      <c r="N985" t="str">
        <f>_xlfn.XLOOKUP(Orders[[#This Row],[CustomerID]],Customers[CustomerID],Customers[CustomerName])</f>
        <v>Ronke Adeyemi</v>
      </c>
      <c r="O985" t="str">
        <f>_xlfn.XLOOKUP(Orders[[#This Row],[CustomerID]],Customers[CustomerID],Customers[City])</f>
        <v>Georgia</v>
      </c>
      <c r="P985" t="str">
        <f>_xlfn.XLOOKUP(Orders[[#This Row],[CustomerID]],Customers[CustomerID],Customers[Gender])</f>
        <v>Female</v>
      </c>
      <c r="Q985">
        <f>_xlfn.XLOOKUP(Orders[[#This Row],[CustomerID]],Customers[CustomerID],Customers[CustomerAge])</f>
        <v>19</v>
      </c>
      <c r="R985" t="str">
        <f>IF(Orders[[#This Row],[CustomerAge]]&gt;=35, "Older", "Young")</f>
        <v>Young</v>
      </c>
      <c r="S985" t="str">
        <f>_xlfn.XLOOKUP(Orders[[#This Row],[ProductID]],Products[ProductID],Products[ProductName])</f>
        <v>Gold Earrings And Necklaces</v>
      </c>
      <c r="T985" t="str">
        <f>_xlfn.XLOOKUP(Orders[[#This Row],[ProductID]],Products[ProductID],Products[Category])</f>
        <v>Accessories</v>
      </c>
    </row>
    <row r="986" spans="1:20" x14ac:dyDescent="0.25">
      <c r="A986" s="4" t="s">
        <v>1175</v>
      </c>
      <c r="B986" s="5">
        <v>45985</v>
      </c>
      <c r="C986" s="15">
        <f>WEEKNUM(Orders[[#This Row],[OrderDate]])</f>
        <v>48</v>
      </c>
      <c r="D986" s="15" t="str">
        <f>TEXT(Orders[[#This Row],[OrderDate]],"mmmm")</f>
        <v>November</v>
      </c>
      <c r="E986" s="4" t="s">
        <v>194</v>
      </c>
      <c r="F986" s="4" t="s">
        <v>253</v>
      </c>
      <c r="G986" s="4">
        <v>7</v>
      </c>
      <c r="H986" s="12">
        <v>12698.5</v>
      </c>
      <c r="I986" s="13">
        <v>10793.725</v>
      </c>
      <c r="J986" s="13">
        <f>Orders[[#This Row],[Quantity]]*Orders[[#This Row],[Selling Price]]</f>
        <v>88889.5</v>
      </c>
      <c r="K986" s="13">
        <f>Orders[[#This Row],[Quantity]]*Orders[[#This Row],[Cost Price]]</f>
        <v>75556.074999999997</v>
      </c>
      <c r="L986" s="13">
        <f>Orders[[#This Row],[Revenue]]-Orders[[#This Row],[Expenses]]</f>
        <v>13333.425000000003</v>
      </c>
      <c r="M986" t="s">
        <v>2213</v>
      </c>
      <c r="N986" t="str">
        <f>_xlfn.XLOOKUP(Orders[[#This Row],[CustomerID]],Customers[CustomerID],Customers[CustomerName])</f>
        <v>Adanma Adeyemi</v>
      </c>
      <c r="O986" t="str">
        <f>_xlfn.XLOOKUP(Orders[[#This Row],[CustomerID]],Customers[CustomerID],Customers[City])</f>
        <v>Washington</v>
      </c>
      <c r="P986" t="str">
        <f>_xlfn.XLOOKUP(Orders[[#This Row],[CustomerID]],Customers[CustomerID],Customers[Gender])</f>
        <v>Female</v>
      </c>
      <c r="Q986">
        <f>_xlfn.XLOOKUP(Orders[[#This Row],[CustomerID]],Customers[CustomerID],Customers[CustomerAge])</f>
        <v>45</v>
      </c>
      <c r="R986" t="str">
        <f>IF(Orders[[#This Row],[CustomerAge]]&gt;=35, "Older", "Young")</f>
        <v>Older</v>
      </c>
      <c r="S986" t="str">
        <f>_xlfn.XLOOKUP(Orders[[#This Row],[ProductID]],Products[ProductID],Products[ProductName])</f>
        <v>Nose Rings</v>
      </c>
      <c r="T986" t="str">
        <f>_xlfn.XLOOKUP(Orders[[#This Row],[ProductID]],Products[ProductID],Products[Category])</f>
        <v>Accessories</v>
      </c>
    </row>
    <row r="987" spans="1:20" x14ac:dyDescent="0.25">
      <c r="A987" s="4" t="s">
        <v>1176</v>
      </c>
      <c r="B987" s="5">
        <v>45985</v>
      </c>
      <c r="C987" s="15">
        <f>WEEKNUM(Orders[[#This Row],[OrderDate]])</f>
        <v>48</v>
      </c>
      <c r="D987" s="15" t="str">
        <f>TEXT(Orders[[#This Row],[OrderDate]],"mmmm")</f>
        <v>November</v>
      </c>
      <c r="E987" s="4" t="s">
        <v>150</v>
      </c>
      <c r="F987" s="4" t="s">
        <v>46</v>
      </c>
      <c r="G987" s="4">
        <v>3</v>
      </c>
      <c r="H987" s="12">
        <v>819.4</v>
      </c>
      <c r="I987" s="13">
        <v>696.49</v>
      </c>
      <c r="J987" s="13">
        <f>Orders[[#This Row],[Quantity]]*Orders[[#This Row],[Selling Price]]</f>
        <v>2458.1999999999998</v>
      </c>
      <c r="K987" s="13">
        <f>Orders[[#This Row],[Quantity]]*Orders[[#This Row],[Cost Price]]</f>
        <v>2089.4700000000003</v>
      </c>
      <c r="L987" s="13">
        <f>Orders[[#This Row],[Revenue]]-Orders[[#This Row],[Expenses]]</f>
        <v>368.72999999999956</v>
      </c>
      <c r="M987" t="s">
        <v>2206</v>
      </c>
      <c r="N987" t="str">
        <f>_xlfn.XLOOKUP(Orders[[#This Row],[CustomerID]],Customers[CustomerID],Customers[CustomerName])</f>
        <v>Ronke Eze</v>
      </c>
      <c r="O987" t="str">
        <f>_xlfn.XLOOKUP(Orders[[#This Row],[CustomerID]],Customers[CustomerID],Customers[City])</f>
        <v>Georgia</v>
      </c>
      <c r="P987" t="str">
        <f>_xlfn.XLOOKUP(Orders[[#This Row],[CustomerID]],Customers[CustomerID],Customers[Gender])</f>
        <v>Female</v>
      </c>
      <c r="Q987">
        <f>_xlfn.XLOOKUP(Orders[[#This Row],[CustomerID]],Customers[CustomerID],Customers[CustomerAge])</f>
        <v>23</v>
      </c>
      <c r="R987" t="str">
        <f>IF(Orders[[#This Row],[CustomerAge]]&gt;=35, "Older", "Young")</f>
        <v>Young</v>
      </c>
      <c r="S987" t="str">
        <f>_xlfn.XLOOKUP(Orders[[#This Row],[ProductID]],Products[ProductID],Products[ProductName])</f>
        <v>Turtle Neck</v>
      </c>
      <c r="T987" t="str">
        <f>_xlfn.XLOOKUP(Orders[[#This Row],[ProductID]],Products[ProductID],Products[Category])</f>
        <v>Clothing</v>
      </c>
    </row>
    <row r="988" spans="1:20" x14ac:dyDescent="0.25">
      <c r="A988" s="4" t="s">
        <v>1177</v>
      </c>
      <c r="B988" s="5">
        <v>46011</v>
      </c>
      <c r="C988" s="15">
        <f>WEEKNUM(Orders[[#This Row],[OrderDate]])</f>
        <v>51</v>
      </c>
      <c r="D988" s="15" t="str">
        <f>TEXT(Orders[[#This Row],[OrderDate]],"mmmm")</f>
        <v>December</v>
      </c>
      <c r="E988" s="4" t="s">
        <v>426</v>
      </c>
      <c r="F988" s="4" t="s">
        <v>60</v>
      </c>
      <c r="G988" s="4">
        <v>10</v>
      </c>
      <c r="H988" s="12">
        <v>19231.8</v>
      </c>
      <c r="I988" s="13">
        <v>16347.029999999999</v>
      </c>
      <c r="J988" s="13">
        <f>Orders[[#This Row],[Quantity]]*Orders[[#This Row],[Selling Price]]</f>
        <v>192318</v>
      </c>
      <c r="K988" s="13">
        <f>Orders[[#This Row],[Quantity]]*Orders[[#This Row],[Cost Price]]</f>
        <v>163470.29999999999</v>
      </c>
      <c r="L988" s="13">
        <f>Orders[[#This Row],[Revenue]]-Orders[[#This Row],[Expenses]]</f>
        <v>28847.700000000012</v>
      </c>
      <c r="M988" t="s">
        <v>2215</v>
      </c>
      <c r="N988" t="str">
        <f>_xlfn.XLOOKUP(Orders[[#This Row],[CustomerID]],Customers[CustomerID],Customers[CustomerName])</f>
        <v>Chinedu Ojo</v>
      </c>
      <c r="O988" t="str">
        <f>_xlfn.XLOOKUP(Orders[[#This Row],[CustomerID]],Customers[CustomerID],Customers[City])</f>
        <v>Washington</v>
      </c>
      <c r="P988" t="str">
        <f>_xlfn.XLOOKUP(Orders[[#This Row],[CustomerID]],Customers[CustomerID],Customers[Gender])</f>
        <v>Male</v>
      </c>
      <c r="Q988">
        <f>_xlfn.XLOOKUP(Orders[[#This Row],[CustomerID]],Customers[CustomerID],Customers[CustomerAge])</f>
        <v>18</v>
      </c>
      <c r="R988" t="str">
        <f>IF(Orders[[#This Row],[CustomerAge]]&gt;=35, "Older", "Young")</f>
        <v>Young</v>
      </c>
      <c r="S988" t="str">
        <f>_xlfn.XLOOKUP(Orders[[#This Row],[ProductID]],Products[ProductID],Products[ProductName])</f>
        <v>Silver Rings</v>
      </c>
      <c r="T988" t="str">
        <f>_xlfn.XLOOKUP(Orders[[#This Row],[ProductID]],Products[ProductID],Products[Category])</f>
        <v>Accessories</v>
      </c>
    </row>
    <row r="989" spans="1:20" x14ac:dyDescent="0.25">
      <c r="A989" s="4" t="s">
        <v>1178</v>
      </c>
      <c r="B989" s="5">
        <v>45952</v>
      </c>
      <c r="C989" s="15">
        <f>WEEKNUM(Orders[[#This Row],[OrderDate]])</f>
        <v>43</v>
      </c>
      <c r="D989" s="15" t="str">
        <f>TEXT(Orders[[#This Row],[OrderDate]],"mmmm")</f>
        <v>October</v>
      </c>
      <c r="E989" s="4" t="s">
        <v>201</v>
      </c>
      <c r="F989" s="4" t="s">
        <v>70</v>
      </c>
      <c r="G989" s="4">
        <v>5</v>
      </c>
      <c r="H989" s="12">
        <v>16004.2</v>
      </c>
      <c r="I989" s="13">
        <v>13603.57</v>
      </c>
      <c r="J989" s="13">
        <f>Orders[[#This Row],[Quantity]]*Orders[[#This Row],[Selling Price]]</f>
        <v>80021</v>
      </c>
      <c r="K989" s="13">
        <f>Orders[[#This Row],[Quantity]]*Orders[[#This Row],[Cost Price]]</f>
        <v>68017.850000000006</v>
      </c>
      <c r="L989" s="13">
        <f>Orders[[#This Row],[Revenue]]-Orders[[#This Row],[Expenses]]</f>
        <v>12003.149999999994</v>
      </c>
      <c r="M989" t="s">
        <v>2192</v>
      </c>
      <c r="N989" t="str">
        <f>_xlfn.XLOOKUP(Orders[[#This Row],[CustomerID]],Customers[CustomerID],Customers[CustomerName])</f>
        <v>Sani Igwe</v>
      </c>
      <c r="O989" t="str">
        <f>_xlfn.XLOOKUP(Orders[[#This Row],[CustomerID]],Customers[CustomerID],Customers[City])</f>
        <v>Georgia</v>
      </c>
      <c r="P989" t="str">
        <f>_xlfn.XLOOKUP(Orders[[#This Row],[CustomerID]],Customers[CustomerID],Customers[Gender])</f>
        <v>Male</v>
      </c>
      <c r="Q989">
        <f>_xlfn.XLOOKUP(Orders[[#This Row],[CustomerID]],Customers[CustomerID],Customers[CustomerAge])</f>
        <v>20</v>
      </c>
      <c r="R989" t="str">
        <f>IF(Orders[[#This Row],[CustomerAge]]&gt;=35, "Older", "Young")</f>
        <v>Young</v>
      </c>
      <c r="S989" t="str">
        <f>_xlfn.XLOOKUP(Orders[[#This Row],[ProductID]],Products[ProductID],Products[ProductName])</f>
        <v>Yoga Mat</v>
      </c>
      <c r="T989" t="str">
        <f>_xlfn.XLOOKUP(Orders[[#This Row],[ProductID]],Products[ProductID],Products[Category])</f>
        <v>Gym</v>
      </c>
    </row>
    <row r="990" spans="1:20" x14ac:dyDescent="0.25">
      <c r="A990" s="4" t="s">
        <v>1179</v>
      </c>
      <c r="B990" s="5">
        <v>45954</v>
      </c>
      <c r="C990" s="15">
        <f>WEEKNUM(Orders[[#This Row],[OrderDate]])</f>
        <v>43</v>
      </c>
      <c r="D990" s="15" t="str">
        <f>TEXT(Orders[[#This Row],[OrderDate]],"mmmm")</f>
        <v>October</v>
      </c>
      <c r="E990" s="4" t="s">
        <v>132</v>
      </c>
      <c r="F990" s="4" t="s">
        <v>120</v>
      </c>
      <c r="G990" s="4">
        <v>8</v>
      </c>
      <c r="H990" s="12">
        <v>13316.199999999999</v>
      </c>
      <c r="I990" s="13">
        <v>11318.769999999999</v>
      </c>
      <c r="J990" s="13">
        <f>Orders[[#This Row],[Quantity]]*Orders[[#This Row],[Selling Price]]</f>
        <v>106529.59999999999</v>
      </c>
      <c r="K990" s="13">
        <f>Orders[[#This Row],[Quantity]]*Orders[[#This Row],[Cost Price]]</f>
        <v>90550.159999999989</v>
      </c>
      <c r="L990" s="13">
        <f>Orders[[#This Row],[Revenue]]-Orders[[#This Row],[Expenses]]</f>
        <v>15979.440000000002</v>
      </c>
      <c r="M990" t="s">
        <v>2214</v>
      </c>
      <c r="N990" t="str">
        <f>_xlfn.XLOOKUP(Orders[[#This Row],[CustomerID]],Customers[CustomerID],Customers[CustomerName])</f>
        <v>Emeka Balogun</v>
      </c>
      <c r="O990" t="str">
        <f>_xlfn.XLOOKUP(Orders[[#This Row],[CustomerID]],Customers[CustomerID],Customers[City])</f>
        <v>Illinois</v>
      </c>
      <c r="P990" t="str">
        <f>_xlfn.XLOOKUP(Orders[[#This Row],[CustomerID]],Customers[CustomerID],Customers[Gender])</f>
        <v>Male</v>
      </c>
      <c r="Q990">
        <f>_xlfn.XLOOKUP(Orders[[#This Row],[CustomerID]],Customers[CustomerID],Customers[CustomerAge])</f>
        <v>36</v>
      </c>
      <c r="R990" t="str">
        <f>IF(Orders[[#This Row],[CustomerAge]]&gt;=35, "Older", "Young")</f>
        <v>Older</v>
      </c>
      <c r="S990" t="str">
        <f>_xlfn.XLOOKUP(Orders[[#This Row],[ProductID]],Products[ProductID],Products[ProductName])</f>
        <v>Chess</v>
      </c>
      <c r="T990" t="str">
        <f>_xlfn.XLOOKUP(Orders[[#This Row],[ProductID]],Products[ProductID],Products[Category])</f>
        <v>Games</v>
      </c>
    </row>
    <row r="991" spans="1:20" x14ac:dyDescent="0.25">
      <c r="A991" s="4" t="s">
        <v>1180</v>
      </c>
      <c r="B991" s="5">
        <v>45997</v>
      </c>
      <c r="C991" s="15">
        <f>WEEKNUM(Orders[[#This Row],[OrderDate]])</f>
        <v>49</v>
      </c>
      <c r="D991" s="15" t="str">
        <f>TEXT(Orders[[#This Row],[OrderDate]],"mmmm")</f>
        <v>December</v>
      </c>
      <c r="E991" s="4" t="s">
        <v>176</v>
      </c>
      <c r="F991" s="4" t="s">
        <v>120</v>
      </c>
      <c r="G991" s="4">
        <v>9</v>
      </c>
      <c r="H991" s="12">
        <v>3341.7000000000003</v>
      </c>
      <c r="I991" s="13">
        <v>2840.4450000000002</v>
      </c>
      <c r="J991" s="13">
        <f>Orders[[#This Row],[Quantity]]*Orders[[#This Row],[Selling Price]]</f>
        <v>30075.300000000003</v>
      </c>
      <c r="K991" s="13">
        <f>Orders[[#This Row],[Quantity]]*Orders[[#This Row],[Cost Price]]</f>
        <v>25564.005000000001</v>
      </c>
      <c r="L991" s="13">
        <f>Orders[[#This Row],[Revenue]]-Orders[[#This Row],[Expenses]]</f>
        <v>4511.2950000000019</v>
      </c>
      <c r="M991" t="s">
        <v>2201</v>
      </c>
      <c r="N991" t="str">
        <f>_xlfn.XLOOKUP(Orders[[#This Row],[CustomerID]],Customers[CustomerID],Customers[CustomerName])</f>
        <v>Okon Eze</v>
      </c>
      <c r="O991" t="str">
        <f>_xlfn.XLOOKUP(Orders[[#This Row],[CustomerID]],Customers[CustomerID],Customers[City])</f>
        <v>Florida</v>
      </c>
      <c r="P991" t="str">
        <f>_xlfn.XLOOKUP(Orders[[#This Row],[CustomerID]],Customers[CustomerID],Customers[Gender])</f>
        <v>Male</v>
      </c>
      <c r="Q991">
        <f>_xlfn.XLOOKUP(Orders[[#This Row],[CustomerID]],Customers[CustomerID],Customers[CustomerAge])</f>
        <v>26</v>
      </c>
      <c r="R991" t="str">
        <f>IF(Orders[[#This Row],[CustomerAge]]&gt;=35, "Older", "Young")</f>
        <v>Young</v>
      </c>
      <c r="S991" t="str">
        <f>_xlfn.XLOOKUP(Orders[[#This Row],[ProductID]],Products[ProductID],Products[ProductName])</f>
        <v>Chess</v>
      </c>
      <c r="T991" t="str">
        <f>_xlfn.XLOOKUP(Orders[[#This Row],[ProductID]],Products[ProductID],Products[Category])</f>
        <v>Games</v>
      </c>
    </row>
    <row r="992" spans="1:20" x14ac:dyDescent="0.25">
      <c r="A992" s="4" t="s">
        <v>1181</v>
      </c>
      <c r="B992" s="5">
        <v>46011</v>
      </c>
      <c r="C992" s="15">
        <f>WEEKNUM(Orders[[#This Row],[OrderDate]])</f>
        <v>51</v>
      </c>
      <c r="D992" s="15" t="str">
        <f>TEXT(Orders[[#This Row],[OrderDate]],"mmmm")</f>
        <v>December</v>
      </c>
      <c r="E992" s="4" t="s">
        <v>182</v>
      </c>
      <c r="F992" s="4" t="s">
        <v>28</v>
      </c>
      <c r="G992" s="4">
        <v>9</v>
      </c>
      <c r="H992" s="12">
        <v>16207.3</v>
      </c>
      <c r="I992" s="13">
        <v>13776.205</v>
      </c>
      <c r="J992" s="13">
        <f>Orders[[#This Row],[Quantity]]*Orders[[#This Row],[Selling Price]]</f>
        <v>145865.69999999998</v>
      </c>
      <c r="K992" s="13">
        <f>Orders[[#This Row],[Quantity]]*Orders[[#This Row],[Cost Price]]</f>
        <v>123985.845</v>
      </c>
      <c r="L992" s="13">
        <f>Orders[[#This Row],[Revenue]]-Orders[[#This Row],[Expenses]]</f>
        <v>21879.854999999981</v>
      </c>
      <c r="M992" t="s">
        <v>2214</v>
      </c>
      <c r="N992" t="str">
        <f>_xlfn.XLOOKUP(Orders[[#This Row],[CustomerID]],Customers[CustomerID],Customers[CustomerName])</f>
        <v>Abiola Okonkwo</v>
      </c>
      <c r="O992" t="str">
        <f>_xlfn.XLOOKUP(Orders[[#This Row],[CustomerID]],Customers[CustomerID],Customers[City])</f>
        <v>Georgia</v>
      </c>
      <c r="P992" t="str">
        <f>_xlfn.XLOOKUP(Orders[[#This Row],[CustomerID]],Customers[CustomerID],Customers[Gender])</f>
        <v>Male</v>
      </c>
      <c r="Q992">
        <f>_xlfn.XLOOKUP(Orders[[#This Row],[CustomerID]],Customers[CustomerID],Customers[CustomerAge])</f>
        <v>39</v>
      </c>
      <c r="R992" t="str">
        <f>IF(Orders[[#This Row],[CustomerAge]]&gt;=35, "Older", "Young")</f>
        <v>Older</v>
      </c>
      <c r="S992" t="str">
        <f>_xlfn.XLOOKUP(Orders[[#This Row],[ProductID]],Products[ProductID],Products[ProductName])</f>
        <v>Sneakers</v>
      </c>
      <c r="T992" t="str">
        <f>_xlfn.XLOOKUP(Orders[[#This Row],[ProductID]],Products[ProductID],Products[Category])</f>
        <v>Sports</v>
      </c>
    </row>
    <row r="993" spans="1:20" x14ac:dyDescent="0.25">
      <c r="A993" s="4" t="s">
        <v>1182</v>
      </c>
      <c r="B993" s="5">
        <v>45971</v>
      </c>
      <c r="C993" s="15">
        <f>WEEKNUM(Orders[[#This Row],[OrderDate]])</f>
        <v>46</v>
      </c>
      <c r="D993" s="15" t="str">
        <f>TEXT(Orders[[#This Row],[OrderDate]],"mmmm")</f>
        <v>November</v>
      </c>
      <c r="E993" s="4" t="s">
        <v>218</v>
      </c>
      <c r="F993" s="4" t="s">
        <v>34</v>
      </c>
      <c r="G993" s="4">
        <v>8</v>
      </c>
      <c r="H993" s="12">
        <v>19720</v>
      </c>
      <c r="I993" s="13">
        <v>16762</v>
      </c>
      <c r="J993" s="13">
        <f>Orders[[#This Row],[Quantity]]*Orders[[#This Row],[Selling Price]]</f>
        <v>157760</v>
      </c>
      <c r="K993" s="13">
        <f>Orders[[#This Row],[Quantity]]*Orders[[#This Row],[Cost Price]]</f>
        <v>134096</v>
      </c>
      <c r="L993" s="13">
        <f>Orders[[#This Row],[Revenue]]-Orders[[#This Row],[Expenses]]</f>
        <v>23664</v>
      </c>
      <c r="M993" t="s">
        <v>2192</v>
      </c>
      <c r="N993" t="str">
        <f>_xlfn.XLOOKUP(Orders[[#This Row],[CustomerID]],Customers[CustomerID],Customers[CustomerName])</f>
        <v>Temi Danladi</v>
      </c>
      <c r="O993" t="str">
        <f>_xlfn.XLOOKUP(Orders[[#This Row],[CustomerID]],Customers[CustomerID],Customers[City])</f>
        <v>Florida</v>
      </c>
      <c r="P993" t="str">
        <f>_xlfn.XLOOKUP(Orders[[#This Row],[CustomerID]],Customers[CustomerID],Customers[Gender])</f>
        <v>Female</v>
      </c>
      <c r="Q993">
        <f>_xlfn.XLOOKUP(Orders[[#This Row],[CustomerID]],Customers[CustomerID],Customers[CustomerAge])</f>
        <v>48</v>
      </c>
      <c r="R993" t="str">
        <f>IF(Orders[[#This Row],[CustomerAge]]&gt;=35, "Older", "Young")</f>
        <v>Older</v>
      </c>
      <c r="S993" t="str">
        <f>_xlfn.XLOOKUP(Orders[[#This Row],[ProductID]],Products[ProductID],Products[ProductName])</f>
        <v>Gold Bracelets</v>
      </c>
      <c r="T993" t="str">
        <f>_xlfn.XLOOKUP(Orders[[#This Row],[ProductID]],Products[ProductID],Products[Category])</f>
        <v>Accessories</v>
      </c>
    </row>
    <row r="994" spans="1:20" x14ac:dyDescent="0.25">
      <c r="A994" s="4" t="s">
        <v>1183</v>
      </c>
      <c r="B994" s="5">
        <v>46021</v>
      </c>
      <c r="C994" s="15">
        <f>WEEKNUM(Orders[[#This Row],[OrderDate]])</f>
        <v>53</v>
      </c>
      <c r="D994" s="15" t="str">
        <f>TEXT(Orders[[#This Row],[OrderDate]],"mmmm")</f>
        <v>December</v>
      </c>
      <c r="E994" s="4" t="s">
        <v>19</v>
      </c>
      <c r="F994" s="4" t="s">
        <v>34</v>
      </c>
      <c r="G994" s="4">
        <v>9</v>
      </c>
      <c r="H994" s="12">
        <v>2881.5</v>
      </c>
      <c r="I994" s="13">
        <v>2449.2750000000001</v>
      </c>
      <c r="J994" s="13">
        <f>Orders[[#This Row],[Quantity]]*Orders[[#This Row],[Selling Price]]</f>
        <v>25933.5</v>
      </c>
      <c r="K994" s="13">
        <f>Orders[[#This Row],[Quantity]]*Orders[[#This Row],[Cost Price]]</f>
        <v>22043.475000000002</v>
      </c>
      <c r="L994" s="13">
        <f>Orders[[#This Row],[Revenue]]-Orders[[#This Row],[Expenses]]</f>
        <v>3890.0249999999978</v>
      </c>
      <c r="M994" t="s">
        <v>2198</v>
      </c>
      <c r="N994" t="str">
        <f>_xlfn.XLOOKUP(Orders[[#This Row],[CustomerID]],Customers[CustomerID],Customers[CustomerName])</f>
        <v>Obi Adeyemi</v>
      </c>
      <c r="O994" t="str">
        <f>_xlfn.XLOOKUP(Orders[[#This Row],[CustomerID]],Customers[CustomerID],Customers[City])</f>
        <v>California</v>
      </c>
      <c r="P994" t="str">
        <f>_xlfn.XLOOKUP(Orders[[#This Row],[CustomerID]],Customers[CustomerID],Customers[Gender])</f>
        <v>Male</v>
      </c>
      <c r="Q994">
        <f>_xlfn.XLOOKUP(Orders[[#This Row],[CustomerID]],Customers[CustomerID],Customers[CustomerAge])</f>
        <v>24</v>
      </c>
      <c r="R994" t="str">
        <f>IF(Orders[[#This Row],[CustomerAge]]&gt;=35, "Older", "Young")</f>
        <v>Young</v>
      </c>
      <c r="S994" t="str">
        <f>_xlfn.XLOOKUP(Orders[[#This Row],[ProductID]],Products[ProductID],Products[ProductName])</f>
        <v>Gold Bracelets</v>
      </c>
      <c r="T994" t="str">
        <f>_xlfn.XLOOKUP(Orders[[#This Row],[ProductID]],Products[ProductID],Products[Category])</f>
        <v>Accessories</v>
      </c>
    </row>
    <row r="995" spans="1:20" x14ac:dyDescent="0.25">
      <c r="A995" s="4" t="s">
        <v>1184</v>
      </c>
      <c r="B995" s="5">
        <v>45987</v>
      </c>
      <c r="C995" s="15">
        <f>WEEKNUM(Orders[[#This Row],[OrderDate]])</f>
        <v>48</v>
      </c>
      <c r="D995" s="15" t="str">
        <f>TEXT(Orders[[#This Row],[OrderDate]],"mmmm")</f>
        <v>November</v>
      </c>
      <c r="E995" s="4" t="s">
        <v>305</v>
      </c>
      <c r="F995" s="4" t="s">
        <v>46</v>
      </c>
      <c r="G995" s="4">
        <v>3</v>
      </c>
      <c r="H995" s="12">
        <v>8522.9</v>
      </c>
      <c r="I995" s="13">
        <v>7244.4650000000001</v>
      </c>
      <c r="J995" s="13">
        <f>Orders[[#This Row],[Quantity]]*Orders[[#This Row],[Selling Price]]</f>
        <v>25568.699999999997</v>
      </c>
      <c r="K995" s="13">
        <f>Orders[[#This Row],[Quantity]]*Orders[[#This Row],[Cost Price]]</f>
        <v>21733.395</v>
      </c>
      <c r="L995" s="13">
        <f>Orders[[#This Row],[Revenue]]-Orders[[#This Row],[Expenses]]</f>
        <v>3835.3049999999967</v>
      </c>
      <c r="M995" t="s">
        <v>2204</v>
      </c>
      <c r="N995" t="str">
        <f>_xlfn.XLOOKUP(Orders[[#This Row],[CustomerID]],Customers[CustomerID],Customers[CustomerName])</f>
        <v>Tunde Danladi</v>
      </c>
      <c r="O995" t="str">
        <f>_xlfn.XLOOKUP(Orders[[#This Row],[CustomerID]],Customers[CustomerID],Customers[City])</f>
        <v>California</v>
      </c>
      <c r="P995" t="str">
        <f>_xlfn.XLOOKUP(Orders[[#This Row],[CustomerID]],Customers[CustomerID],Customers[Gender])</f>
        <v>Male</v>
      </c>
      <c r="Q995">
        <f>_xlfn.XLOOKUP(Orders[[#This Row],[CustomerID]],Customers[CustomerID],Customers[CustomerAge])</f>
        <v>40</v>
      </c>
      <c r="R995" t="str">
        <f>IF(Orders[[#This Row],[CustomerAge]]&gt;=35, "Older", "Young")</f>
        <v>Older</v>
      </c>
      <c r="S995" t="str">
        <f>_xlfn.XLOOKUP(Orders[[#This Row],[ProductID]],Products[ProductID],Products[ProductName])</f>
        <v>Turtle Neck</v>
      </c>
      <c r="T995" t="str">
        <f>_xlfn.XLOOKUP(Orders[[#This Row],[ProductID]],Products[ProductID],Products[Category])</f>
        <v>Clothing</v>
      </c>
    </row>
    <row r="996" spans="1:20" x14ac:dyDescent="0.25">
      <c r="A996" s="4" t="s">
        <v>1185</v>
      </c>
      <c r="B996" s="5">
        <v>46021</v>
      </c>
      <c r="C996" s="15">
        <f>WEEKNUM(Orders[[#This Row],[OrderDate]])</f>
        <v>53</v>
      </c>
      <c r="D996" s="15" t="str">
        <f>TEXT(Orders[[#This Row],[OrderDate]],"mmmm")</f>
        <v>December</v>
      </c>
      <c r="E996" s="4" t="s">
        <v>62</v>
      </c>
      <c r="F996" s="4" t="s">
        <v>28</v>
      </c>
      <c r="G996" s="4">
        <v>1</v>
      </c>
      <c r="H996" s="12">
        <v>11503.099999999999</v>
      </c>
      <c r="I996" s="13">
        <v>9777.6349999999984</v>
      </c>
      <c r="J996" s="13">
        <f>Orders[[#This Row],[Quantity]]*Orders[[#This Row],[Selling Price]]</f>
        <v>11503.099999999999</v>
      </c>
      <c r="K996" s="13">
        <f>Orders[[#This Row],[Quantity]]*Orders[[#This Row],[Cost Price]]</f>
        <v>9777.6349999999984</v>
      </c>
      <c r="L996" s="13">
        <f>Orders[[#This Row],[Revenue]]-Orders[[#This Row],[Expenses]]</f>
        <v>1725.4650000000001</v>
      </c>
      <c r="M996" t="s">
        <v>2203</v>
      </c>
      <c r="N996" t="str">
        <f>_xlfn.XLOOKUP(Orders[[#This Row],[CustomerID]],Customers[CustomerID],Customers[CustomerName])</f>
        <v>Ronke Okonkwo</v>
      </c>
      <c r="O996" t="str">
        <f>_xlfn.XLOOKUP(Orders[[#This Row],[CustomerID]],Customers[CustomerID],Customers[City])</f>
        <v>Texas</v>
      </c>
      <c r="P996" t="str">
        <f>_xlfn.XLOOKUP(Orders[[#This Row],[CustomerID]],Customers[CustomerID],Customers[Gender])</f>
        <v>Female</v>
      </c>
      <c r="Q996">
        <f>_xlfn.XLOOKUP(Orders[[#This Row],[CustomerID]],Customers[CustomerID],Customers[CustomerAge])</f>
        <v>36</v>
      </c>
      <c r="R996" t="str">
        <f>IF(Orders[[#This Row],[CustomerAge]]&gt;=35, "Older", "Young")</f>
        <v>Older</v>
      </c>
      <c r="S996" t="str">
        <f>_xlfn.XLOOKUP(Orders[[#This Row],[ProductID]],Products[ProductID],Products[ProductName])</f>
        <v>Sneakers</v>
      </c>
      <c r="T996" t="str">
        <f>_xlfn.XLOOKUP(Orders[[#This Row],[ProductID]],Products[ProductID],Products[Category])</f>
        <v>Sports</v>
      </c>
    </row>
    <row r="997" spans="1:20" x14ac:dyDescent="0.25">
      <c r="A997" s="4" t="s">
        <v>1186</v>
      </c>
      <c r="B997" s="5">
        <v>45974</v>
      </c>
      <c r="C997" s="15">
        <f>WEEKNUM(Orders[[#This Row],[OrderDate]])</f>
        <v>46</v>
      </c>
      <c r="D997" s="15" t="str">
        <f>TEXT(Orders[[#This Row],[OrderDate]],"mmmm")</f>
        <v>November</v>
      </c>
      <c r="E997" s="4" t="s">
        <v>256</v>
      </c>
      <c r="F997" s="4" t="s">
        <v>189</v>
      </c>
      <c r="G997" s="4">
        <v>4</v>
      </c>
      <c r="H997" s="12">
        <v>10207</v>
      </c>
      <c r="I997" s="13">
        <v>8675.9500000000007</v>
      </c>
      <c r="J997" s="13">
        <f>Orders[[#This Row],[Quantity]]*Orders[[#This Row],[Selling Price]]</f>
        <v>40828</v>
      </c>
      <c r="K997" s="13">
        <f>Orders[[#This Row],[Quantity]]*Orders[[#This Row],[Cost Price]]</f>
        <v>34703.800000000003</v>
      </c>
      <c r="L997" s="13">
        <f>Orders[[#This Row],[Revenue]]-Orders[[#This Row],[Expenses]]</f>
        <v>6124.1999999999971</v>
      </c>
      <c r="M997" t="s">
        <v>2212</v>
      </c>
      <c r="N997" t="str">
        <f>_xlfn.XLOOKUP(Orders[[#This Row],[CustomerID]],Customers[CustomerID],Customers[CustomerName])</f>
        <v>Efe Ojo</v>
      </c>
      <c r="O997" t="str">
        <f>_xlfn.XLOOKUP(Orders[[#This Row],[CustomerID]],Customers[CustomerID],Customers[City])</f>
        <v>Georgia</v>
      </c>
      <c r="P997" t="str">
        <f>_xlfn.XLOOKUP(Orders[[#This Row],[CustomerID]],Customers[CustomerID],Customers[Gender])</f>
        <v>Female</v>
      </c>
      <c r="Q997">
        <f>_xlfn.XLOOKUP(Orders[[#This Row],[CustomerID]],Customers[CustomerID],Customers[CustomerAge])</f>
        <v>23</v>
      </c>
      <c r="R997" t="str">
        <f>IF(Orders[[#This Row],[CustomerAge]]&gt;=35, "Older", "Young")</f>
        <v>Young</v>
      </c>
      <c r="S997" t="str">
        <f>_xlfn.XLOOKUP(Orders[[#This Row],[ProductID]],Products[ProductID],Products[ProductName])</f>
        <v>Scrabble</v>
      </c>
      <c r="T997" t="str">
        <f>_xlfn.XLOOKUP(Orders[[#This Row],[ProductID]],Products[ProductID],Products[Category])</f>
        <v>Games</v>
      </c>
    </row>
    <row r="998" spans="1:20" x14ac:dyDescent="0.25">
      <c r="A998" s="4" t="s">
        <v>1187</v>
      </c>
      <c r="B998" s="5">
        <v>45940</v>
      </c>
      <c r="C998" s="15">
        <f>WEEKNUM(Orders[[#This Row],[OrderDate]])</f>
        <v>41</v>
      </c>
      <c r="D998" s="15" t="str">
        <f>TEXT(Orders[[#This Row],[OrderDate]],"mmmm")</f>
        <v>October</v>
      </c>
      <c r="E998" s="4" t="s">
        <v>110</v>
      </c>
      <c r="F998" s="4" t="s">
        <v>57</v>
      </c>
      <c r="G998" s="4">
        <v>2</v>
      </c>
      <c r="H998" s="12">
        <v>15855.2</v>
      </c>
      <c r="I998" s="13">
        <v>13476.92</v>
      </c>
      <c r="J998" s="13">
        <f>Orders[[#This Row],[Quantity]]*Orders[[#This Row],[Selling Price]]</f>
        <v>31710.400000000001</v>
      </c>
      <c r="K998" s="13">
        <f>Orders[[#This Row],[Quantity]]*Orders[[#This Row],[Cost Price]]</f>
        <v>26953.84</v>
      </c>
      <c r="L998" s="13">
        <f>Orders[[#This Row],[Revenue]]-Orders[[#This Row],[Expenses]]</f>
        <v>4756.5600000000013</v>
      </c>
      <c r="M998" t="s">
        <v>2210</v>
      </c>
      <c r="N998" t="str">
        <f>_xlfn.XLOOKUP(Orders[[#This Row],[CustomerID]],Customers[CustomerID],Customers[CustomerName])</f>
        <v>Ngozi Danladi</v>
      </c>
      <c r="O998" t="str">
        <f>_xlfn.XLOOKUP(Orders[[#This Row],[CustomerID]],Customers[CustomerID],Customers[City])</f>
        <v>Washington</v>
      </c>
      <c r="P998" t="str">
        <f>_xlfn.XLOOKUP(Orders[[#This Row],[CustomerID]],Customers[CustomerID],Customers[Gender])</f>
        <v>Female</v>
      </c>
      <c r="Q998">
        <f>_xlfn.XLOOKUP(Orders[[#This Row],[CustomerID]],Customers[CustomerID],Customers[CustomerAge])</f>
        <v>28</v>
      </c>
      <c r="R998" t="str">
        <f>IF(Orders[[#This Row],[CustomerAge]]&gt;=35, "Older", "Young")</f>
        <v>Young</v>
      </c>
      <c r="S998" t="str">
        <f>_xlfn.XLOOKUP(Orders[[#This Row],[ProductID]],Products[ProductID],Products[ProductName])</f>
        <v>Badminton Racket</v>
      </c>
      <c r="T998" t="str">
        <f>_xlfn.XLOOKUP(Orders[[#This Row],[ProductID]],Products[ProductID],Products[Category])</f>
        <v>Sports</v>
      </c>
    </row>
    <row r="999" spans="1:20" x14ac:dyDescent="0.25">
      <c r="A999" s="4" t="s">
        <v>1188</v>
      </c>
      <c r="B999" s="5">
        <v>45976</v>
      </c>
      <c r="C999" s="15">
        <f>WEEKNUM(Orders[[#This Row],[OrderDate]])</f>
        <v>46</v>
      </c>
      <c r="D999" s="15" t="str">
        <f>TEXT(Orders[[#This Row],[OrderDate]],"mmmm")</f>
        <v>November</v>
      </c>
      <c r="E999" s="4" t="s">
        <v>237</v>
      </c>
      <c r="F999" s="4" t="s">
        <v>9</v>
      </c>
      <c r="G999" s="4">
        <v>1</v>
      </c>
      <c r="H999" s="12">
        <v>4997.7</v>
      </c>
      <c r="I999" s="13">
        <v>4248.0450000000001</v>
      </c>
      <c r="J999" s="13">
        <f>Orders[[#This Row],[Quantity]]*Orders[[#This Row],[Selling Price]]</f>
        <v>4997.7</v>
      </c>
      <c r="K999" s="13">
        <f>Orders[[#This Row],[Quantity]]*Orders[[#This Row],[Cost Price]]</f>
        <v>4248.0450000000001</v>
      </c>
      <c r="L999" s="13">
        <f>Orders[[#This Row],[Revenue]]-Orders[[#This Row],[Expenses]]</f>
        <v>749.65499999999975</v>
      </c>
      <c r="M999" t="s">
        <v>2203</v>
      </c>
      <c r="N999" t="str">
        <f>_xlfn.XLOOKUP(Orders[[#This Row],[CustomerID]],Customers[CustomerID],Customers[CustomerName])</f>
        <v>Ronke Danladi</v>
      </c>
      <c r="O999" t="str">
        <f>_xlfn.XLOOKUP(Orders[[#This Row],[CustomerID]],Customers[CustomerID],Customers[City])</f>
        <v>Florida</v>
      </c>
      <c r="P999" t="str">
        <f>_xlfn.XLOOKUP(Orders[[#This Row],[CustomerID]],Customers[CustomerID],Customers[Gender])</f>
        <v>Female</v>
      </c>
      <c r="Q999">
        <f>_xlfn.XLOOKUP(Orders[[#This Row],[CustomerID]],Customers[CustomerID],Customers[CustomerAge])</f>
        <v>25</v>
      </c>
      <c r="R999" t="str">
        <f>IF(Orders[[#This Row],[CustomerAge]]&gt;=35, "Older", "Young")</f>
        <v>Young</v>
      </c>
      <c r="S999" t="str">
        <f>_xlfn.XLOOKUP(Orders[[#This Row],[ProductID]],Products[ProductID],Products[ProductName])</f>
        <v>Beaded Earrings And Necklaces</v>
      </c>
      <c r="T999" t="str">
        <f>_xlfn.XLOOKUP(Orders[[#This Row],[ProductID]],Products[ProductID],Products[Category])</f>
        <v>Accessories</v>
      </c>
    </row>
    <row r="1000" spans="1:20" x14ac:dyDescent="0.25">
      <c r="A1000" s="4" t="s">
        <v>1189</v>
      </c>
      <c r="B1000" s="5">
        <v>45981</v>
      </c>
      <c r="C1000" s="15">
        <f>WEEKNUM(Orders[[#This Row],[OrderDate]])</f>
        <v>47</v>
      </c>
      <c r="D1000" s="15" t="str">
        <f>TEXT(Orders[[#This Row],[OrderDate]],"mmmm")</f>
        <v>November</v>
      </c>
      <c r="E1000" s="4" t="s">
        <v>136</v>
      </c>
      <c r="F1000" s="4" t="s">
        <v>92</v>
      </c>
      <c r="G1000" s="4">
        <v>6</v>
      </c>
      <c r="H1000" s="12">
        <v>8441.6</v>
      </c>
      <c r="I1000" s="13">
        <v>7175.3600000000006</v>
      </c>
      <c r="J1000" s="13">
        <f>Orders[[#This Row],[Quantity]]*Orders[[#This Row],[Selling Price]]</f>
        <v>50649.600000000006</v>
      </c>
      <c r="K1000" s="13">
        <f>Orders[[#This Row],[Quantity]]*Orders[[#This Row],[Cost Price]]</f>
        <v>43052.160000000003</v>
      </c>
      <c r="L1000" s="13">
        <f>Orders[[#This Row],[Revenue]]-Orders[[#This Row],[Expenses]]</f>
        <v>7597.4400000000023</v>
      </c>
      <c r="M1000" t="s">
        <v>2208</v>
      </c>
      <c r="N1000" t="str">
        <f>_xlfn.XLOOKUP(Orders[[#This Row],[CustomerID]],Customers[CustomerID],Customers[CustomerName])</f>
        <v>Chinedu Obi</v>
      </c>
      <c r="O1000" t="str">
        <f>_xlfn.XLOOKUP(Orders[[#This Row],[CustomerID]],Customers[CustomerID],Customers[City])</f>
        <v>California</v>
      </c>
      <c r="P1000" t="str">
        <f>_xlfn.XLOOKUP(Orders[[#This Row],[CustomerID]],Customers[CustomerID],Customers[Gender])</f>
        <v>Male</v>
      </c>
      <c r="Q1000">
        <f>_xlfn.XLOOKUP(Orders[[#This Row],[CustomerID]],Customers[CustomerID],Customers[CustomerAge])</f>
        <v>27</v>
      </c>
      <c r="R1000" t="str">
        <f>IF(Orders[[#This Row],[CustomerAge]]&gt;=35, "Older", "Young")</f>
        <v>Young</v>
      </c>
      <c r="S1000" t="str">
        <f>_xlfn.XLOOKUP(Orders[[#This Row],[ProductID]],Products[ProductID],Products[ProductName])</f>
        <v>Chest Expander</v>
      </c>
      <c r="T1000" t="str">
        <f>_xlfn.XLOOKUP(Orders[[#This Row],[ProductID]],Products[ProductID],Products[Category])</f>
        <v>Gym</v>
      </c>
    </row>
    <row r="1001" spans="1:20" x14ac:dyDescent="0.25">
      <c r="A1001" s="4" t="s">
        <v>1190</v>
      </c>
      <c r="B1001" s="5">
        <v>45968</v>
      </c>
      <c r="C1001" s="15">
        <f>WEEKNUM(Orders[[#This Row],[OrderDate]])</f>
        <v>45</v>
      </c>
      <c r="D1001" s="15" t="str">
        <f>TEXT(Orders[[#This Row],[OrderDate]],"mmmm")</f>
        <v>November</v>
      </c>
      <c r="E1001" s="4" t="s">
        <v>207</v>
      </c>
      <c r="F1001" s="4" t="s">
        <v>15</v>
      </c>
      <c r="G1001" s="4">
        <v>4</v>
      </c>
      <c r="H1001" s="12">
        <v>14929.7</v>
      </c>
      <c r="I1001" s="13">
        <v>12690.245000000001</v>
      </c>
      <c r="J1001" s="13">
        <f>Orders[[#This Row],[Quantity]]*Orders[[#This Row],[Selling Price]]</f>
        <v>59718.8</v>
      </c>
      <c r="K1001" s="13">
        <f>Orders[[#This Row],[Quantity]]*Orders[[#This Row],[Cost Price]]</f>
        <v>50760.98</v>
      </c>
      <c r="L1001" s="13">
        <f>Orders[[#This Row],[Revenue]]-Orders[[#This Row],[Expenses]]</f>
        <v>8957.82</v>
      </c>
      <c r="M1001" t="s">
        <v>2208</v>
      </c>
      <c r="N1001" t="str">
        <f>_xlfn.XLOOKUP(Orders[[#This Row],[CustomerID]],Customers[CustomerID],Customers[CustomerName])</f>
        <v>Bisi Eze</v>
      </c>
      <c r="O1001" t="str">
        <f>_xlfn.XLOOKUP(Orders[[#This Row],[CustomerID]],Customers[CustomerID],Customers[City])</f>
        <v>Florida</v>
      </c>
      <c r="P1001" t="str">
        <f>_xlfn.XLOOKUP(Orders[[#This Row],[CustomerID]],Customers[CustomerID],Customers[Gender])</f>
        <v>Female</v>
      </c>
      <c r="Q1001">
        <f>_xlfn.XLOOKUP(Orders[[#This Row],[CustomerID]],Customers[CustomerID],Customers[CustomerAge])</f>
        <v>37</v>
      </c>
      <c r="R1001" t="str">
        <f>IF(Orders[[#This Row],[CustomerAge]]&gt;=35, "Older", "Young")</f>
        <v>Older</v>
      </c>
      <c r="S1001" t="str">
        <f>_xlfn.XLOOKUP(Orders[[#This Row],[ProductID]],Products[ProductID],Products[ProductName])</f>
        <v>Monopoly</v>
      </c>
      <c r="T1001" t="str">
        <f>_xlfn.XLOOKUP(Orders[[#This Row],[ProductID]],Products[ProductID],Products[Category])</f>
        <v>Games</v>
      </c>
    </row>
    <row r="1002" spans="1:20" x14ac:dyDescent="0.25">
      <c r="A1002" s="4" t="s">
        <v>1191</v>
      </c>
      <c r="B1002" s="5">
        <v>45989</v>
      </c>
      <c r="C1002" s="15">
        <f>WEEKNUM(Orders[[#This Row],[OrderDate]])</f>
        <v>48</v>
      </c>
      <c r="D1002" s="15" t="str">
        <f>TEXT(Orders[[#This Row],[OrderDate]],"mmmm")</f>
        <v>November</v>
      </c>
      <c r="E1002" s="4" t="s">
        <v>205</v>
      </c>
      <c r="F1002" s="4" t="s">
        <v>92</v>
      </c>
      <c r="G1002" s="4">
        <v>5</v>
      </c>
      <c r="H1002" s="12">
        <v>14809.2</v>
      </c>
      <c r="I1002" s="13">
        <v>12587.82</v>
      </c>
      <c r="J1002" s="13">
        <f>Orders[[#This Row],[Quantity]]*Orders[[#This Row],[Selling Price]]</f>
        <v>74046</v>
      </c>
      <c r="K1002" s="13">
        <f>Orders[[#This Row],[Quantity]]*Orders[[#This Row],[Cost Price]]</f>
        <v>62939.1</v>
      </c>
      <c r="L1002" s="13">
        <f>Orders[[#This Row],[Revenue]]-Orders[[#This Row],[Expenses]]</f>
        <v>11106.900000000001</v>
      </c>
      <c r="M1002" t="s">
        <v>2215</v>
      </c>
      <c r="N1002" t="str">
        <f>_xlfn.XLOOKUP(Orders[[#This Row],[CustomerID]],Customers[CustomerID],Customers[CustomerName])</f>
        <v>Jide Adeyemi</v>
      </c>
      <c r="O1002" t="str">
        <f>_xlfn.XLOOKUP(Orders[[#This Row],[CustomerID]],Customers[CustomerID],Customers[City])</f>
        <v>Washington</v>
      </c>
      <c r="P1002" t="str">
        <f>_xlfn.XLOOKUP(Orders[[#This Row],[CustomerID]],Customers[CustomerID],Customers[Gender])</f>
        <v>Male</v>
      </c>
      <c r="Q1002">
        <f>_xlfn.XLOOKUP(Orders[[#This Row],[CustomerID]],Customers[CustomerID],Customers[CustomerAge])</f>
        <v>19</v>
      </c>
      <c r="R1002" t="str">
        <f>IF(Orders[[#This Row],[CustomerAge]]&gt;=35, "Older", "Young")</f>
        <v>Young</v>
      </c>
      <c r="S1002" t="str">
        <f>_xlfn.XLOOKUP(Orders[[#This Row],[ProductID]],Products[ProductID],Products[ProductName])</f>
        <v>Chest Expander</v>
      </c>
      <c r="T1002" t="str">
        <f>_xlfn.XLOOKUP(Orders[[#This Row],[ProductID]],Products[ProductID],Products[Category])</f>
        <v>Gym</v>
      </c>
    </row>
    <row r="1003" spans="1:20" x14ac:dyDescent="0.25">
      <c r="A1003" s="4" t="s">
        <v>1192</v>
      </c>
      <c r="B1003" s="5">
        <v>45938</v>
      </c>
      <c r="C1003" s="15">
        <f>WEEKNUM(Orders[[#This Row],[OrderDate]])</f>
        <v>41</v>
      </c>
      <c r="D1003" s="15" t="str">
        <f>TEXT(Orders[[#This Row],[OrderDate]],"mmmm")</f>
        <v>October</v>
      </c>
      <c r="E1003" s="4" t="s">
        <v>198</v>
      </c>
      <c r="F1003" s="4" t="s">
        <v>37</v>
      </c>
      <c r="G1003" s="4">
        <v>6</v>
      </c>
      <c r="H1003" s="12">
        <v>8397.4</v>
      </c>
      <c r="I1003" s="13">
        <v>7137.79</v>
      </c>
      <c r="J1003" s="13">
        <f>Orders[[#This Row],[Quantity]]*Orders[[#This Row],[Selling Price]]</f>
        <v>50384.399999999994</v>
      </c>
      <c r="K1003" s="13">
        <f>Orders[[#This Row],[Quantity]]*Orders[[#This Row],[Cost Price]]</f>
        <v>42826.74</v>
      </c>
      <c r="L1003" s="13">
        <f>Orders[[#This Row],[Revenue]]-Orders[[#This Row],[Expenses]]</f>
        <v>7557.6599999999962</v>
      </c>
      <c r="M1003" t="s">
        <v>2215</v>
      </c>
      <c r="N1003" t="str">
        <f>_xlfn.XLOOKUP(Orders[[#This Row],[CustomerID]],Customers[CustomerID],Customers[CustomerName])</f>
        <v>Blessing Danladi</v>
      </c>
      <c r="O1003" t="str">
        <f>_xlfn.XLOOKUP(Orders[[#This Row],[CustomerID]],Customers[CustomerID],Customers[City])</f>
        <v>Texas</v>
      </c>
      <c r="P1003" t="str">
        <f>_xlfn.XLOOKUP(Orders[[#This Row],[CustomerID]],Customers[CustomerID],Customers[Gender])</f>
        <v>Female</v>
      </c>
      <c r="Q1003">
        <f>_xlfn.XLOOKUP(Orders[[#This Row],[CustomerID]],Customers[CustomerID],Customers[CustomerAge])</f>
        <v>19</v>
      </c>
      <c r="R1003" t="str">
        <f>IF(Orders[[#This Row],[CustomerAge]]&gt;=35, "Older", "Young")</f>
        <v>Young</v>
      </c>
      <c r="S1003" t="str">
        <f>_xlfn.XLOOKUP(Orders[[#This Row],[ProductID]],Products[ProductID],Products[ProductName])</f>
        <v>Iron</v>
      </c>
      <c r="T1003" t="str">
        <f>_xlfn.XLOOKUP(Orders[[#This Row],[ProductID]],Products[ProductID],Products[Category])</f>
        <v>Electronics</v>
      </c>
    </row>
    <row r="1004" spans="1:20" x14ac:dyDescent="0.25">
      <c r="A1004" s="4" t="s">
        <v>1193</v>
      </c>
      <c r="B1004" s="5">
        <v>45952</v>
      </c>
      <c r="C1004" s="15">
        <f>WEEKNUM(Orders[[#This Row],[OrderDate]])</f>
        <v>43</v>
      </c>
      <c r="D1004" s="15" t="str">
        <f>TEXT(Orders[[#This Row],[OrderDate]],"mmmm")</f>
        <v>October</v>
      </c>
      <c r="E1004" s="4" t="s">
        <v>246</v>
      </c>
      <c r="F1004" s="4" t="s">
        <v>84</v>
      </c>
      <c r="G1004" s="4">
        <v>3</v>
      </c>
      <c r="H1004" s="12">
        <v>8042.7999999999993</v>
      </c>
      <c r="I1004" s="13">
        <v>6836.3799999999992</v>
      </c>
      <c r="J1004" s="13">
        <f>Orders[[#This Row],[Quantity]]*Orders[[#This Row],[Selling Price]]</f>
        <v>24128.399999999998</v>
      </c>
      <c r="K1004" s="13">
        <f>Orders[[#This Row],[Quantity]]*Orders[[#This Row],[Cost Price]]</f>
        <v>20509.14</v>
      </c>
      <c r="L1004" s="13">
        <f>Orders[[#This Row],[Revenue]]-Orders[[#This Row],[Expenses]]</f>
        <v>3619.2599999999984</v>
      </c>
      <c r="M1004" t="s">
        <v>2198</v>
      </c>
      <c r="N1004" t="str">
        <f>_xlfn.XLOOKUP(Orders[[#This Row],[CustomerID]],Customers[CustomerID],Customers[CustomerName])</f>
        <v>Emeka Abubakar</v>
      </c>
      <c r="O1004" t="str">
        <f>_xlfn.XLOOKUP(Orders[[#This Row],[CustomerID]],Customers[CustomerID],Customers[City])</f>
        <v>Florida</v>
      </c>
      <c r="P1004" t="str">
        <f>_xlfn.XLOOKUP(Orders[[#This Row],[CustomerID]],Customers[CustomerID],Customers[Gender])</f>
        <v>Male</v>
      </c>
      <c r="Q1004">
        <f>_xlfn.XLOOKUP(Orders[[#This Row],[CustomerID]],Customers[CustomerID],Customers[CustomerAge])</f>
        <v>28</v>
      </c>
      <c r="R1004" t="str">
        <f>IF(Orders[[#This Row],[CustomerAge]]&gt;=35, "Older", "Young")</f>
        <v>Young</v>
      </c>
      <c r="S1004" t="str">
        <f>_xlfn.XLOOKUP(Orders[[#This Row],[ProductID]],Products[ProductID],Products[ProductName])</f>
        <v>Gym Wears</v>
      </c>
      <c r="T1004" t="str">
        <f>_xlfn.XLOOKUP(Orders[[#This Row],[ProductID]],Products[ProductID],Products[Category])</f>
        <v>Clothing</v>
      </c>
    </row>
    <row r="1005" spans="1:20" x14ac:dyDescent="0.25">
      <c r="A1005" s="4" t="s">
        <v>1194</v>
      </c>
      <c r="B1005" s="5">
        <v>45995</v>
      </c>
      <c r="C1005" s="15">
        <f>WEEKNUM(Orders[[#This Row],[OrderDate]])</f>
        <v>49</v>
      </c>
      <c r="D1005" s="15" t="str">
        <f>TEXT(Orders[[#This Row],[OrderDate]],"mmmm")</f>
        <v>December</v>
      </c>
      <c r="E1005" s="4" t="s">
        <v>564</v>
      </c>
      <c r="F1005" s="4" t="s">
        <v>353</v>
      </c>
      <c r="G1005" s="4">
        <v>10</v>
      </c>
      <c r="H1005" s="12">
        <v>4278.2</v>
      </c>
      <c r="I1005" s="13">
        <v>3636.47</v>
      </c>
      <c r="J1005" s="13">
        <f>Orders[[#This Row],[Quantity]]*Orders[[#This Row],[Selling Price]]</f>
        <v>42782</v>
      </c>
      <c r="K1005" s="13">
        <f>Orders[[#This Row],[Quantity]]*Orders[[#This Row],[Cost Price]]</f>
        <v>36364.699999999997</v>
      </c>
      <c r="L1005" s="13">
        <f>Orders[[#This Row],[Revenue]]-Orders[[#This Row],[Expenses]]</f>
        <v>6417.3000000000029</v>
      </c>
      <c r="M1005" t="s">
        <v>2208</v>
      </c>
      <c r="N1005" t="str">
        <f>_xlfn.XLOOKUP(Orders[[#This Row],[CustomerID]],Customers[CustomerID],Customers[CustomerName])</f>
        <v>Blessing Eze</v>
      </c>
      <c r="O1005" t="str">
        <f>_xlfn.XLOOKUP(Orders[[#This Row],[CustomerID]],Customers[CustomerID],Customers[City])</f>
        <v>Georgia</v>
      </c>
      <c r="P1005" t="str">
        <f>_xlfn.XLOOKUP(Orders[[#This Row],[CustomerID]],Customers[CustomerID],Customers[Gender])</f>
        <v>Female</v>
      </c>
      <c r="Q1005">
        <f>_xlfn.XLOOKUP(Orders[[#This Row],[CustomerID]],Customers[CustomerID],Customers[CustomerAge])</f>
        <v>19</v>
      </c>
      <c r="R1005" t="str">
        <f>IF(Orders[[#This Row],[CustomerAge]]&gt;=35, "Older", "Young")</f>
        <v>Young</v>
      </c>
      <c r="S1005" t="str">
        <f>_xlfn.XLOOKUP(Orders[[#This Row],[ProductID]],Products[ProductID],Products[ProductName])</f>
        <v>Silver Earrings And Necklaces</v>
      </c>
      <c r="T1005" t="str">
        <f>_xlfn.XLOOKUP(Orders[[#This Row],[ProductID]],Products[ProductID],Products[Category])</f>
        <v>Accessories</v>
      </c>
    </row>
    <row r="1006" spans="1:20" x14ac:dyDescent="0.25">
      <c r="A1006" s="4" t="s">
        <v>1195</v>
      </c>
      <c r="B1006" s="5">
        <v>45989</v>
      </c>
      <c r="C1006" s="15">
        <f>WEEKNUM(Orders[[#This Row],[OrderDate]])</f>
        <v>48</v>
      </c>
      <c r="D1006" s="15" t="str">
        <f>TEXT(Orders[[#This Row],[OrderDate]],"mmmm")</f>
        <v>November</v>
      </c>
      <c r="E1006" s="4" t="s">
        <v>136</v>
      </c>
      <c r="F1006" s="4" t="s">
        <v>23</v>
      </c>
      <c r="G1006" s="4">
        <v>7</v>
      </c>
      <c r="H1006" s="12">
        <v>17884.100000000002</v>
      </c>
      <c r="I1006" s="13">
        <v>15201.485000000002</v>
      </c>
      <c r="J1006" s="13">
        <f>Orders[[#This Row],[Quantity]]*Orders[[#This Row],[Selling Price]]</f>
        <v>125188.70000000001</v>
      </c>
      <c r="K1006" s="13">
        <f>Orders[[#This Row],[Quantity]]*Orders[[#This Row],[Cost Price]]</f>
        <v>106410.39500000002</v>
      </c>
      <c r="L1006" s="13">
        <f>Orders[[#This Row],[Revenue]]-Orders[[#This Row],[Expenses]]</f>
        <v>18778.304999999993</v>
      </c>
      <c r="M1006" t="s">
        <v>2212</v>
      </c>
      <c r="N1006" t="str">
        <f>_xlfn.XLOOKUP(Orders[[#This Row],[CustomerID]],Customers[CustomerID],Customers[CustomerName])</f>
        <v>Chinedu Obi</v>
      </c>
      <c r="O1006" t="str">
        <f>_xlfn.XLOOKUP(Orders[[#This Row],[CustomerID]],Customers[CustomerID],Customers[City])</f>
        <v>California</v>
      </c>
      <c r="P1006" t="str">
        <f>_xlfn.XLOOKUP(Orders[[#This Row],[CustomerID]],Customers[CustomerID],Customers[Gender])</f>
        <v>Male</v>
      </c>
      <c r="Q1006">
        <f>_xlfn.XLOOKUP(Orders[[#This Row],[CustomerID]],Customers[CustomerID],Customers[CustomerAge])</f>
        <v>27</v>
      </c>
      <c r="R1006" t="str">
        <f>IF(Orders[[#This Row],[CustomerAge]]&gt;=35, "Older", "Young")</f>
        <v>Young</v>
      </c>
      <c r="S1006" t="str">
        <f>_xlfn.XLOOKUP(Orders[[#This Row],[ProductID]],Products[ProductID],Products[ProductName])</f>
        <v>Gym Gloves</v>
      </c>
      <c r="T1006" t="str">
        <f>_xlfn.XLOOKUP(Orders[[#This Row],[ProductID]],Products[ProductID],Products[Category])</f>
        <v>Gym</v>
      </c>
    </row>
    <row r="1007" spans="1:20" x14ac:dyDescent="0.25">
      <c r="A1007" s="4" t="s">
        <v>1196</v>
      </c>
      <c r="B1007" s="5">
        <v>45993</v>
      </c>
      <c r="C1007" s="15">
        <f>WEEKNUM(Orders[[#This Row],[OrderDate]])</f>
        <v>49</v>
      </c>
      <c r="D1007" s="15" t="str">
        <f>TEXT(Orders[[#This Row],[OrderDate]],"mmmm")</f>
        <v>December</v>
      </c>
      <c r="E1007" s="4" t="s">
        <v>833</v>
      </c>
      <c r="F1007" s="4" t="s">
        <v>37</v>
      </c>
      <c r="G1007" s="4">
        <v>5</v>
      </c>
      <c r="H1007" s="12">
        <v>18022.7</v>
      </c>
      <c r="I1007" s="13">
        <v>15319.295</v>
      </c>
      <c r="J1007" s="13">
        <f>Orders[[#This Row],[Quantity]]*Orders[[#This Row],[Selling Price]]</f>
        <v>90113.5</v>
      </c>
      <c r="K1007" s="13">
        <f>Orders[[#This Row],[Quantity]]*Orders[[#This Row],[Cost Price]]</f>
        <v>76596.475000000006</v>
      </c>
      <c r="L1007" s="13">
        <f>Orders[[#This Row],[Revenue]]-Orders[[#This Row],[Expenses]]</f>
        <v>13517.024999999994</v>
      </c>
      <c r="M1007" t="s">
        <v>2203</v>
      </c>
      <c r="N1007" t="str">
        <f>_xlfn.XLOOKUP(Orders[[#This Row],[CustomerID]],Customers[CustomerID],Customers[CustomerName])</f>
        <v>Abiola Adeyemi</v>
      </c>
      <c r="O1007" t="str">
        <f>_xlfn.XLOOKUP(Orders[[#This Row],[CustomerID]],Customers[CustomerID],Customers[City])</f>
        <v>Washington</v>
      </c>
      <c r="P1007" t="str">
        <f>_xlfn.XLOOKUP(Orders[[#This Row],[CustomerID]],Customers[CustomerID],Customers[Gender])</f>
        <v>Male</v>
      </c>
      <c r="Q1007">
        <f>_xlfn.XLOOKUP(Orders[[#This Row],[CustomerID]],Customers[CustomerID],Customers[CustomerAge])</f>
        <v>53</v>
      </c>
      <c r="R1007" t="str">
        <f>IF(Orders[[#This Row],[CustomerAge]]&gt;=35, "Older", "Young")</f>
        <v>Older</v>
      </c>
      <c r="S1007" t="str">
        <f>_xlfn.XLOOKUP(Orders[[#This Row],[ProductID]],Products[ProductID],Products[ProductName])</f>
        <v>Iron</v>
      </c>
      <c r="T1007" t="str">
        <f>_xlfn.XLOOKUP(Orders[[#This Row],[ProductID]],Products[ProductID],Products[Category])</f>
        <v>Electronics</v>
      </c>
    </row>
    <row r="1008" spans="1:20" x14ac:dyDescent="0.25">
      <c r="A1008" s="4" t="s">
        <v>1197</v>
      </c>
      <c r="B1008" s="5">
        <v>45978</v>
      </c>
      <c r="C1008" s="15">
        <f>WEEKNUM(Orders[[#This Row],[OrderDate]])</f>
        <v>47</v>
      </c>
      <c r="D1008" s="15" t="str">
        <f>TEXT(Orders[[#This Row],[OrderDate]],"mmmm")</f>
        <v>November</v>
      </c>
      <c r="E1008" s="4" t="s">
        <v>305</v>
      </c>
      <c r="F1008" s="4" t="s">
        <v>151</v>
      </c>
      <c r="G1008" s="4">
        <v>2</v>
      </c>
      <c r="H1008" s="12">
        <v>15860.9</v>
      </c>
      <c r="I1008" s="13">
        <v>13481.764999999999</v>
      </c>
      <c r="J1008" s="13">
        <f>Orders[[#This Row],[Quantity]]*Orders[[#This Row],[Selling Price]]</f>
        <v>31721.8</v>
      </c>
      <c r="K1008" s="13">
        <f>Orders[[#This Row],[Quantity]]*Orders[[#This Row],[Cost Price]]</f>
        <v>26963.53</v>
      </c>
      <c r="L1008" s="13">
        <f>Orders[[#This Row],[Revenue]]-Orders[[#This Row],[Expenses]]</f>
        <v>4758.2700000000004</v>
      </c>
      <c r="M1008" t="s">
        <v>2202</v>
      </c>
      <c r="N1008" t="str">
        <f>_xlfn.XLOOKUP(Orders[[#This Row],[CustomerID]],Customers[CustomerID],Customers[CustomerName])</f>
        <v>Tunde Danladi</v>
      </c>
      <c r="O1008" t="str">
        <f>_xlfn.XLOOKUP(Orders[[#This Row],[CustomerID]],Customers[CustomerID],Customers[City])</f>
        <v>California</v>
      </c>
      <c r="P1008" t="str">
        <f>_xlfn.XLOOKUP(Orders[[#This Row],[CustomerID]],Customers[CustomerID],Customers[Gender])</f>
        <v>Male</v>
      </c>
      <c r="Q1008">
        <f>_xlfn.XLOOKUP(Orders[[#This Row],[CustomerID]],Customers[CustomerID],Customers[CustomerAge])</f>
        <v>40</v>
      </c>
      <c r="R1008" t="str">
        <f>IF(Orders[[#This Row],[CustomerAge]]&gt;=35, "Older", "Young")</f>
        <v>Older</v>
      </c>
      <c r="S1008" t="str">
        <f>_xlfn.XLOOKUP(Orders[[#This Row],[ProductID]],Products[ProductID],Products[ProductName])</f>
        <v>Checkers</v>
      </c>
      <c r="T1008" t="str">
        <f>_xlfn.XLOOKUP(Orders[[#This Row],[ProductID]],Products[ProductID],Products[Category])</f>
        <v>Games</v>
      </c>
    </row>
    <row r="1009" spans="1:20" x14ac:dyDescent="0.25">
      <c r="A1009" s="4" t="s">
        <v>1198</v>
      </c>
      <c r="B1009" s="5">
        <v>45994</v>
      </c>
      <c r="C1009" s="15">
        <f>WEEKNUM(Orders[[#This Row],[OrderDate]])</f>
        <v>49</v>
      </c>
      <c r="D1009" s="15" t="str">
        <f>TEXT(Orders[[#This Row],[OrderDate]],"mmmm")</f>
        <v>December</v>
      </c>
      <c r="E1009" s="4" t="s">
        <v>154</v>
      </c>
      <c r="F1009" s="4" t="s">
        <v>23</v>
      </c>
      <c r="G1009" s="4">
        <v>4</v>
      </c>
      <c r="H1009" s="12">
        <v>18261.8</v>
      </c>
      <c r="I1009" s="13">
        <v>15522.529999999999</v>
      </c>
      <c r="J1009" s="13">
        <f>Orders[[#This Row],[Quantity]]*Orders[[#This Row],[Selling Price]]</f>
        <v>73047.199999999997</v>
      </c>
      <c r="K1009" s="13">
        <f>Orders[[#This Row],[Quantity]]*Orders[[#This Row],[Cost Price]]</f>
        <v>62090.119999999995</v>
      </c>
      <c r="L1009" s="13">
        <f>Orders[[#This Row],[Revenue]]-Orders[[#This Row],[Expenses]]</f>
        <v>10957.080000000002</v>
      </c>
      <c r="M1009" t="s">
        <v>2207</v>
      </c>
      <c r="N1009" t="str">
        <f>_xlfn.XLOOKUP(Orders[[#This Row],[CustomerID]],Customers[CustomerID],Customers[CustomerName])</f>
        <v>Ronke Danladi</v>
      </c>
      <c r="O1009" t="str">
        <f>_xlfn.XLOOKUP(Orders[[#This Row],[CustomerID]],Customers[CustomerID],Customers[City])</f>
        <v>Illinois</v>
      </c>
      <c r="P1009" t="str">
        <f>_xlfn.XLOOKUP(Orders[[#This Row],[CustomerID]],Customers[CustomerID],Customers[Gender])</f>
        <v>Female</v>
      </c>
      <c r="Q1009">
        <f>_xlfn.XLOOKUP(Orders[[#This Row],[CustomerID]],Customers[CustomerID],Customers[CustomerAge])</f>
        <v>46</v>
      </c>
      <c r="R1009" t="str">
        <f>IF(Orders[[#This Row],[CustomerAge]]&gt;=35, "Older", "Young")</f>
        <v>Older</v>
      </c>
      <c r="S1009" t="str">
        <f>_xlfn.XLOOKUP(Orders[[#This Row],[ProductID]],Products[ProductID],Products[ProductName])</f>
        <v>Gym Gloves</v>
      </c>
      <c r="T1009" t="str">
        <f>_xlfn.XLOOKUP(Orders[[#This Row],[ProductID]],Products[ProductID],Products[Category])</f>
        <v>Gym</v>
      </c>
    </row>
    <row r="1010" spans="1:20" x14ac:dyDescent="0.25">
      <c r="A1010" s="4" t="s">
        <v>1199</v>
      </c>
      <c r="B1010" s="5">
        <v>46004</v>
      </c>
      <c r="C1010" s="15">
        <f>WEEKNUM(Orders[[#This Row],[OrderDate]])</f>
        <v>50</v>
      </c>
      <c r="D1010" s="15" t="str">
        <f>TEXT(Orders[[#This Row],[OrderDate]],"mmmm")</f>
        <v>December</v>
      </c>
      <c r="E1010" s="4" t="s">
        <v>118</v>
      </c>
      <c r="F1010" s="4" t="s">
        <v>151</v>
      </c>
      <c r="G1010" s="4">
        <v>1</v>
      </c>
      <c r="H1010" s="12">
        <v>14750.699999999999</v>
      </c>
      <c r="I1010" s="13">
        <v>12538.094999999999</v>
      </c>
      <c r="J1010" s="13">
        <f>Orders[[#This Row],[Quantity]]*Orders[[#This Row],[Selling Price]]</f>
        <v>14750.699999999999</v>
      </c>
      <c r="K1010" s="13">
        <f>Orders[[#This Row],[Quantity]]*Orders[[#This Row],[Cost Price]]</f>
        <v>12538.094999999999</v>
      </c>
      <c r="L1010" s="13">
        <f>Orders[[#This Row],[Revenue]]-Orders[[#This Row],[Expenses]]</f>
        <v>2212.6049999999996</v>
      </c>
      <c r="M1010" t="s">
        <v>2216</v>
      </c>
      <c r="N1010" t="str">
        <f>_xlfn.XLOOKUP(Orders[[#This Row],[CustomerID]],Customers[CustomerID],Customers[CustomerName])</f>
        <v>Ibrahim Balogun</v>
      </c>
      <c r="O1010" t="str">
        <f>_xlfn.XLOOKUP(Orders[[#This Row],[CustomerID]],Customers[CustomerID],Customers[City])</f>
        <v>Georgia</v>
      </c>
      <c r="P1010" t="str">
        <f>_xlfn.XLOOKUP(Orders[[#This Row],[CustomerID]],Customers[CustomerID],Customers[Gender])</f>
        <v>Male</v>
      </c>
      <c r="Q1010">
        <f>_xlfn.XLOOKUP(Orders[[#This Row],[CustomerID]],Customers[CustomerID],Customers[CustomerAge])</f>
        <v>55</v>
      </c>
      <c r="R1010" t="str">
        <f>IF(Orders[[#This Row],[CustomerAge]]&gt;=35, "Older", "Young")</f>
        <v>Older</v>
      </c>
      <c r="S1010" t="str">
        <f>_xlfn.XLOOKUP(Orders[[#This Row],[ProductID]],Products[ProductID],Products[ProductName])</f>
        <v>Checkers</v>
      </c>
      <c r="T1010" t="str">
        <f>_xlfn.XLOOKUP(Orders[[#This Row],[ProductID]],Products[ProductID],Products[Category])</f>
        <v>Games</v>
      </c>
    </row>
    <row r="1011" spans="1:20" x14ac:dyDescent="0.25">
      <c r="A1011" s="4" t="s">
        <v>1200</v>
      </c>
      <c r="B1011" s="5">
        <v>45950</v>
      </c>
      <c r="C1011" s="15">
        <f>WEEKNUM(Orders[[#This Row],[OrderDate]])</f>
        <v>43</v>
      </c>
      <c r="D1011" s="15" t="str">
        <f>TEXT(Orders[[#This Row],[OrderDate]],"mmmm")</f>
        <v>October</v>
      </c>
      <c r="E1011" s="4" t="s">
        <v>285</v>
      </c>
      <c r="F1011" s="4" t="s">
        <v>76</v>
      </c>
      <c r="G1011" s="4">
        <v>2</v>
      </c>
      <c r="H1011" s="12">
        <v>13477.3</v>
      </c>
      <c r="I1011" s="13">
        <v>11455.705</v>
      </c>
      <c r="J1011" s="13">
        <f>Orders[[#This Row],[Quantity]]*Orders[[#This Row],[Selling Price]]</f>
        <v>26954.6</v>
      </c>
      <c r="K1011" s="13">
        <f>Orders[[#This Row],[Quantity]]*Orders[[#This Row],[Cost Price]]</f>
        <v>22911.41</v>
      </c>
      <c r="L1011" s="13">
        <f>Orders[[#This Row],[Revenue]]-Orders[[#This Row],[Expenses]]</f>
        <v>4043.1899999999987</v>
      </c>
      <c r="M1011" t="s">
        <v>2194</v>
      </c>
      <c r="N1011" t="str">
        <f>_xlfn.XLOOKUP(Orders[[#This Row],[CustomerID]],Customers[CustomerID],Customers[CustomerName])</f>
        <v>Sani Balogun</v>
      </c>
      <c r="O1011" t="str">
        <f>_xlfn.XLOOKUP(Orders[[#This Row],[CustomerID]],Customers[CustomerID],Customers[City])</f>
        <v>California</v>
      </c>
      <c r="P1011" t="str">
        <f>_xlfn.XLOOKUP(Orders[[#This Row],[CustomerID]],Customers[CustomerID],Customers[Gender])</f>
        <v>Male</v>
      </c>
      <c r="Q1011">
        <f>_xlfn.XLOOKUP(Orders[[#This Row],[CustomerID]],Customers[CustomerID],Customers[CustomerAge])</f>
        <v>27</v>
      </c>
      <c r="R1011" t="str">
        <f>IF(Orders[[#This Row],[CustomerAge]]&gt;=35, "Older", "Young")</f>
        <v>Young</v>
      </c>
      <c r="S1011" t="str">
        <f>_xlfn.XLOOKUP(Orders[[#This Row],[ProductID]],Products[ProductID],Products[ProductName])</f>
        <v>Blender</v>
      </c>
      <c r="T1011" t="str">
        <f>_xlfn.XLOOKUP(Orders[[#This Row],[ProductID]],Products[ProductID],Products[Category])</f>
        <v>Electronics</v>
      </c>
    </row>
    <row r="1012" spans="1:20" x14ac:dyDescent="0.25">
      <c r="A1012" s="4" t="s">
        <v>1201</v>
      </c>
      <c r="B1012" s="5">
        <v>45938</v>
      </c>
      <c r="C1012" s="15">
        <f>WEEKNUM(Orders[[#This Row],[OrderDate]])</f>
        <v>41</v>
      </c>
      <c r="D1012" s="15" t="str">
        <f>TEXT(Orders[[#This Row],[OrderDate]],"mmmm")</f>
        <v>October</v>
      </c>
      <c r="E1012" s="4" t="s">
        <v>282</v>
      </c>
      <c r="F1012" s="4" t="s">
        <v>66</v>
      </c>
      <c r="G1012" s="4">
        <v>8</v>
      </c>
      <c r="H1012" s="12">
        <v>1083.5</v>
      </c>
      <c r="I1012" s="13">
        <v>920.97500000000002</v>
      </c>
      <c r="J1012" s="13">
        <f>Orders[[#This Row],[Quantity]]*Orders[[#This Row],[Selling Price]]</f>
        <v>8668</v>
      </c>
      <c r="K1012" s="13">
        <f>Orders[[#This Row],[Quantity]]*Orders[[#This Row],[Cost Price]]</f>
        <v>7367.8</v>
      </c>
      <c r="L1012" s="13">
        <f>Orders[[#This Row],[Revenue]]-Orders[[#This Row],[Expenses]]</f>
        <v>1300.1999999999998</v>
      </c>
      <c r="M1012" t="s">
        <v>2199</v>
      </c>
      <c r="N1012" t="str">
        <f>_xlfn.XLOOKUP(Orders[[#This Row],[CustomerID]],Customers[CustomerID],Customers[CustomerName])</f>
        <v>Bisi Ojo</v>
      </c>
      <c r="O1012" t="str">
        <f>_xlfn.XLOOKUP(Orders[[#This Row],[CustomerID]],Customers[CustomerID],Customers[City])</f>
        <v>Texas</v>
      </c>
      <c r="P1012" t="str">
        <f>_xlfn.XLOOKUP(Orders[[#This Row],[CustomerID]],Customers[CustomerID],Customers[Gender])</f>
        <v>Female</v>
      </c>
      <c r="Q1012">
        <f>_xlfn.XLOOKUP(Orders[[#This Row],[CustomerID]],Customers[CustomerID],Customers[CustomerAge])</f>
        <v>26</v>
      </c>
      <c r="R1012" t="str">
        <f>IF(Orders[[#This Row],[CustomerAge]]&gt;=35, "Older", "Young")</f>
        <v>Young</v>
      </c>
      <c r="S1012" t="str">
        <f>_xlfn.XLOOKUP(Orders[[#This Row],[ProductID]],Products[ProductID],Products[ProductName])</f>
        <v>Microwave</v>
      </c>
      <c r="T1012" t="str">
        <f>_xlfn.XLOOKUP(Orders[[#This Row],[ProductID]],Products[ProductID],Products[Category])</f>
        <v>Electronics</v>
      </c>
    </row>
    <row r="1013" spans="1:20" x14ac:dyDescent="0.25">
      <c r="A1013" s="4" t="s">
        <v>1202</v>
      </c>
      <c r="B1013" s="5">
        <v>45939</v>
      </c>
      <c r="C1013" s="15">
        <f>WEEKNUM(Orders[[#This Row],[OrderDate]])</f>
        <v>41</v>
      </c>
      <c r="D1013" s="15" t="str">
        <f>TEXT(Orders[[#This Row],[OrderDate]],"mmmm")</f>
        <v>October</v>
      </c>
      <c r="E1013" s="4" t="s">
        <v>369</v>
      </c>
      <c r="F1013" s="4" t="s">
        <v>81</v>
      </c>
      <c r="G1013" s="4">
        <v>10</v>
      </c>
      <c r="H1013" s="12">
        <v>1422.4</v>
      </c>
      <c r="I1013" s="13">
        <v>1209.04</v>
      </c>
      <c r="J1013" s="13">
        <f>Orders[[#This Row],[Quantity]]*Orders[[#This Row],[Selling Price]]</f>
        <v>14224</v>
      </c>
      <c r="K1013" s="13">
        <f>Orders[[#This Row],[Quantity]]*Orders[[#This Row],[Cost Price]]</f>
        <v>12090.4</v>
      </c>
      <c r="L1013" s="13">
        <f>Orders[[#This Row],[Revenue]]-Orders[[#This Row],[Expenses]]</f>
        <v>2133.6000000000004</v>
      </c>
      <c r="M1013" t="s">
        <v>2220</v>
      </c>
      <c r="N1013" t="str">
        <f>_xlfn.XLOOKUP(Orders[[#This Row],[CustomerID]],Customers[CustomerID],Customers[CustomerName])</f>
        <v>Ibrahim Bello</v>
      </c>
      <c r="O1013" t="str">
        <f>_xlfn.XLOOKUP(Orders[[#This Row],[CustomerID]],Customers[CustomerID],Customers[City])</f>
        <v>Washington</v>
      </c>
      <c r="P1013" t="str">
        <f>_xlfn.XLOOKUP(Orders[[#This Row],[CustomerID]],Customers[CustomerID],Customers[Gender])</f>
        <v>Male</v>
      </c>
      <c r="Q1013">
        <f>_xlfn.XLOOKUP(Orders[[#This Row],[CustomerID]],Customers[CustomerID],Customers[CustomerAge])</f>
        <v>40</v>
      </c>
      <c r="R1013" t="str">
        <f>IF(Orders[[#This Row],[CustomerAge]]&gt;=35, "Older", "Young")</f>
        <v>Older</v>
      </c>
      <c r="S1013" t="str">
        <f>_xlfn.XLOOKUP(Orders[[#This Row],[ProductID]],Products[ProductID],Products[ProductName])</f>
        <v>Trousers</v>
      </c>
      <c r="T1013" t="str">
        <f>_xlfn.XLOOKUP(Orders[[#This Row],[ProductID]],Products[ProductID],Products[Category])</f>
        <v>Clothing</v>
      </c>
    </row>
    <row r="1014" spans="1:20" x14ac:dyDescent="0.25">
      <c r="A1014" s="4" t="s">
        <v>1203</v>
      </c>
      <c r="B1014" s="5">
        <v>45955</v>
      </c>
      <c r="C1014" s="15">
        <f>WEEKNUM(Orders[[#This Row],[OrderDate]])</f>
        <v>43</v>
      </c>
      <c r="D1014" s="15" t="str">
        <f>TEXT(Orders[[#This Row],[OrderDate]],"mmmm")</f>
        <v>October</v>
      </c>
      <c r="E1014" s="4" t="s">
        <v>201</v>
      </c>
      <c r="F1014" s="4" t="s">
        <v>28</v>
      </c>
      <c r="G1014" s="4">
        <v>3</v>
      </c>
      <c r="H1014" s="12">
        <v>11433.5</v>
      </c>
      <c r="I1014" s="13">
        <v>9718.4750000000004</v>
      </c>
      <c r="J1014" s="13">
        <f>Orders[[#This Row],[Quantity]]*Orders[[#This Row],[Selling Price]]</f>
        <v>34300.5</v>
      </c>
      <c r="K1014" s="13">
        <f>Orders[[#This Row],[Quantity]]*Orders[[#This Row],[Cost Price]]</f>
        <v>29155.425000000003</v>
      </c>
      <c r="L1014" s="13">
        <f>Orders[[#This Row],[Revenue]]-Orders[[#This Row],[Expenses]]</f>
        <v>5145.0749999999971</v>
      </c>
      <c r="M1014" t="s">
        <v>2215</v>
      </c>
      <c r="N1014" t="str">
        <f>_xlfn.XLOOKUP(Orders[[#This Row],[CustomerID]],Customers[CustomerID],Customers[CustomerName])</f>
        <v>Sani Igwe</v>
      </c>
      <c r="O1014" t="str">
        <f>_xlfn.XLOOKUP(Orders[[#This Row],[CustomerID]],Customers[CustomerID],Customers[City])</f>
        <v>Georgia</v>
      </c>
      <c r="P1014" t="str">
        <f>_xlfn.XLOOKUP(Orders[[#This Row],[CustomerID]],Customers[CustomerID],Customers[Gender])</f>
        <v>Male</v>
      </c>
      <c r="Q1014">
        <f>_xlfn.XLOOKUP(Orders[[#This Row],[CustomerID]],Customers[CustomerID],Customers[CustomerAge])</f>
        <v>20</v>
      </c>
      <c r="R1014" t="str">
        <f>IF(Orders[[#This Row],[CustomerAge]]&gt;=35, "Older", "Young")</f>
        <v>Young</v>
      </c>
      <c r="S1014" t="str">
        <f>_xlfn.XLOOKUP(Orders[[#This Row],[ProductID]],Products[ProductID],Products[ProductName])</f>
        <v>Sneakers</v>
      </c>
      <c r="T1014" t="str">
        <f>_xlfn.XLOOKUP(Orders[[#This Row],[ProductID]],Products[ProductID],Products[Category])</f>
        <v>Sports</v>
      </c>
    </row>
    <row r="1015" spans="1:20" x14ac:dyDescent="0.25">
      <c r="A1015" s="4" t="s">
        <v>1204</v>
      </c>
      <c r="B1015" s="5">
        <v>45968</v>
      </c>
      <c r="C1015" s="15">
        <f>WEEKNUM(Orders[[#This Row],[OrderDate]])</f>
        <v>45</v>
      </c>
      <c r="D1015" s="15" t="str">
        <f>TEXT(Orders[[#This Row],[OrderDate]],"mmmm")</f>
        <v>November</v>
      </c>
      <c r="E1015" s="4" t="s">
        <v>98</v>
      </c>
      <c r="F1015" s="4" t="s">
        <v>34</v>
      </c>
      <c r="G1015" s="4">
        <v>1</v>
      </c>
      <c r="H1015" s="12">
        <v>4349.3</v>
      </c>
      <c r="I1015" s="13">
        <v>3696.9050000000002</v>
      </c>
      <c r="J1015" s="13">
        <f>Orders[[#This Row],[Quantity]]*Orders[[#This Row],[Selling Price]]</f>
        <v>4349.3</v>
      </c>
      <c r="K1015" s="13">
        <f>Orders[[#This Row],[Quantity]]*Orders[[#This Row],[Cost Price]]</f>
        <v>3696.9050000000002</v>
      </c>
      <c r="L1015" s="13">
        <f>Orders[[#This Row],[Revenue]]-Orders[[#This Row],[Expenses]]</f>
        <v>652.39499999999998</v>
      </c>
      <c r="M1015" t="s">
        <v>2207</v>
      </c>
      <c r="N1015" t="str">
        <f>_xlfn.XLOOKUP(Orders[[#This Row],[CustomerID]],Customers[CustomerID],Customers[CustomerName])</f>
        <v>Chioma Adeyemi</v>
      </c>
      <c r="O1015" t="str">
        <f>_xlfn.XLOOKUP(Orders[[#This Row],[CustomerID]],Customers[CustomerID],Customers[City])</f>
        <v>Illinois</v>
      </c>
      <c r="P1015" t="str">
        <f>_xlfn.XLOOKUP(Orders[[#This Row],[CustomerID]],Customers[CustomerID],Customers[Gender])</f>
        <v>Female</v>
      </c>
      <c r="Q1015">
        <f>_xlfn.XLOOKUP(Orders[[#This Row],[CustomerID]],Customers[CustomerID],Customers[CustomerAge])</f>
        <v>23</v>
      </c>
      <c r="R1015" t="str">
        <f>IF(Orders[[#This Row],[CustomerAge]]&gt;=35, "Older", "Young")</f>
        <v>Young</v>
      </c>
      <c r="S1015" t="str">
        <f>_xlfn.XLOOKUP(Orders[[#This Row],[ProductID]],Products[ProductID],Products[ProductName])</f>
        <v>Gold Bracelets</v>
      </c>
      <c r="T1015" t="str">
        <f>_xlfn.XLOOKUP(Orders[[#This Row],[ProductID]],Products[ProductID],Products[Category])</f>
        <v>Accessories</v>
      </c>
    </row>
    <row r="1016" spans="1:20" x14ac:dyDescent="0.25">
      <c r="A1016" s="4" t="s">
        <v>1205</v>
      </c>
      <c r="B1016" s="5">
        <v>45993</v>
      </c>
      <c r="C1016" s="15">
        <f>WEEKNUM(Orders[[#This Row],[OrderDate]])</f>
        <v>49</v>
      </c>
      <c r="D1016" s="15" t="str">
        <f>TEXT(Orders[[#This Row],[OrderDate]],"mmmm")</f>
        <v>December</v>
      </c>
      <c r="E1016" s="4" t="s">
        <v>75</v>
      </c>
      <c r="F1016" s="4" t="s">
        <v>92</v>
      </c>
      <c r="G1016" s="4">
        <v>3</v>
      </c>
      <c r="H1016" s="12">
        <v>6685.2</v>
      </c>
      <c r="I1016" s="13">
        <v>5682.42</v>
      </c>
      <c r="J1016" s="13">
        <f>Orders[[#This Row],[Quantity]]*Orders[[#This Row],[Selling Price]]</f>
        <v>20055.599999999999</v>
      </c>
      <c r="K1016" s="13">
        <f>Orders[[#This Row],[Quantity]]*Orders[[#This Row],[Cost Price]]</f>
        <v>17047.260000000002</v>
      </c>
      <c r="L1016" s="13">
        <f>Orders[[#This Row],[Revenue]]-Orders[[#This Row],[Expenses]]</f>
        <v>3008.3399999999965</v>
      </c>
      <c r="M1016" t="s">
        <v>2218</v>
      </c>
      <c r="N1016" t="str">
        <f>_xlfn.XLOOKUP(Orders[[#This Row],[CustomerID]],Customers[CustomerID],Customers[CustomerName])</f>
        <v>Tunde Danladi</v>
      </c>
      <c r="O1016" t="str">
        <f>_xlfn.XLOOKUP(Orders[[#This Row],[CustomerID]],Customers[CustomerID],Customers[City])</f>
        <v>Texas</v>
      </c>
      <c r="P1016" t="str">
        <f>_xlfn.XLOOKUP(Orders[[#This Row],[CustomerID]],Customers[CustomerID],Customers[Gender])</f>
        <v>Male</v>
      </c>
      <c r="Q1016">
        <f>_xlfn.XLOOKUP(Orders[[#This Row],[CustomerID]],Customers[CustomerID],Customers[CustomerAge])</f>
        <v>47</v>
      </c>
      <c r="R1016" t="str">
        <f>IF(Orders[[#This Row],[CustomerAge]]&gt;=35, "Older", "Young")</f>
        <v>Older</v>
      </c>
      <c r="S1016" t="str">
        <f>_xlfn.XLOOKUP(Orders[[#This Row],[ProductID]],Products[ProductID],Products[ProductName])</f>
        <v>Chest Expander</v>
      </c>
      <c r="T1016" t="str">
        <f>_xlfn.XLOOKUP(Orders[[#This Row],[ProductID]],Products[ProductID],Products[Category])</f>
        <v>Gym</v>
      </c>
    </row>
    <row r="1017" spans="1:20" x14ac:dyDescent="0.25">
      <c r="A1017" s="4" t="s">
        <v>1206</v>
      </c>
      <c r="B1017" s="5">
        <v>45979</v>
      </c>
      <c r="C1017" s="15">
        <f>WEEKNUM(Orders[[#This Row],[OrderDate]])</f>
        <v>47</v>
      </c>
      <c r="D1017" s="15" t="str">
        <f>TEXT(Orders[[#This Row],[OrderDate]],"mmmm")</f>
        <v>November</v>
      </c>
      <c r="E1017" s="4" t="s">
        <v>52</v>
      </c>
      <c r="F1017" s="4" t="s">
        <v>57</v>
      </c>
      <c r="G1017" s="4">
        <v>1</v>
      </c>
      <c r="H1017" s="12">
        <v>14142.3</v>
      </c>
      <c r="I1017" s="13">
        <v>12020.955</v>
      </c>
      <c r="J1017" s="13">
        <f>Orders[[#This Row],[Quantity]]*Orders[[#This Row],[Selling Price]]</f>
        <v>14142.3</v>
      </c>
      <c r="K1017" s="13">
        <f>Orders[[#This Row],[Quantity]]*Orders[[#This Row],[Cost Price]]</f>
        <v>12020.955</v>
      </c>
      <c r="L1017" s="13">
        <f>Orders[[#This Row],[Revenue]]-Orders[[#This Row],[Expenses]]</f>
        <v>2121.3449999999993</v>
      </c>
      <c r="M1017" t="s">
        <v>2195</v>
      </c>
      <c r="N1017" t="str">
        <f>_xlfn.XLOOKUP(Orders[[#This Row],[CustomerID]],Customers[CustomerID],Customers[CustomerName])</f>
        <v>Folasade Ojo</v>
      </c>
      <c r="O1017" t="str">
        <f>_xlfn.XLOOKUP(Orders[[#This Row],[CustomerID]],Customers[CustomerID],Customers[City])</f>
        <v>Texas</v>
      </c>
      <c r="P1017" t="str">
        <f>_xlfn.XLOOKUP(Orders[[#This Row],[CustomerID]],Customers[CustomerID],Customers[Gender])</f>
        <v>Female</v>
      </c>
      <c r="Q1017">
        <f>_xlfn.XLOOKUP(Orders[[#This Row],[CustomerID]],Customers[CustomerID],Customers[CustomerAge])</f>
        <v>29</v>
      </c>
      <c r="R1017" t="str">
        <f>IF(Orders[[#This Row],[CustomerAge]]&gt;=35, "Older", "Young")</f>
        <v>Young</v>
      </c>
      <c r="S1017" t="str">
        <f>_xlfn.XLOOKUP(Orders[[#This Row],[ProductID]],Products[ProductID],Products[ProductName])</f>
        <v>Badminton Racket</v>
      </c>
      <c r="T1017" t="str">
        <f>_xlfn.XLOOKUP(Orders[[#This Row],[ProductID]],Products[ProductID],Products[Category])</f>
        <v>Sports</v>
      </c>
    </row>
    <row r="1018" spans="1:20" x14ac:dyDescent="0.25">
      <c r="A1018" s="4" t="s">
        <v>1207</v>
      </c>
      <c r="B1018" s="5">
        <v>45938</v>
      </c>
      <c r="C1018" s="15">
        <f>WEEKNUM(Orders[[#This Row],[OrderDate]])</f>
        <v>41</v>
      </c>
      <c r="D1018" s="15" t="str">
        <f>TEXT(Orders[[#This Row],[OrderDate]],"mmmm")</f>
        <v>October</v>
      </c>
      <c r="E1018" s="4" t="s">
        <v>33</v>
      </c>
      <c r="F1018" s="4" t="s">
        <v>66</v>
      </c>
      <c r="G1018" s="4">
        <v>1</v>
      </c>
      <c r="H1018" s="12">
        <v>16887.3</v>
      </c>
      <c r="I1018" s="13">
        <v>14354.205</v>
      </c>
      <c r="J1018" s="13">
        <f>Orders[[#This Row],[Quantity]]*Orders[[#This Row],[Selling Price]]</f>
        <v>16887.3</v>
      </c>
      <c r="K1018" s="13">
        <f>Orders[[#This Row],[Quantity]]*Orders[[#This Row],[Cost Price]]</f>
        <v>14354.205</v>
      </c>
      <c r="L1018" s="13">
        <f>Orders[[#This Row],[Revenue]]-Orders[[#This Row],[Expenses]]</f>
        <v>2533.0949999999993</v>
      </c>
      <c r="M1018" t="s">
        <v>2196</v>
      </c>
      <c r="N1018" t="str">
        <f>_xlfn.XLOOKUP(Orders[[#This Row],[CustomerID]],Customers[CustomerID],Customers[CustomerName])</f>
        <v>Okon Balogun</v>
      </c>
      <c r="O1018" t="str">
        <f>_xlfn.XLOOKUP(Orders[[#This Row],[CustomerID]],Customers[CustomerID],Customers[City])</f>
        <v>Texas</v>
      </c>
      <c r="P1018" t="str">
        <f>_xlfn.XLOOKUP(Orders[[#This Row],[CustomerID]],Customers[CustomerID],Customers[Gender])</f>
        <v>Male</v>
      </c>
      <c r="Q1018">
        <f>_xlfn.XLOOKUP(Orders[[#This Row],[CustomerID]],Customers[CustomerID],Customers[CustomerAge])</f>
        <v>28</v>
      </c>
      <c r="R1018" t="str">
        <f>IF(Orders[[#This Row],[CustomerAge]]&gt;=35, "Older", "Young")</f>
        <v>Young</v>
      </c>
      <c r="S1018" t="str">
        <f>_xlfn.XLOOKUP(Orders[[#This Row],[ProductID]],Products[ProductID],Products[ProductName])</f>
        <v>Microwave</v>
      </c>
      <c r="T1018" t="str">
        <f>_xlfn.XLOOKUP(Orders[[#This Row],[ProductID]],Products[ProductID],Products[Category])</f>
        <v>Electronics</v>
      </c>
    </row>
    <row r="1019" spans="1:20" x14ac:dyDescent="0.25">
      <c r="A1019" s="4" t="s">
        <v>1208</v>
      </c>
      <c r="B1019" s="5">
        <v>45985</v>
      </c>
      <c r="C1019" s="15">
        <f>WEEKNUM(Orders[[#This Row],[OrderDate]])</f>
        <v>48</v>
      </c>
      <c r="D1019" s="15" t="str">
        <f>TEXT(Orders[[#This Row],[OrderDate]],"mmmm")</f>
        <v>November</v>
      </c>
      <c r="E1019" s="4" t="s">
        <v>203</v>
      </c>
      <c r="F1019" s="4" t="s">
        <v>168</v>
      </c>
      <c r="G1019" s="4">
        <v>3</v>
      </c>
      <c r="H1019" s="12">
        <v>7126.3</v>
      </c>
      <c r="I1019" s="13">
        <v>6057.3550000000005</v>
      </c>
      <c r="J1019" s="13">
        <f>Orders[[#This Row],[Quantity]]*Orders[[#This Row],[Selling Price]]</f>
        <v>21378.9</v>
      </c>
      <c r="K1019" s="13">
        <f>Orders[[#This Row],[Quantity]]*Orders[[#This Row],[Cost Price]]</f>
        <v>18172.065000000002</v>
      </c>
      <c r="L1019" s="13">
        <f>Orders[[#This Row],[Revenue]]-Orders[[#This Row],[Expenses]]</f>
        <v>3206.8349999999991</v>
      </c>
      <c r="M1019" t="s">
        <v>2220</v>
      </c>
      <c r="N1019" t="str">
        <f>_xlfn.XLOOKUP(Orders[[#This Row],[CustomerID]],Customers[CustomerID],Customers[CustomerName])</f>
        <v>Okon Bello</v>
      </c>
      <c r="O1019" t="str">
        <f>_xlfn.XLOOKUP(Orders[[#This Row],[CustomerID]],Customers[CustomerID],Customers[City])</f>
        <v>Texas</v>
      </c>
      <c r="P1019" t="str">
        <f>_xlfn.XLOOKUP(Orders[[#This Row],[CustomerID]],Customers[CustomerID],Customers[Gender])</f>
        <v>Male</v>
      </c>
      <c r="Q1019">
        <f>_xlfn.XLOOKUP(Orders[[#This Row],[CustomerID]],Customers[CustomerID],Customers[CustomerAge])</f>
        <v>20</v>
      </c>
      <c r="R1019" t="str">
        <f>IF(Orders[[#This Row],[CustomerAge]]&gt;=35, "Older", "Young")</f>
        <v>Young</v>
      </c>
      <c r="S1019" t="str">
        <f>_xlfn.XLOOKUP(Orders[[#This Row],[ProductID]],Products[ProductID],Products[ProductName])</f>
        <v>Dumb Bells</v>
      </c>
      <c r="T1019" t="str">
        <f>_xlfn.XLOOKUP(Orders[[#This Row],[ProductID]],Products[ProductID],Products[Category])</f>
        <v>Gym</v>
      </c>
    </row>
    <row r="1020" spans="1:20" x14ac:dyDescent="0.25">
      <c r="A1020" s="4" t="s">
        <v>1209</v>
      </c>
      <c r="B1020" s="5">
        <v>45938</v>
      </c>
      <c r="C1020" s="15">
        <f>WEEKNUM(Orders[[#This Row],[OrderDate]])</f>
        <v>41</v>
      </c>
      <c r="D1020" s="15" t="str">
        <f>TEXT(Orders[[#This Row],[OrderDate]],"mmmm")</f>
        <v>October</v>
      </c>
      <c r="E1020" s="4" t="s">
        <v>546</v>
      </c>
      <c r="F1020" s="4" t="s">
        <v>12</v>
      </c>
      <c r="G1020" s="4">
        <v>4</v>
      </c>
      <c r="H1020" s="12">
        <v>15580.5</v>
      </c>
      <c r="I1020" s="13">
        <v>13243.424999999999</v>
      </c>
      <c r="J1020" s="13">
        <f>Orders[[#This Row],[Quantity]]*Orders[[#This Row],[Selling Price]]</f>
        <v>62322</v>
      </c>
      <c r="K1020" s="13">
        <f>Orders[[#This Row],[Quantity]]*Orders[[#This Row],[Cost Price]]</f>
        <v>52973.7</v>
      </c>
      <c r="L1020" s="13">
        <f>Orders[[#This Row],[Revenue]]-Orders[[#This Row],[Expenses]]</f>
        <v>9348.3000000000029</v>
      </c>
      <c r="M1020" t="s">
        <v>2203</v>
      </c>
      <c r="N1020" t="str">
        <f>_xlfn.XLOOKUP(Orders[[#This Row],[CustomerID]],Customers[CustomerID],Customers[CustomerName])</f>
        <v>Bisi Eze</v>
      </c>
      <c r="O1020" t="str">
        <f>_xlfn.XLOOKUP(Orders[[#This Row],[CustomerID]],Customers[CustomerID],Customers[City])</f>
        <v>Texas</v>
      </c>
      <c r="P1020" t="str">
        <f>_xlfn.XLOOKUP(Orders[[#This Row],[CustomerID]],Customers[CustomerID],Customers[Gender])</f>
        <v>Female</v>
      </c>
      <c r="Q1020">
        <f>_xlfn.XLOOKUP(Orders[[#This Row],[CustomerID]],Customers[CustomerID],Customers[CustomerAge])</f>
        <v>32</v>
      </c>
      <c r="R1020" t="str">
        <f>IF(Orders[[#This Row],[CustomerAge]]&gt;=35, "Older", "Young")</f>
        <v>Young</v>
      </c>
      <c r="S1020" t="str">
        <f>_xlfn.XLOOKUP(Orders[[#This Row],[ProductID]],Products[ProductID],Products[ProductName])</f>
        <v>Boubou</v>
      </c>
      <c r="T1020" t="str">
        <f>_xlfn.XLOOKUP(Orders[[#This Row],[ProductID]],Products[ProductID],Products[Category])</f>
        <v>Clothing</v>
      </c>
    </row>
    <row r="1021" spans="1:20" x14ac:dyDescent="0.25">
      <c r="A1021" s="4" t="s">
        <v>1210</v>
      </c>
      <c r="B1021" s="5">
        <v>46010</v>
      </c>
      <c r="C1021" s="15">
        <f>WEEKNUM(Orders[[#This Row],[OrderDate]])</f>
        <v>51</v>
      </c>
      <c r="D1021" s="15" t="str">
        <f>TEXT(Orders[[#This Row],[OrderDate]],"mmmm")</f>
        <v>December</v>
      </c>
      <c r="E1021" s="4" t="s">
        <v>132</v>
      </c>
      <c r="F1021" s="4" t="s">
        <v>31</v>
      </c>
      <c r="G1021" s="4">
        <v>3</v>
      </c>
      <c r="H1021" s="12">
        <v>19884.3</v>
      </c>
      <c r="I1021" s="13">
        <v>16901.654999999999</v>
      </c>
      <c r="J1021" s="13">
        <f>Orders[[#This Row],[Quantity]]*Orders[[#This Row],[Selling Price]]</f>
        <v>59652.899999999994</v>
      </c>
      <c r="K1021" s="13">
        <f>Orders[[#This Row],[Quantity]]*Orders[[#This Row],[Cost Price]]</f>
        <v>50704.964999999997</v>
      </c>
      <c r="L1021" s="13">
        <f>Orders[[#This Row],[Revenue]]-Orders[[#This Row],[Expenses]]</f>
        <v>8947.9349999999977</v>
      </c>
      <c r="M1021" t="s">
        <v>2202</v>
      </c>
      <c r="N1021" t="str">
        <f>_xlfn.XLOOKUP(Orders[[#This Row],[CustomerID]],Customers[CustomerID],Customers[CustomerName])</f>
        <v>Emeka Balogun</v>
      </c>
      <c r="O1021" t="str">
        <f>_xlfn.XLOOKUP(Orders[[#This Row],[CustomerID]],Customers[CustomerID],Customers[City])</f>
        <v>Illinois</v>
      </c>
      <c r="P1021" t="str">
        <f>_xlfn.XLOOKUP(Orders[[#This Row],[CustomerID]],Customers[CustomerID],Customers[Gender])</f>
        <v>Male</v>
      </c>
      <c r="Q1021">
        <f>_xlfn.XLOOKUP(Orders[[#This Row],[CustomerID]],Customers[CustomerID],Customers[CustomerAge])</f>
        <v>36</v>
      </c>
      <c r="R1021" t="str">
        <f>IF(Orders[[#This Row],[CustomerAge]]&gt;=35, "Older", "Young")</f>
        <v>Older</v>
      </c>
      <c r="S1021" t="str">
        <f>_xlfn.XLOOKUP(Orders[[#This Row],[ProductID]],Products[ProductID],Products[ProductName])</f>
        <v>Kids Games</v>
      </c>
      <c r="T1021" t="str">
        <f>_xlfn.XLOOKUP(Orders[[#This Row],[ProductID]],Products[ProductID],Products[Category])</f>
        <v>Games</v>
      </c>
    </row>
    <row r="1022" spans="1:20" x14ac:dyDescent="0.25">
      <c r="A1022" s="4" t="s">
        <v>1211</v>
      </c>
      <c r="B1022" s="5">
        <v>45943</v>
      </c>
      <c r="C1022" s="15">
        <f>WEEKNUM(Orders[[#This Row],[OrderDate]])</f>
        <v>42</v>
      </c>
      <c r="D1022" s="15" t="str">
        <f>TEXT(Orders[[#This Row],[OrderDate]],"mmmm")</f>
        <v>October</v>
      </c>
      <c r="E1022" s="4" t="s">
        <v>246</v>
      </c>
      <c r="F1022" s="4" t="s">
        <v>84</v>
      </c>
      <c r="G1022" s="4">
        <v>6</v>
      </c>
      <c r="H1022" s="12">
        <v>8507.6</v>
      </c>
      <c r="I1022" s="13">
        <v>7231.46</v>
      </c>
      <c r="J1022" s="13">
        <f>Orders[[#This Row],[Quantity]]*Orders[[#This Row],[Selling Price]]</f>
        <v>51045.600000000006</v>
      </c>
      <c r="K1022" s="13">
        <f>Orders[[#This Row],[Quantity]]*Orders[[#This Row],[Cost Price]]</f>
        <v>43388.76</v>
      </c>
      <c r="L1022" s="13">
        <f>Orders[[#This Row],[Revenue]]-Orders[[#This Row],[Expenses]]</f>
        <v>7656.8400000000038</v>
      </c>
      <c r="M1022" t="s">
        <v>2204</v>
      </c>
      <c r="N1022" t="str">
        <f>_xlfn.XLOOKUP(Orders[[#This Row],[CustomerID]],Customers[CustomerID],Customers[CustomerName])</f>
        <v>Emeka Abubakar</v>
      </c>
      <c r="O1022" t="str">
        <f>_xlfn.XLOOKUP(Orders[[#This Row],[CustomerID]],Customers[CustomerID],Customers[City])</f>
        <v>Florida</v>
      </c>
      <c r="P1022" t="str">
        <f>_xlfn.XLOOKUP(Orders[[#This Row],[CustomerID]],Customers[CustomerID],Customers[Gender])</f>
        <v>Male</v>
      </c>
      <c r="Q1022">
        <f>_xlfn.XLOOKUP(Orders[[#This Row],[CustomerID]],Customers[CustomerID],Customers[CustomerAge])</f>
        <v>28</v>
      </c>
      <c r="R1022" t="str">
        <f>IF(Orders[[#This Row],[CustomerAge]]&gt;=35, "Older", "Young")</f>
        <v>Young</v>
      </c>
      <c r="S1022" t="str">
        <f>_xlfn.XLOOKUP(Orders[[#This Row],[ProductID]],Products[ProductID],Products[ProductName])</f>
        <v>Gym Wears</v>
      </c>
      <c r="T1022" t="str">
        <f>_xlfn.XLOOKUP(Orders[[#This Row],[ProductID]],Products[ProductID],Products[Category])</f>
        <v>Clothing</v>
      </c>
    </row>
    <row r="1023" spans="1:20" x14ac:dyDescent="0.25">
      <c r="A1023" s="4" t="s">
        <v>1212</v>
      </c>
      <c r="B1023" s="5">
        <v>46011</v>
      </c>
      <c r="C1023" s="15">
        <f>WEEKNUM(Orders[[#This Row],[OrderDate]])</f>
        <v>51</v>
      </c>
      <c r="D1023" s="15" t="str">
        <f>TEXT(Orders[[#This Row],[OrderDate]],"mmmm")</f>
        <v>December</v>
      </c>
      <c r="E1023" s="4" t="s">
        <v>91</v>
      </c>
      <c r="F1023" s="4" t="s">
        <v>63</v>
      </c>
      <c r="G1023" s="4">
        <v>5</v>
      </c>
      <c r="H1023" s="12">
        <v>7179.2</v>
      </c>
      <c r="I1023" s="13">
        <v>6102.32</v>
      </c>
      <c r="J1023" s="13">
        <f>Orders[[#This Row],[Quantity]]*Orders[[#This Row],[Selling Price]]</f>
        <v>35896</v>
      </c>
      <c r="K1023" s="13">
        <f>Orders[[#This Row],[Quantity]]*Orders[[#This Row],[Cost Price]]</f>
        <v>30511.599999999999</v>
      </c>
      <c r="L1023" s="13">
        <f>Orders[[#This Row],[Revenue]]-Orders[[#This Row],[Expenses]]</f>
        <v>5384.4000000000015</v>
      </c>
      <c r="M1023" t="s">
        <v>2203</v>
      </c>
      <c r="N1023" t="str">
        <f>_xlfn.XLOOKUP(Orders[[#This Row],[CustomerID]],Customers[CustomerID],Customers[CustomerName])</f>
        <v>Uche Abubakar</v>
      </c>
      <c r="O1023" t="str">
        <f>_xlfn.XLOOKUP(Orders[[#This Row],[CustomerID]],Customers[CustomerID],Customers[City])</f>
        <v>Florida</v>
      </c>
      <c r="P1023" t="str">
        <f>_xlfn.XLOOKUP(Orders[[#This Row],[CustomerID]],Customers[CustomerID],Customers[Gender])</f>
        <v>Male</v>
      </c>
      <c r="Q1023">
        <f>_xlfn.XLOOKUP(Orders[[#This Row],[CustomerID]],Customers[CustomerID],Customers[CustomerAge])</f>
        <v>28</v>
      </c>
      <c r="R1023" t="str">
        <f>IF(Orders[[#This Row],[CustomerAge]]&gt;=35, "Older", "Young")</f>
        <v>Young</v>
      </c>
      <c r="S1023" t="str">
        <f>_xlfn.XLOOKUP(Orders[[#This Row],[ProductID]],Products[ProductID],Products[ProductName])</f>
        <v>Tennis Bat</v>
      </c>
      <c r="T1023" t="str">
        <f>_xlfn.XLOOKUP(Orders[[#This Row],[ProductID]],Products[ProductID],Products[Category])</f>
        <v>Sports</v>
      </c>
    </row>
    <row r="1024" spans="1:20" x14ac:dyDescent="0.25">
      <c r="A1024" s="4" t="s">
        <v>1213</v>
      </c>
      <c r="B1024" s="5">
        <v>45989</v>
      </c>
      <c r="C1024" s="15">
        <f>WEEKNUM(Orders[[#This Row],[OrderDate]])</f>
        <v>48</v>
      </c>
      <c r="D1024" s="15" t="str">
        <f>TEXT(Orders[[#This Row],[OrderDate]],"mmmm")</f>
        <v>November</v>
      </c>
      <c r="E1024" s="4" t="s">
        <v>107</v>
      </c>
      <c r="F1024" s="4" t="s">
        <v>189</v>
      </c>
      <c r="G1024" s="4">
        <v>10</v>
      </c>
      <c r="H1024" s="12">
        <v>5875.5</v>
      </c>
      <c r="I1024" s="13">
        <v>4994.1750000000002</v>
      </c>
      <c r="J1024" s="13">
        <f>Orders[[#This Row],[Quantity]]*Orders[[#This Row],[Selling Price]]</f>
        <v>58755</v>
      </c>
      <c r="K1024" s="13">
        <f>Orders[[#This Row],[Quantity]]*Orders[[#This Row],[Cost Price]]</f>
        <v>49941.75</v>
      </c>
      <c r="L1024" s="13">
        <f>Orders[[#This Row],[Revenue]]-Orders[[#This Row],[Expenses]]</f>
        <v>8813.25</v>
      </c>
      <c r="M1024" t="s">
        <v>2204</v>
      </c>
      <c r="N1024" t="str">
        <f>_xlfn.XLOOKUP(Orders[[#This Row],[CustomerID]],Customers[CustomerID],Customers[CustomerName])</f>
        <v>Blessing Eze</v>
      </c>
      <c r="O1024" t="str">
        <f>_xlfn.XLOOKUP(Orders[[#This Row],[CustomerID]],Customers[CustomerID],Customers[City])</f>
        <v>Texas</v>
      </c>
      <c r="P1024" t="str">
        <f>_xlfn.XLOOKUP(Orders[[#This Row],[CustomerID]],Customers[CustomerID],Customers[Gender])</f>
        <v>Female</v>
      </c>
      <c r="Q1024">
        <f>_xlfn.XLOOKUP(Orders[[#This Row],[CustomerID]],Customers[CustomerID],Customers[CustomerAge])</f>
        <v>44</v>
      </c>
      <c r="R1024" t="str">
        <f>IF(Orders[[#This Row],[CustomerAge]]&gt;=35, "Older", "Young")</f>
        <v>Older</v>
      </c>
      <c r="S1024" t="str">
        <f>_xlfn.XLOOKUP(Orders[[#This Row],[ProductID]],Products[ProductID],Products[ProductName])</f>
        <v>Scrabble</v>
      </c>
      <c r="T1024" t="str">
        <f>_xlfn.XLOOKUP(Orders[[#This Row],[ProductID]],Products[ProductID],Products[Category])</f>
        <v>Games</v>
      </c>
    </row>
    <row r="1025" spans="1:20" x14ac:dyDescent="0.25">
      <c r="A1025" s="4" t="s">
        <v>1214</v>
      </c>
      <c r="B1025" s="5">
        <v>45992</v>
      </c>
      <c r="C1025" s="15">
        <f>WEEKNUM(Orders[[#This Row],[OrderDate]])</f>
        <v>49</v>
      </c>
      <c r="D1025" s="15" t="str">
        <f>TEXT(Orders[[#This Row],[OrderDate]],"mmmm")</f>
        <v>December</v>
      </c>
      <c r="E1025" s="4" t="s">
        <v>68</v>
      </c>
      <c r="F1025" s="4" t="s">
        <v>76</v>
      </c>
      <c r="G1025" s="4">
        <v>8</v>
      </c>
      <c r="H1025" s="12">
        <v>16480.3</v>
      </c>
      <c r="I1025" s="13">
        <v>14008.254999999999</v>
      </c>
      <c r="J1025" s="13">
        <f>Orders[[#This Row],[Quantity]]*Orders[[#This Row],[Selling Price]]</f>
        <v>131842.4</v>
      </c>
      <c r="K1025" s="13">
        <f>Orders[[#This Row],[Quantity]]*Orders[[#This Row],[Cost Price]]</f>
        <v>112066.04</v>
      </c>
      <c r="L1025" s="13">
        <f>Orders[[#This Row],[Revenue]]-Orders[[#This Row],[Expenses]]</f>
        <v>19776.36</v>
      </c>
      <c r="M1025" t="s">
        <v>2192</v>
      </c>
      <c r="N1025" t="str">
        <f>_xlfn.XLOOKUP(Orders[[#This Row],[CustomerID]],Customers[CustomerID],Customers[CustomerName])</f>
        <v>Abiola Balogun</v>
      </c>
      <c r="O1025" t="str">
        <f>_xlfn.XLOOKUP(Orders[[#This Row],[CustomerID]],Customers[CustomerID],Customers[City])</f>
        <v>Texas</v>
      </c>
      <c r="P1025" t="str">
        <f>_xlfn.XLOOKUP(Orders[[#This Row],[CustomerID]],Customers[CustomerID],Customers[Gender])</f>
        <v>Male</v>
      </c>
      <c r="Q1025">
        <f>_xlfn.XLOOKUP(Orders[[#This Row],[CustomerID]],Customers[CustomerID],Customers[CustomerAge])</f>
        <v>29</v>
      </c>
      <c r="R1025" t="str">
        <f>IF(Orders[[#This Row],[CustomerAge]]&gt;=35, "Older", "Young")</f>
        <v>Young</v>
      </c>
      <c r="S1025" t="str">
        <f>_xlfn.XLOOKUP(Orders[[#This Row],[ProductID]],Products[ProductID],Products[ProductName])</f>
        <v>Blender</v>
      </c>
      <c r="T1025" t="str">
        <f>_xlfn.XLOOKUP(Orders[[#This Row],[ProductID]],Products[ProductID],Products[Category])</f>
        <v>Electronics</v>
      </c>
    </row>
    <row r="1026" spans="1:20" x14ac:dyDescent="0.25">
      <c r="A1026" s="4" t="s">
        <v>1215</v>
      </c>
      <c r="B1026" s="5">
        <v>45934</v>
      </c>
      <c r="C1026" s="15">
        <f>WEEKNUM(Orders[[#This Row],[OrderDate]])</f>
        <v>40</v>
      </c>
      <c r="D1026" s="15" t="str">
        <f>TEXT(Orders[[#This Row],[OrderDate]],"mmmm")</f>
        <v>October</v>
      </c>
      <c r="E1026" s="4" t="s">
        <v>107</v>
      </c>
      <c r="F1026" s="4" t="s">
        <v>9</v>
      </c>
      <c r="G1026" s="4">
        <v>10</v>
      </c>
      <c r="H1026" s="12">
        <v>1783.1999999999998</v>
      </c>
      <c r="I1026" s="13">
        <v>1515.7199999999998</v>
      </c>
      <c r="J1026" s="13">
        <f>Orders[[#This Row],[Quantity]]*Orders[[#This Row],[Selling Price]]</f>
        <v>17832</v>
      </c>
      <c r="K1026" s="13">
        <f>Orders[[#This Row],[Quantity]]*Orders[[#This Row],[Cost Price]]</f>
        <v>15157.199999999997</v>
      </c>
      <c r="L1026" s="13">
        <f>Orders[[#This Row],[Revenue]]-Orders[[#This Row],[Expenses]]</f>
        <v>2674.8000000000029</v>
      </c>
      <c r="M1026" t="s">
        <v>2197</v>
      </c>
      <c r="N1026" t="str">
        <f>_xlfn.XLOOKUP(Orders[[#This Row],[CustomerID]],Customers[CustomerID],Customers[CustomerName])</f>
        <v>Blessing Eze</v>
      </c>
      <c r="O1026" t="str">
        <f>_xlfn.XLOOKUP(Orders[[#This Row],[CustomerID]],Customers[CustomerID],Customers[City])</f>
        <v>Texas</v>
      </c>
      <c r="P1026" t="str">
        <f>_xlfn.XLOOKUP(Orders[[#This Row],[CustomerID]],Customers[CustomerID],Customers[Gender])</f>
        <v>Female</v>
      </c>
      <c r="Q1026">
        <f>_xlfn.XLOOKUP(Orders[[#This Row],[CustomerID]],Customers[CustomerID],Customers[CustomerAge])</f>
        <v>44</v>
      </c>
      <c r="R1026" t="str">
        <f>IF(Orders[[#This Row],[CustomerAge]]&gt;=35, "Older", "Young")</f>
        <v>Older</v>
      </c>
      <c r="S1026" t="str">
        <f>_xlfn.XLOOKUP(Orders[[#This Row],[ProductID]],Products[ProductID],Products[ProductName])</f>
        <v>Beaded Earrings And Necklaces</v>
      </c>
      <c r="T1026" t="str">
        <f>_xlfn.XLOOKUP(Orders[[#This Row],[ProductID]],Products[ProductID],Products[Category])</f>
        <v>Accessories</v>
      </c>
    </row>
    <row r="1027" spans="1:20" x14ac:dyDescent="0.25">
      <c r="A1027" s="4" t="s">
        <v>1216</v>
      </c>
      <c r="B1027" s="5">
        <v>45943</v>
      </c>
      <c r="C1027" s="15">
        <f>WEEKNUM(Orders[[#This Row],[OrderDate]])</f>
        <v>42</v>
      </c>
      <c r="D1027" s="15" t="str">
        <f>TEXT(Orders[[#This Row],[OrderDate]],"mmmm")</f>
        <v>October</v>
      </c>
      <c r="E1027" s="4" t="s">
        <v>298</v>
      </c>
      <c r="F1027" s="4" t="s">
        <v>66</v>
      </c>
      <c r="G1027" s="4">
        <v>6</v>
      </c>
      <c r="H1027" s="12">
        <v>5655.9000000000005</v>
      </c>
      <c r="I1027" s="13">
        <v>4807.5150000000003</v>
      </c>
      <c r="J1027" s="13">
        <f>Orders[[#This Row],[Quantity]]*Orders[[#This Row],[Selling Price]]</f>
        <v>33935.4</v>
      </c>
      <c r="K1027" s="13">
        <f>Orders[[#This Row],[Quantity]]*Orders[[#This Row],[Cost Price]]</f>
        <v>28845.090000000004</v>
      </c>
      <c r="L1027" s="13">
        <f>Orders[[#This Row],[Revenue]]-Orders[[#This Row],[Expenses]]</f>
        <v>5090.3099999999977</v>
      </c>
      <c r="M1027" t="s">
        <v>2199</v>
      </c>
      <c r="N1027" t="str">
        <f>_xlfn.XLOOKUP(Orders[[#This Row],[CustomerID]],Customers[CustomerID],Customers[CustomerName])</f>
        <v>Amina Obi</v>
      </c>
      <c r="O1027" t="str">
        <f>_xlfn.XLOOKUP(Orders[[#This Row],[CustomerID]],Customers[CustomerID],Customers[City])</f>
        <v>Florida</v>
      </c>
      <c r="P1027" t="str">
        <f>_xlfn.XLOOKUP(Orders[[#This Row],[CustomerID]],Customers[CustomerID],Customers[Gender])</f>
        <v>Female</v>
      </c>
      <c r="Q1027">
        <f>_xlfn.XLOOKUP(Orders[[#This Row],[CustomerID]],Customers[CustomerID],Customers[CustomerAge])</f>
        <v>19</v>
      </c>
      <c r="R1027" t="str">
        <f>IF(Orders[[#This Row],[CustomerAge]]&gt;=35, "Older", "Young")</f>
        <v>Young</v>
      </c>
      <c r="S1027" t="str">
        <f>_xlfn.XLOOKUP(Orders[[#This Row],[ProductID]],Products[ProductID],Products[ProductName])</f>
        <v>Microwave</v>
      </c>
      <c r="T1027" t="str">
        <f>_xlfn.XLOOKUP(Orders[[#This Row],[ProductID]],Products[ProductID],Products[Category])</f>
        <v>Electronics</v>
      </c>
    </row>
    <row r="1028" spans="1:20" x14ac:dyDescent="0.25">
      <c r="A1028" s="4" t="s">
        <v>1217</v>
      </c>
      <c r="B1028" s="5">
        <v>45931</v>
      </c>
      <c r="C1028" s="15">
        <f>WEEKNUM(Orders[[#This Row],[OrderDate]])</f>
        <v>40</v>
      </c>
      <c r="D1028" s="15" t="str">
        <f>TEXT(Orders[[#This Row],[OrderDate]],"mmmm")</f>
        <v>October</v>
      </c>
      <c r="E1028" s="4" t="s">
        <v>89</v>
      </c>
      <c r="F1028" s="4" t="s">
        <v>60</v>
      </c>
      <c r="G1028" s="4">
        <v>3</v>
      </c>
      <c r="H1028" s="12">
        <v>4451.3999999999996</v>
      </c>
      <c r="I1028" s="13">
        <v>3783.6899999999996</v>
      </c>
      <c r="J1028" s="13">
        <f>Orders[[#This Row],[Quantity]]*Orders[[#This Row],[Selling Price]]</f>
        <v>13354.199999999999</v>
      </c>
      <c r="K1028" s="13">
        <f>Orders[[#This Row],[Quantity]]*Orders[[#This Row],[Cost Price]]</f>
        <v>11351.07</v>
      </c>
      <c r="L1028" s="13">
        <f>Orders[[#This Row],[Revenue]]-Orders[[#This Row],[Expenses]]</f>
        <v>2003.1299999999992</v>
      </c>
      <c r="M1028" t="s">
        <v>2193</v>
      </c>
      <c r="N1028" t="str">
        <f>_xlfn.XLOOKUP(Orders[[#This Row],[CustomerID]],Customers[CustomerID],Customers[CustomerName])</f>
        <v>Blessing Balogun</v>
      </c>
      <c r="O1028" t="str">
        <f>_xlfn.XLOOKUP(Orders[[#This Row],[CustomerID]],Customers[CustomerID],Customers[City])</f>
        <v>Washington</v>
      </c>
      <c r="P1028" t="str">
        <f>_xlfn.XLOOKUP(Orders[[#This Row],[CustomerID]],Customers[CustomerID],Customers[Gender])</f>
        <v>Female</v>
      </c>
      <c r="Q1028">
        <f>_xlfn.XLOOKUP(Orders[[#This Row],[CustomerID]],Customers[CustomerID],Customers[CustomerAge])</f>
        <v>19</v>
      </c>
      <c r="R1028" t="str">
        <f>IF(Orders[[#This Row],[CustomerAge]]&gt;=35, "Older", "Young")</f>
        <v>Young</v>
      </c>
      <c r="S1028" t="str">
        <f>_xlfn.XLOOKUP(Orders[[#This Row],[ProductID]],Products[ProductID],Products[ProductName])</f>
        <v>Silver Rings</v>
      </c>
      <c r="T1028" t="str">
        <f>_xlfn.XLOOKUP(Orders[[#This Row],[ProductID]],Products[ProductID],Products[Category])</f>
        <v>Accessories</v>
      </c>
    </row>
    <row r="1029" spans="1:20" x14ac:dyDescent="0.25">
      <c r="A1029" s="4" t="s">
        <v>1218</v>
      </c>
      <c r="B1029" s="5">
        <v>45963</v>
      </c>
      <c r="C1029" s="15">
        <f>WEEKNUM(Orders[[#This Row],[OrderDate]])</f>
        <v>45</v>
      </c>
      <c r="D1029" s="15" t="str">
        <f>TEXT(Orders[[#This Row],[OrderDate]],"mmmm")</f>
        <v>November</v>
      </c>
      <c r="E1029" s="4" t="s">
        <v>210</v>
      </c>
      <c r="F1029" s="4" t="s">
        <v>37</v>
      </c>
      <c r="G1029" s="4">
        <v>5</v>
      </c>
      <c r="H1029" s="12">
        <v>4378.8999999999996</v>
      </c>
      <c r="I1029" s="13">
        <v>3722.0649999999996</v>
      </c>
      <c r="J1029" s="13">
        <f>Orders[[#This Row],[Quantity]]*Orders[[#This Row],[Selling Price]]</f>
        <v>21894.5</v>
      </c>
      <c r="K1029" s="13">
        <f>Orders[[#This Row],[Quantity]]*Orders[[#This Row],[Cost Price]]</f>
        <v>18610.324999999997</v>
      </c>
      <c r="L1029" s="13">
        <f>Orders[[#This Row],[Revenue]]-Orders[[#This Row],[Expenses]]</f>
        <v>3284.1750000000029</v>
      </c>
      <c r="M1029" t="s">
        <v>2214</v>
      </c>
      <c r="N1029" t="str">
        <f>_xlfn.XLOOKUP(Orders[[#This Row],[CustomerID]],Customers[CustomerID],Customers[CustomerName])</f>
        <v>Zainab Bello</v>
      </c>
      <c r="O1029" t="str">
        <f>_xlfn.XLOOKUP(Orders[[#This Row],[CustomerID]],Customers[CustomerID],Customers[City])</f>
        <v>Illinois</v>
      </c>
      <c r="P1029" t="str">
        <f>_xlfn.XLOOKUP(Orders[[#This Row],[CustomerID]],Customers[CustomerID],Customers[Gender])</f>
        <v>Female</v>
      </c>
      <c r="Q1029">
        <f>_xlfn.XLOOKUP(Orders[[#This Row],[CustomerID]],Customers[CustomerID],Customers[CustomerAge])</f>
        <v>27</v>
      </c>
      <c r="R1029" t="str">
        <f>IF(Orders[[#This Row],[CustomerAge]]&gt;=35, "Older", "Young")</f>
        <v>Young</v>
      </c>
      <c r="S1029" t="str">
        <f>_xlfn.XLOOKUP(Orders[[#This Row],[ProductID]],Products[ProductID],Products[ProductName])</f>
        <v>Iron</v>
      </c>
      <c r="T1029" t="str">
        <f>_xlfn.XLOOKUP(Orders[[#This Row],[ProductID]],Products[ProductID],Products[Category])</f>
        <v>Electronics</v>
      </c>
    </row>
    <row r="1030" spans="1:20" x14ac:dyDescent="0.25">
      <c r="A1030" s="4" t="s">
        <v>1219</v>
      </c>
      <c r="B1030" s="5">
        <v>45949</v>
      </c>
      <c r="C1030" s="15">
        <f>WEEKNUM(Orders[[#This Row],[OrderDate]])</f>
        <v>43</v>
      </c>
      <c r="D1030" s="15" t="str">
        <f>TEXT(Orders[[#This Row],[OrderDate]],"mmmm")</f>
        <v>October</v>
      </c>
      <c r="E1030" s="4" t="s">
        <v>207</v>
      </c>
      <c r="F1030" s="4" t="s">
        <v>125</v>
      </c>
      <c r="G1030" s="4">
        <v>2</v>
      </c>
      <c r="H1030" s="12">
        <v>2312.6</v>
      </c>
      <c r="I1030" s="13">
        <v>1965.71</v>
      </c>
      <c r="J1030" s="13">
        <f>Orders[[#This Row],[Quantity]]*Orders[[#This Row],[Selling Price]]</f>
        <v>4625.2</v>
      </c>
      <c r="K1030" s="13">
        <f>Orders[[#This Row],[Quantity]]*Orders[[#This Row],[Cost Price]]</f>
        <v>3931.42</v>
      </c>
      <c r="L1030" s="13">
        <f>Orders[[#This Row],[Revenue]]-Orders[[#This Row],[Expenses]]</f>
        <v>693.77999999999975</v>
      </c>
      <c r="M1030" t="s">
        <v>2210</v>
      </c>
      <c r="N1030" t="str">
        <f>_xlfn.XLOOKUP(Orders[[#This Row],[CustomerID]],Customers[CustomerID],Customers[CustomerName])</f>
        <v>Bisi Eze</v>
      </c>
      <c r="O1030" t="str">
        <f>_xlfn.XLOOKUP(Orders[[#This Row],[CustomerID]],Customers[CustomerID],Customers[City])</f>
        <v>Florida</v>
      </c>
      <c r="P1030" t="str">
        <f>_xlfn.XLOOKUP(Orders[[#This Row],[CustomerID]],Customers[CustomerID],Customers[Gender])</f>
        <v>Female</v>
      </c>
      <c r="Q1030">
        <f>_xlfn.XLOOKUP(Orders[[#This Row],[CustomerID]],Customers[CustomerID],Customers[CustomerAge])</f>
        <v>37</v>
      </c>
      <c r="R1030" t="str">
        <f>IF(Orders[[#This Row],[CustomerAge]]&gt;=35, "Older", "Young")</f>
        <v>Older</v>
      </c>
      <c r="S1030" t="str">
        <f>_xlfn.XLOOKUP(Orders[[#This Row],[ProductID]],Products[ProductID],Products[ProductName])</f>
        <v>Earrings</v>
      </c>
      <c r="T1030" t="str">
        <f>_xlfn.XLOOKUP(Orders[[#This Row],[ProductID]],Products[ProductID],Products[Category])</f>
        <v>Accessories</v>
      </c>
    </row>
    <row r="1031" spans="1:20" x14ac:dyDescent="0.25">
      <c r="A1031" s="4" t="s">
        <v>1220</v>
      </c>
      <c r="B1031" s="5">
        <v>45980</v>
      </c>
      <c r="C1031" s="15">
        <f>WEEKNUM(Orders[[#This Row],[OrderDate]])</f>
        <v>47</v>
      </c>
      <c r="D1031" s="15" t="str">
        <f>TEXT(Orders[[#This Row],[OrderDate]],"mmmm")</f>
        <v>November</v>
      </c>
      <c r="E1031" s="4" t="s">
        <v>369</v>
      </c>
      <c r="F1031" s="4" t="s">
        <v>151</v>
      </c>
      <c r="G1031" s="4">
        <v>1</v>
      </c>
      <c r="H1031" s="12">
        <v>17734.599999999999</v>
      </c>
      <c r="I1031" s="13">
        <v>15074.41</v>
      </c>
      <c r="J1031" s="13">
        <f>Orders[[#This Row],[Quantity]]*Orders[[#This Row],[Selling Price]]</f>
        <v>17734.599999999999</v>
      </c>
      <c r="K1031" s="13">
        <f>Orders[[#This Row],[Quantity]]*Orders[[#This Row],[Cost Price]]</f>
        <v>15074.41</v>
      </c>
      <c r="L1031" s="13">
        <f>Orders[[#This Row],[Revenue]]-Orders[[#This Row],[Expenses]]</f>
        <v>2660.1899999999987</v>
      </c>
      <c r="M1031" t="s">
        <v>2218</v>
      </c>
      <c r="N1031" t="str">
        <f>_xlfn.XLOOKUP(Orders[[#This Row],[CustomerID]],Customers[CustomerID],Customers[CustomerName])</f>
        <v>Ibrahim Bello</v>
      </c>
      <c r="O1031" t="str">
        <f>_xlfn.XLOOKUP(Orders[[#This Row],[CustomerID]],Customers[CustomerID],Customers[City])</f>
        <v>Washington</v>
      </c>
      <c r="P1031" t="str">
        <f>_xlfn.XLOOKUP(Orders[[#This Row],[CustomerID]],Customers[CustomerID],Customers[Gender])</f>
        <v>Male</v>
      </c>
      <c r="Q1031">
        <f>_xlfn.XLOOKUP(Orders[[#This Row],[CustomerID]],Customers[CustomerID],Customers[CustomerAge])</f>
        <v>40</v>
      </c>
      <c r="R1031" t="str">
        <f>IF(Orders[[#This Row],[CustomerAge]]&gt;=35, "Older", "Young")</f>
        <v>Older</v>
      </c>
      <c r="S1031" t="str">
        <f>_xlfn.XLOOKUP(Orders[[#This Row],[ProductID]],Products[ProductID],Products[ProductName])</f>
        <v>Checkers</v>
      </c>
      <c r="T1031" t="str">
        <f>_xlfn.XLOOKUP(Orders[[#This Row],[ProductID]],Products[ProductID],Products[Category])</f>
        <v>Games</v>
      </c>
    </row>
    <row r="1032" spans="1:20" x14ac:dyDescent="0.25">
      <c r="A1032" s="4" t="s">
        <v>1221</v>
      </c>
      <c r="B1032" s="5">
        <v>45990</v>
      </c>
      <c r="C1032" s="15">
        <f>WEEKNUM(Orders[[#This Row],[OrderDate]])</f>
        <v>48</v>
      </c>
      <c r="D1032" s="15" t="str">
        <f>TEXT(Orders[[#This Row],[OrderDate]],"mmmm")</f>
        <v>November</v>
      </c>
      <c r="E1032" s="4" t="s">
        <v>22</v>
      </c>
      <c r="F1032" s="4" t="s">
        <v>70</v>
      </c>
      <c r="G1032" s="4">
        <v>5</v>
      </c>
      <c r="H1032" s="12">
        <v>13457.5</v>
      </c>
      <c r="I1032" s="13">
        <v>11438.875</v>
      </c>
      <c r="J1032" s="13">
        <f>Orders[[#This Row],[Quantity]]*Orders[[#This Row],[Selling Price]]</f>
        <v>67287.5</v>
      </c>
      <c r="K1032" s="13">
        <f>Orders[[#This Row],[Quantity]]*Orders[[#This Row],[Cost Price]]</f>
        <v>57194.375</v>
      </c>
      <c r="L1032" s="13">
        <f>Orders[[#This Row],[Revenue]]-Orders[[#This Row],[Expenses]]</f>
        <v>10093.125</v>
      </c>
      <c r="M1032" t="s">
        <v>2206</v>
      </c>
      <c r="N1032" t="str">
        <f>_xlfn.XLOOKUP(Orders[[#This Row],[CustomerID]],Customers[CustomerID],Customers[CustomerName])</f>
        <v>Temi Bello</v>
      </c>
      <c r="O1032" t="str">
        <f>_xlfn.XLOOKUP(Orders[[#This Row],[CustomerID]],Customers[CustomerID],Customers[City])</f>
        <v>Texas</v>
      </c>
      <c r="P1032" t="str">
        <f>_xlfn.XLOOKUP(Orders[[#This Row],[CustomerID]],Customers[CustomerID],Customers[Gender])</f>
        <v>Female</v>
      </c>
      <c r="Q1032">
        <f>_xlfn.XLOOKUP(Orders[[#This Row],[CustomerID]],Customers[CustomerID],Customers[CustomerAge])</f>
        <v>52</v>
      </c>
      <c r="R1032" t="str">
        <f>IF(Orders[[#This Row],[CustomerAge]]&gt;=35, "Older", "Young")</f>
        <v>Older</v>
      </c>
      <c r="S1032" t="str">
        <f>_xlfn.XLOOKUP(Orders[[#This Row],[ProductID]],Products[ProductID],Products[ProductName])</f>
        <v>Yoga Mat</v>
      </c>
      <c r="T1032" t="str">
        <f>_xlfn.XLOOKUP(Orders[[#This Row],[ProductID]],Products[ProductID],Products[Category])</f>
        <v>Gym</v>
      </c>
    </row>
    <row r="1033" spans="1:20" x14ac:dyDescent="0.25">
      <c r="A1033" s="4" t="s">
        <v>1222</v>
      </c>
      <c r="B1033" s="5">
        <v>45992</v>
      </c>
      <c r="C1033" s="15">
        <f>WEEKNUM(Orders[[#This Row],[OrderDate]])</f>
        <v>49</v>
      </c>
      <c r="D1033" s="15" t="str">
        <f>TEXT(Orders[[#This Row],[OrderDate]],"mmmm")</f>
        <v>December</v>
      </c>
      <c r="E1033" s="4" t="s">
        <v>41</v>
      </c>
      <c r="F1033" s="4" t="s">
        <v>28</v>
      </c>
      <c r="G1033" s="4">
        <v>2</v>
      </c>
      <c r="H1033" s="12">
        <v>8363.4</v>
      </c>
      <c r="I1033" s="13">
        <v>7108.8899999999994</v>
      </c>
      <c r="J1033" s="13">
        <f>Orders[[#This Row],[Quantity]]*Orders[[#This Row],[Selling Price]]</f>
        <v>16726.8</v>
      </c>
      <c r="K1033" s="13">
        <f>Orders[[#This Row],[Quantity]]*Orders[[#This Row],[Cost Price]]</f>
        <v>14217.779999999999</v>
      </c>
      <c r="L1033" s="13">
        <f>Orders[[#This Row],[Revenue]]-Orders[[#This Row],[Expenses]]</f>
        <v>2509.0200000000004</v>
      </c>
      <c r="M1033" t="s">
        <v>2192</v>
      </c>
      <c r="N1033" t="str">
        <f>_xlfn.XLOOKUP(Orders[[#This Row],[CustomerID]],Customers[CustomerID],Customers[CustomerName])</f>
        <v>Mustafa Balogun</v>
      </c>
      <c r="O1033" t="str">
        <f>_xlfn.XLOOKUP(Orders[[#This Row],[CustomerID]],Customers[CustomerID],Customers[City])</f>
        <v>Texas</v>
      </c>
      <c r="P1033" t="str">
        <f>_xlfn.XLOOKUP(Orders[[#This Row],[CustomerID]],Customers[CustomerID],Customers[Gender])</f>
        <v>Male</v>
      </c>
      <c r="Q1033">
        <f>_xlfn.XLOOKUP(Orders[[#This Row],[CustomerID]],Customers[CustomerID],Customers[CustomerAge])</f>
        <v>40</v>
      </c>
      <c r="R1033" t="str">
        <f>IF(Orders[[#This Row],[CustomerAge]]&gt;=35, "Older", "Young")</f>
        <v>Older</v>
      </c>
      <c r="S1033" t="str">
        <f>_xlfn.XLOOKUP(Orders[[#This Row],[ProductID]],Products[ProductID],Products[ProductName])</f>
        <v>Sneakers</v>
      </c>
      <c r="T1033" t="str">
        <f>_xlfn.XLOOKUP(Orders[[#This Row],[ProductID]],Products[ProductID],Products[Category])</f>
        <v>Sports</v>
      </c>
    </row>
    <row r="1034" spans="1:20" x14ac:dyDescent="0.25">
      <c r="A1034" s="4" t="s">
        <v>1223</v>
      </c>
      <c r="B1034" s="5">
        <v>45965</v>
      </c>
      <c r="C1034" s="15">
        <f>WEEKNUM(Orders[[#This Row],[OrderDate]])</f>
        <v>45</v>
      </c>
      <c r="D1034" s="15" t="str">
        <f>TEXT(Orders[[#This Row],[OrderDate]],"mmmm")</f>
        <v>November</v>
      </c>
      <c r="E1034" s="4" t="s">
        <v>103</v>
      </c>
      <c r="F1034" s="4" t="s">
        <v>232</v>
      </c>
      <c r="G1034" s="4">
        <v>7</v>
      </c>
      <c r="H1034" s="12">
        <v>12925.4</v>
      </c>
      <c r="I1034" s="13">
        <v>10986.59</v>
      </c>
      <c r="J1034" s="13">
        <f>Orders[[#This Row],[Quantity]]*Orders[[#This Row],[Selling Price]]</f>
        <v>90477.8</v>
      </c>
      <c r="K1034" s="13">
        <f>Orders[[#This Row],[Quantity]]*Orders[[#This Row],[Cost Price]]</f>
        <v>76906.13</v>
      </c>
      <c r="L1034" s="13">
        <f>Orders[[#This Row],[Revenue]]-Orders[[#This Row],[Expenses]]</f>
        <v>13571.669999999998</v>
      </c>
      <c r="M1034" t="s">
        <v>2203</v>
      </c>
      <c r="N1034" t="str">
        <f>_xlfn.XLOOKUP(Orders[[#This Row],[CustomerID]],Customers[CustomerID],Customers[CustomerName])</f>
        <v>Chioma Adeyemi</v>
      </c>
      <c r="O1034" t="str">
        <f>_xlfn.XLOOKUP(Orders[[#This Row],[CustomerID]],Customers[CustomerID],Customers[City])</f>
        <v>Georgia</v>
      </c>
      <c r="P1034" t="str">
        <f>_xlfn.XLOOKUP(Orders[[#This Row],[CustomerID]],Customers[CustomerID],Customers[Gender])</f>
        <v>Female</v>
      </c>
      <c r="Q1034">
        <f>_xlfn.XLOOKUP(Orders[[#This Row],[CustomerID]],Customers[CustomerID],Customers[CustomerAge])</f>
        <v>31</v>
      </c>
      <c r="R1034" t="str">
        <f>IF(Orders[[#This Row],[CustomerAge]]&gt;=35, "Older", "Young")</f>
        <v>Young</v>
      </c>
      <c r="S1034" t="str">
        <f>_xlfn.XLOOKUP(Orders[[#This Row],[ProductID]],Products[ProductID],Products[ProductName])</f>
        <v>Ankara</v>
      </c>
      <c r="T1034" t="str">
        <f>_xlfn.XLOOKUP(Orders[[#This Row],[ProductID]],Products[ProductID],Products[Category])</f>
        <v>Clothing</v>
      </c>
    </row>
    <row r="1035" spans="1:20" x14ac:dyDescent="0.25">
      <c r="A1035" s="4" t="s">
        <v>1224</v>
      </c>
      <c r="B1035" s="5">
        <v>45936</v>
      </c>
      <c r="C1035" s="15">
        <f>WEEKNUM(Orders[[#This Row],[OrderDate]])</f>
        <v>41</v>
      </c>
      <c r="D1035" s="15" t="str">
        <f>TEXT(Orders[[#This Row],[OrderDate]],"mmmm")</f>
        <v>October</v>
      </c>
      <c r="E1035" s="4" t="s">
        <v>140</v>
      </c>
      <c r="F1035" s="4" t="s">
        <v>57</v>
      </c>
      <c r="G1035" s="4">
        <v>2</v>
      </c>
      <c r="H1035" s="12">
        <v>14029</v>
      </c>
      <c r="I1035" s="13">
        <v>11924.65</v>
      </c>
      <c r="J1035" s="13">
        <f>Orders[[#This Row],[Quantity]]*Orders[[#This Row],[Selling Price]]</f>
        <v>28058</v>
      </c>
      <c r="K1035" s="13">
        <f>Orders[[#This Row],[Quantity]]*Orders[[#This Row],[Cost Price]]</f>
        <v>23849.3</v>
      </c>
      <c r="L1035" s="13">
        <f>Orders[[#This Row],[Revenue]]-Orders[[#This Row],[Expenses]]</f>
        <v>4208.7000000000007</v>
      </c>
      <c r="M1035" t="s">
        <v>2207</v>
      </c>
      <c r="N1035" t="str">
        <f>_xlfn.XLOOKUP(Orders[[#This Row],[CustomerID]],Customers[CustomerID],Customers[CustomerName])</f>
        <v>Tunde Igwe</v>
      </c>
      <c r="O1035" t="str">
        <f>_xlfn.XLOOKUP(Orders[[#This Row],[CustomerID]],Customers[CustomerID],Customers[City])</f>
        <v>Washington</v>
      </c>
      <c r="P1035" t="str">
        <f>_xlfn.XLOOKUP(Orders[[#This Row],[CustomerID]],Customers[CustomerID],Customers[Gender])</f>
        <v>Male</v>
      </c>
      <c r="Q1035">
        <f>_xlfn.XLOOKUP(Orders[[#This Row],[CustomerID]],Customers[CustomerID],Customers[CustomerAge])</f>
        <v>20</v>
      </c>
      <c r="R1035" t="str">
        <f>IF(Orders[[#This Row],[CustomerAge]]&gt;=35, "Older", "Young")</f>
        <v>Young</v>
      </c>
      <c r="S1035" t="str">
        <f>_xlfn.XLOOKUP(Orders[[#This Row],[ProductID]],Products[ProductID],Products[ProductName])</f>
        <v>Badminton Racket</v>
      </c>
      <c r="T1035" t="str">
        <f>_xlfn.XLOOKUP(Orders[[#This Row],[ProductID]],Products[ProductID],Products[Category])</f>
        <v>Sports</v>
      </c>
    </row>
    <row r="1036" spans="1:20" x14ac:dyDescent="0.25">
      <c r="A1036" s="4" t="s">
        <v>1225</v>
      </c>
      <c r="B1036" s="5">
        <v>45952</v>
      </c>
      <c r="C1036" s="15">
        <f>WEEKNUM(Orders[[#This Row],[OrderDate]])</f>
        <v>43</v>
      </c>
      <c r="D1036" s="15" t="str">
        <f>TEXT(Orders[[#This Row],[OrderDate]],"mmmm")</f>
        <v>October</v>
      </c>
      <c r="E1036" s="4" t="s">
        <v>14</v>
      </c>
      <c r="F1036" s="4" t="s">
        <v>81</v>
      </c>
      <c r="G1036" s="4">
        <v>4</v>
      </c>
      <c r="H1036" s="12">
        <v>13137.7</v>
      </c>
      <c r="I1036" s="13">
        <v>11167.045</v>
      </c>
      <c r="J1036" s="13">
        <f>Orders[[#This Row],[Quantity]]*Orders[[#This Row],[Selling Price]]</f>
        <v>52550.8</v>
      </c>
      <c r="K1036" s="13">
        <f>Orders[[#This Row],[Quantity]]*Orders[[#This Row],[Cost Price]]</f>
        <v>44668.18</v>
      </c>
      <c r="L1036" s="13">
        <f>Orders[[#This Row],[Revenue]]-Orders[[#This Row],[Expenses]]</f>
        <v>7882.6200000000026</v>
      </c>
      <c r="M1036" t="s">
        <v>2219</v>
      </c>
      <c r="N1036" t="str">
        <f>_xlfn.XLOOKUP(Orders[[#This Row],[CustomerID]],Customers[CustomerID],Customers[CustomerName])</f>
        <v>Abiola Igwe</v>
      </c>
      <c r="O1036" t="str">
        <f>_xlfn.XLOOKUP(Orders[[#This Row],[CustomerID]],Customers[CustomerID],Customers[City])</f>
        <v>Texas</v>
      </c>
      <c r="P1036" t="str">
        <f>_xlfn.XLOOKUP(Orders[[#This Row],[CustomerID]],Customers[CustomerID],Customers[Gender])</f>
        <v>Male</v>
      </c>
      <c r="Q1036">
        <f>_xlfn.XLOOKUP(Orders[[#This Row],[CustomerID]],Customers[CustomerID],Customers[CustomerAge])</f>
        <v>39</v>
      </c>
      <c r="R1036" t="str">
        <f>IF(Orders[[#This Row],[CustomerAge]]&gt;=35, "Older", "Young")</f>
        <v>Older</v>
      </c>
      <c r="S1036" t="str">
        <f>_xlfn.XLOOKUP(Orders[[#This Row],[ProductID]],Products[ProductID],Products[ProductName])</f>
        <v>Trousers</v>
      </c>
      <c r="T1036" t="str">
        <f>_xlfn.XLOOKUP(Orders[[#This Row],[ProductID]],Products[ProductID],Products[Category])</f>
        <v>Clothing</v>
      </c>
    </row>
    <row r="1037" spans="1:20" x14ac:dyDescent="0.25">
      <c r="A1037" s="4" t="s">
        <v>1226</v>
      </c>
      <c r="B1037" s="5">
        <v>46007</v>
      </c>
      <c r="C1037" s="15">
        <f>WEEKNUM(Orders[[#This Row],[OrderDate]])</f>
        <v>51</v>
      </c>
      <c r="D1037" s="15" t="str">
        <f>TEXT(Orders[[#This Row],[OrderDate]],"mmmm")</f>
        <v>December</v>
      </c>
      <c r="E1037" s="4" t="s">
        <v>116</v>
      </c>
      <c r="F1037" s="4" t="s">
        <v>151</v>
      </c>
      <c r="G1037" s="4">
        <v>1</v>
      </c>
      <c r="H1037" s="12">
        <v>13554.400000000001</v>
      </c>
      <c r="I1037" s="13">
        <v>11521.240000000002</v>
      </c>
      <c r="J1037" s="13">
        <f>Orders[[#This Row],[Quantity]]*Orders[[#This Row],[Selling Price]]</f>
        <v>13554.400000000001</v>
      </c>
      <c r="K1037" s="13">
        <f>Orders[[#This Row],[Quantity]]*Orders[[#This Row],[Cost Price]]</f>
        <v>11521.240000000002</v>
      </c>
      <c r="L1037" s="13">
        <f>Orders[[#This Row],[Revenue]]-Orders[[#This Row],[Expenses]]</f>
        <v>2033.1599999999999</v>
      </c>
      <c r="M1037" t="s">
        <v>2199</v>
      </c>
      <c r="N1037" t="str">
        <f>_xlfn.XLOOKUP(Orders[[#This Row],[CustomerID]],Customers[CustomerID],Customers[CustomerName])</f>
        <v>Uche Bello</v>
      </c>
      <c r="O1037" t="str">
        <f>_xlfn.XLOOKUP(Orders[[#This Row],[CustomerID]],Customers[CustomerID],Customers[City])</f>
        <v>Texas</v>
      </c>
      <c r="P1037" t="str">
        <f>_xlfn.XLOOKUP(Orders[[#This Row],[CustomerID]],Customers[CustomerID],Customers[Gender])</f>
        <v>Male</v>
      </c>
      <c r="Q1037">
        <f>_xlfn.XLOOKUP(Orders[[#This Row],[CustomerID]],Customers[CustomerID],Customers[CustomerAge])</f>
        <v>21</v>
      </c>
      <c r="R1037" t="str">
        <f>IF(Orders[[#This Row],[CustomerAge]]&gt;=35, "Older", "Young")</f>
        <v>Young</v>
      </c>
      <c r="S1037" t="str">
        <f>_xlfn.XLOOKUP(Orders[[#This Row],[ProductID]],Products[ProductID],Products[ProductName])</f>
        <v>Checkers</v>
      </c>
      <c r="T1037" t="str">
        <f>_xlfn.XLOOKUP(Orders[[#This Row],[ProductID]],Products[ProductID],Products[Category])</f>
        <v>Games</v>
      </c>
    </row>
    <row r="1038" spans="1:20" x14ac:dyDescent="0.25">
      <c r="A1038" s="4" t="s">
        <v>1227</v>
      </c>
      <c r="B1038" s="5">
        <v>45970</v>
      </c>
      <c r="C1038" s="15">
        <f>WEEKNUM(Orders[[#This Row],[OrderDate]])</f>
        <v>46</v>
      </c>
      <c r="D1038" s="15" t="str">
        <f>TEXT(Orders[[#This Row],[OrderDate]],"mmmm")</f>
        <v>November</v>
      </c>
      <c r="E1038" s="4" t="s">
        <v>410</v>
      </c>
      <c r="F1038" s="4" t="s">
        <v>15</v>
      </c>
      <c r="G1038" s="4">
        <v>6</v>
      </c>
      <c r="H1038" s="12">
        <v>17022.099999999999</v>
      </c>
      <c r="I1038" s="13">
        <v>14468.785</v>
      </c>
      <c r="J1038" s="13">
        <f>Orders[[#This Row],[Quantity]]*Orders[[#This Row],[Selling Price]]</f>
        <v>102132.59999999999</v>
      </c>
      <c r="K1038" s="13">
        <f>Orders[[#This Row],[Quantity]]*Orders[[#This Row],[Cost Price]]</f>
        <v>86812.709999999992</v>
      </c>
      <c r="L1038" s="13">
        <f>Orders[[#This Row],[Revenue]]-Orders[[#This Row],[Expenses]]</f>
        <v>15319.89</v>
      </c>
      <c r="M1038" t="s">
        <v>2217</v>
      </c>
      <c r="N1038" t="str">
        <f>_xlfn.XLOOKUP(Orders[[#This Row],[CustomerID]],Customers[CustomerID],Customers[CustomerName])</f>
        <v>Jane Thomas</v>
      </c>
      <c r="O1038" t="str">
        <f>_xlfn.XLOOKUP(Orders[[#This Row],[CustomerID]],Customers[CustomerID],Customers[City])</f>
        <v>Texas</v>
      </c>
      <c r="P1038" t="str">
        <f>_xlfn.XLOOKUP(Orders[[#This Row],[CustomerID]],Customers[CustomerID],Customers[Gender])</f>
        <v>Male</v>
      </c>
      <c r="Q1038">
        <f>_xlfn.XLOOKUP(Orders[[#This Row],[CustomerID]],Customers[CustomerID],Customers[CustomerAge])</f>
        <v>21</v>
      </c>
      <c r="R1038" t="str">
        <f>IF(Orders[[#This Row],[CustomerAge]]&gt;=35, "Older", "Young")</f>
        <v>Young</v>
      </c>
      <c r="S1038" t="str">
        <f>_xlfn.XLOOKUP(Orders[[#This Row],[ProductID]],Products[ProductID],Products[ProductName])</f>
        <v>Monopoly</v>
      </c>
      <c r="T1038" t="str">
        <f>_xlfn.XLOOKUP(Orders[[#This Row],[ProductID]],Products[ProductID],Products[Category])</f>
        <v>Games</v>
      </c>
    </row>
    <row r="1039" spans="1:20" x14ac:dyDescent="0.25">
      <c r="A1039" s="4" t="s">
        <v>1228</v>
      </c>
      <c r="B1039" s="5">
        <v>45992</v>
      </c>
      <c r="C1039" s="15">
        <f>WEEKNUM(Orders[[#This Row],[OrderDate]])</f>
        <v>49</v>
      </c>
      <c r="D1039" s="15" t="str">
        <f>TEXT(Orders[[#This Row],[OrderDate]],"mmmm")</f>
        <v>December</v>
      </c>
      <c r="E1039" s="4" t="s">
        <v>11</v>
      </c>
      <c r="F1039" s="4" t="s">
        <v>84</v>
      </c>
      <c r="G1039" s="4">
        <v>10</v>
      </c>
      <c r="H1039" s="12">
        <v>2894.2000000000003</v>
      </c>
      <c r="I1039" s="13">
        <v>2460.0700000000002</v>
      </c>
      <c r="J1039" s="13">
        <f>Orders[[#This Row],[Quantity]]*Orders[[#This Row],[Selling Price]]</f>
        <v>28942.000000000004</v>
      </c>
      <c r="K1039" s="13">
        <f>Orders[[#This Row],[Quantity]]*Orders[[#This Row],[Cost Price]]</f>
        <v>24600.7</v>
      </c>
      <c r="L1039" s="13">
        <f>Orders[[#This Row],[Revenue]]-Orders[[#This Row],[Expenses]]</f>
        <v>4341.3000000000029</v>
      </c>
      <c r="M1039" t="s">
        <v>2218</v>
      </c>
      <c r="N1039" t="str">
        <f>_xlfn.XLOOKUP(Orders[[#This Row],[CustomerID]],Customers[CustomerID],Customers[CustomerName])</f>
        <v>Efe Ojo</v>
      </c>
      <c r="O1039" t="str">
        <f>_xlfn.XLOOKUP(Orders[[#This Row],[CustomerID]],Customers[CustomerID],Customers[City])</f>
        <v>Texas</v>
      </c>
      <c r="P1039" t="str">
        <f>_xlfn.XLOOKUP(Orders[[#This Row],[CustomerID]],Customers[CustomerID],Customers[Gender])</f>
        <v>Female</v>
      </c>
      <c r="Q1039">
        <f>_xlfn.XLOOKUP(Orders[[#This Row],[CustomerID]],Customers[CustomerID],Customers[CustomerAge])</f>
        <v>55</v>
      </c>
      <c r="R1039" t="str">
        <f>IF(Orders[[#This Row],[CustomerAge]]&gt;=35, "Older", "Young")</f>
        <v>Older</v>
      </c>
      <c r="S1039" t="str">
        <f>_xlfn.XLOOKUP(Orders[[#This Row],[ProductID]],Products[ProductID],Products[ProductName])</f>
        <v>Gym Wears</v>
      </c>
      <c r="T1039" t="str">
        <f>_xlfn.XLOOKUP(Orders[[#This Row],[ProductID]],Products[ProductID],Products[Category])</f>
        <v>Clothing</v>
      </c>
    </row>
    <row r="1040" spans="1:20" x14ac:dyDescent="0.25">
      <c r="A1040" s="4" t="s">
        <v>1229</v>
      </c>
      <c r="B1040" s="5">
        <v>46006</v>
      </c>
      <c r="C1040" s="15">
        <f>WEEKNUM(Orders[[#This Row],[OrderDate]])</f>
        <v>51</v>
      </c>
      <c r="D1040" s="15" t="str">
        <f>TEXT(Orders[[#This Row],[OrderDate]],"mmmm")</f>
        <v>December</v>
      </c>
      <c r="E1040" s="4" t="s">
        <v>244</v>
      </c>
      <c r="F1040" s="4" t="s">
        <v>120</v>
      </c>
      <c r="G1040" s="4">
        <v>7</v>
      </c>
      <c r="H1040" s="12">
        <v>9965.4</v>
      </c>
      <c r="I1040" s="13">
        <v>8470.59</v>
      </c>
      <c r="J1040" s="13">
        <f>Orders[[#This Row],[Quantity]]*Orders[[#This Row],[Selling Price]]</f>
        <v>69757.8</v>
      </c>
      <c r="K1040" s="13">
        <f>Orders[[#This Row],[Quantity]]*Orders[[#This Row],[Cost Price]]</f>
        <v>59294.130000000005</v>
      </c>
      <c r="L1040" s="13">
        <f>Orders[[#This Row],[Revenue]]-Orders[[#This Row],[Expenses]]</f>
        <v>10463.669999999998</v>
      </c>
      <c r="M1040" t="s">
        <v>2197</v>
      </c>
      <c r="N1040" t="str">
        <f>_xlfn.XLOOKUP(Orders[[#This Row],[CustomerID]],Customers[CustomerID],Customers[CustomerName])</f>
        <v>Zainab Abubakar</v>
      </c>
      <c r="O1040" t="str">
        <f>_xlfn.XLOOKUP(Orders[[#This Row],[CustomerID]],Customers[CustomerID],Customers[City])</f>
        <v>Texas</v>
      </c>
      <c r="P1040" t="str">
        <f>_xlfn.XLOOKUP(Orders[[#This Row],[CustomerID]],Customers[CustomerID],Customers[Gender])</f>
        <v>Female</v>
      </c>
      <c r="Q1040">
        <f>_xlfn.XLOOKUP(Orders[[#This Row],[CustomerID]],Customers[CustomerID],Customers[CustomerAge])</f>
        <v>33</v>
      </c>
      <c r="R1040" t="str">
        <f>IF(Orders[[#This Row],[CustomerAge]]&gt;=35, "Older", "Young")</f>
        <v>Young</v>
      </c>
      <c r="S1040" t="str">
        <f>_xlfn.XLOOKUP(Orders[[#This Row],[ProductID]],Products[ProductID],Products[ProductName])</f>
        <v>Chess</v>
      </c>
      <c r="T1040" t="str">
        <f>_xlfn.XLOOKUP(Orders[[#This Row],[ProductID]],Products[ProductID],Products[Category])</f>
        <v>Games</v>
      </c>
    </row>
    <row r="1041" spans="1:20" x14ac:dyDescent="0.25">
      <c r="A1041" s="4" t="s">
        <v>1230</v>
      </c>
      <c r="B1041" s="5">
        <v>45971</v>
      </c>
      <c r="C1041" s="15">
        <f>WEEKNUM(Orders[[#This Row],[OrderDate]])</f>
        <v>46</v>
      </c>
      <c r="D1041" s="15" t="str">
        <f>TEXT(Orders[[#This Row],[OrderDate]],"mmmm")</f>
        <v>November</v>
      </c>
      <c r="E1041" s="4" t="s">
        <v>182</v>
      </c>
      <c r="F1041" s="4" t="s">
        <v>157</v>
      </c>
      <c r="G1041" s="4">
        <v>10</v>
      </c>
      <c r="H1041" s="12">
        <v>7440.8</v>
      </c>
      <c r="I1041" s="13">
        <v>6324.68</v>
      </c>
      <c r="J1041" s="13">
        <f>Orders[[#This Row],[Quantity]]*Orders[[#This Row],[Selling Price]]</f>
        <v>74408</v>
      </c>
      <c r="K1041" s="13">
        <f>Orders[[#This Row],[Quantity]]*Orders[[#This Row],[Cost Price]]</f>
        <v>63246.8</v>
      </c>
      <c r="L1041" s="13">
        <f>Orders[[#This Row],[Revenue]]-Orders[[#This Row],[Expenses]]</f>
        <v>11161.199999999997</v>
      </c>
      <c r="M1041" t="s">
        <v>2203</v>
      </c>
      <c r="N1041" t="str">
        <f>_xlfn.XLOOKUP(Orders[[#This Row],[CustomerID]],Customers[CustomerID],Customers[CustomerName])</f>
        <v>Abiola Okonkwo</v>
      </c>
      <c r="O1041" t="str">
        <f>_xlfn.XLOOKUP(Orders[[#This Row],[CustomerID]],Customers[CustomerID],Customers[City])</f>
        <v>Georgia</v>
      </c>
      <c r="P1041" t="str">
        <f>_xlfn.XLOOKUP(Orders[[#This Row],[CustomerID]],Customers[CustomerID],Customers[Gender])</f>
        <v>Male</v>
      </c>
      <c r="Q1041">
        <f>_xlfn.XLOOKUP(Orders[[#This Row],[CustomerID]],Customers[CustomerID],Customers[CustomerAge])</f>
        <v>39</v>
      </c>
      <c r="R1041" t="str">
        <f>IF(Orders[[#This Row],[CustomerAge]]&gt;=35, "Older", "Young")</f>
        <v>Older</v>
      </c>
      <c r="S1041" t="str">
        <f>_xlfn.XLOOKUP(Orders[[#This Row],[ProductID]],Products[ProductID],Products[ProductName])</f>
        <v>Football</v>
      </c>
      <c r="T1041" t="str">
        <f>_xlfn.XLOOKUP(Orders[[#This Row],[ProductID]],Products[ProductID],Products[Category])</f>
        <v>Sports</v>
      </c>
    </row>
    <row r="1042" spans="1:20" x14ac:dyDescent="0.25">
      <c r="A1042" s="4" t="s">
        <v>1231</v>
      </c>
      <c r="B1042" s="5">
        <v>45997</v>
      </c>
      <c r="C1042" s="15">
        <f>WEEKNUM(Orders[[#This Row],[OrderDate]])</f>
        <v>49</v>
      </c>
      <c r="D1042" s="15" t="str">
        <f>TEXT(Orders[[#This Row],[OrderDate]],"mmmm")</f>
        <v>December</v>
      </c>
      <c r="E1042" s="4" t="s">
        <v>182</v>
      </c>
      <c r="F1042" s="4" t="s">
        <v>28</v>
      </c>
      <c r="G1042" s="4">
        <v>9</v>
      </c>
      <c r="H1042" s="12">
        <v>17730.7</v>
      </c>
      <c r="I1042" s="13">
        <v>15071.095000000001</v>
      </c>
      <c r="J1042" s="13">
        <f>Orders[[#This Row],[Quantity]]*Orders[[#This Row],[Selling Price]]</f>
        <v>159576.30000000002</v>
      </c>
      <c r="K1042" s="13">
        <f>Orders[[#This Row],[Quantity]]*Orders[[#This Row],[Cost Price]]</f>
        <v>135639.85500000001</v>
      </c>
      <c r="L1042" s="13">
        <f>Orders[[#This Row],[Revenue]]-Orders[[#This Row],[Expenses]]</f>
        <v>23936.445000000007</v>
      </c>
      <c r="M1042" t="s">
        <v>2194</v>
      </c>
      <c r="N1042" t="str">
        <f>_xlfn.XLOOKUP(Orders[[#This Row],[CustomerID]],Customers[CustomerID],Customers[CustomerName])</f>
        <v>Abiola Okonkwo</v>
      </c>
      <c r="O1042" t="str">
        <f>_xlfn.XLOOKUP(Orders[[#This Row],[CustomerID]],Customers[CustomerID],Customers[City])</f>
        <v>Georgia</v>
      </c>
      <c r="P1042" t="str">
        <f>_xlfn.XLOOKUP(Orders[[#This Row],[CustomerID]],Customers[CustomerID],Customers[Gender])</f>
        <v>Male</v>
      </c>
      <c r="Q1042">
        <f>_xlfn.XLOOKUP(Orders[[#This Row],[CustomerID]],Customers[CustomerID],Customers[CustomerAge])</f>
        <v>39</v>
      </c>
      <c r="R1042" t="str">
        <f>IF(Orders[[#This Row],[CustomerAge]]&gt;=35, "Older", "Young")</f>
        <v>Older</v>
      </c>
      <c r="S1042" t="str">
        <f>_xlfn.XLOOKUP(Orders[[#This Row],[ProductID]],Products[ProductID],Products[ProductName])</f>
        <v>Sneakers</v>
      </c>
      <c r="T1042" t="str">
        <f>_xlfn.XLOOKUP(Orders[[#This Row],[ProductID]],Products[ProductID],Products[Category])</f>
        <v>Sports</v>
      </c>
    </row>
    <row r="1043" spans="1:20" x14ac:dyDescent="0.25">
      <c r="A1043" s="4" t="s">
        <v>1232</v>
      </c>
      <c r="B1043" s="5">
        <v>45981</v>
      </c>
      <c r="C1043" s="15">
        <f>WEEKNUM(Orders[[#This Row],[OrderDate]])</f>
        <v>47</v>
      </c>
      <c r="D1043" s="15" t="str">
        <f>TEXT(Orders[[#This Row],[OrderDate]],"mmmm")</f>
        <v>November</v>
      </c>
      <c r="E1043" s="4" t="s">
        <v>59</v>
      </c>
      <c r="F1043" s="4" t="s">
        <v>60</v>
      </c>
      <c r="G1043" s="4">
        <v>8</v>
      </c>
      <c r="H1043" s="12">
        <v>13024.300000000001</v>
      </c>
      <c r="I1043" s="13">
        <v>11070.655000000001</v>
      </c>
      <c r="J1043" s="13">
        <f>Orders[[#This Row],[Quantity]]*Orders[[#This Row],[Selling Price]]</f>
        <v>104194.40000000001</v>
      </c>
      <c r="K1043" s="13">
        <f>Orders[[#This Row],[Quantity]]*Orders[[#This Row],[Cost Price]]</f>
        <v>88565.24</v>
      </c>
      <c r="L1043" s="13">
        <f>Orders[[#This Row],[Revenue]]-Orders[[#This Row],[Expenses]]</f>
        <v>15629.160000000003</v>
      </c>
      <c r="M1043" t="s">
        <v>2213</v>
      </c>
      <c r="N1043" t="str">
        <f>_xlfn.XLOOKUP(Orders[[#This Row],[CustomerID]],Customers[CustomerID],Customers[CustomerName])</f>
        <v>Adanma Danladi</v>
      </c>
      <c r="O1043" t="str">
        <f>_xlfn.XLOOKUP(Orders[[#This Row],[CustomerID]],Customers[CustomerID],Customers[City])</f>
        <v>Texas</v>
      </c>
      <c r="P1043" t="str">
        <f>_xlfn.XLOOKUP(Orders[[#This Row],[CustomerID]],Customers[CustomerID],Customers[Gender])</f>
        <v>Female</v>
      </c>
      <c r="Q1043">
        <f>_xlfn.XLOOKUP(Orders[[#This Row],[CustomerID]],Customers[CustomerID],Customers[CustomerAge])</f>
        <v>24</v>
      </c>
      <c r="R1043" t="str">
        <f>IF(Orders[[#This Row],[CustomerAge]]&gt;=35, "Older", "Young")</f>
        <v>Young</v>
      </c>
      <c r="S1043" t="str">
        <f>_xlfn.XLOOKUP(Orders[[#This Row],[ProductID]],Products[ProductID],Products[ProductName])</f>
        <v>Silver Rings</v>
      </c>
      <c r="T1043" t="str">
        <f>_xlfn.XLOOKUP(Orders[[#This Row],[ProductID]],Products[ProductID],Products[Category])</f>
        <v>Accessories</v>
      </c>
    </row>
    <row r="1044" spans="1:20" x14ac:dyDescent="0.25">
      <c r="A1044" s="4" t="s">
        <v>1233</v>
      </c>
      <c r="B1044" s="5">
        <v>46000</v>
      </c>
      <c r="C1044" s="15">
        <f>WEEKNUM(Orders[[#This Row],[OrderDate]])</f>
        <v>50</v>
      </c>
      <c r="D1044" s="15" t="str">
        <f>TEXT(Orders[[#This Row],[OrderDate]],"mmmm")</f>
        <v>December</v>
      </c>
      <c r="E1044" s="4" t="s">
        <v>207</v>
      </c>
      <c r="F1044" s="4" t="s">
        <v>23</v>
      </c>
      <c r="G1044" s="4">
        <v>8</v>
      </c>
      <c r="H1044" s="12">
        <v>11944.8</v>
      </c>
      <c r="I1044" s="13">
        <v>10153.08</v>
      </c>
      <c r="J1044" s="13">
        <f>Orders[[#This Row],[Quantity]]*Orders[[#This Row],[Selling Price]]</f>
        <v>95558.399999999994</v>
      </c>
      <c r="K1044" s="13">
        <f>Orders[[#This Row],[Quantity]]*Orders[[#This Row],[Cost Price]]</f>
        <v>81224.639999999999</v>
      </c>
      <c r="L1044" s="13">
        <f>Orders[[#This Row],[Revenue]]-Orders[[#This Row],[Expenses]]</f>
        <v>14333.759999999995</v>
      </c>
      <c r="M1044" t="s">
        <v>2194</v>
      </c>
      <c r="N1044" t="str">
        <f>_xlfn.XLOOKUP(Orders[[#This Row],[CustomerID]],Customers[CustomerID],Customers[CustomerName])</f>
        <v>Bisi Eze</v>
      </c>
      <c r="O1044" t="str">
        <f>_xlfn.XLOOKUP(Orders[[#This Row],[CustomerID]],Customers[CustomerID],Customers[City])</f>
        <v>Florida</v>
      </c>
      <c r="P1044" t="str">
        <f>_xlfn.XLOOKUP(Orders[[#This Row],[CustomerID]],Customers[CustomerID],Customers[Gender])</f>
        <v>Female</v>
      </c>
      <c r="Q1044">
        <f>_xlfn.XLOOKUP(Orders[[#This Row],[CustomerID]],Customers[CustomerID],Customers[CustomerAge])</f>
        <v>37</v>
      </c>
      <c r="R1044" t="str">
        <f>IF(Orders[[#This Row],[CustomerAge]]&gt;=35, "Older", "Young")</f>
        <v>Older</v>
      </c>
      <c r="S1044" t="str">
        <f>_xlfn.XLOOKUP(Orders[[#This Row],[ProductID]],Products[ProductID],Products[ProductName])</f>
        <v>Gym Gloves</v>
      </c>
      <c r="T1044" t="str">
        <f>_xlfn.XLOOKUP(Orders[[#This Row],[ProductID]],Products[ProductID],Products[Category])</f>
        <v>Gym</v>
      </c>
    </row>
    <row r="1045" spans="1:20" x14ac:dyDescent="0.25">
      <c r="A1045" s="4" t="s">
        <v>1234</v>
      </c>
      <c r="B1045" s="5">
        <v>45958</v>
      </c>
      <c r="C1045" s="15">
        <f>WEEKNUM(Orders[[#This Row],[OrderDate]])</f>
        <v>44</v>
      </c>
      <c r="D1045" s="15" t="str">
        <f>TEXT(Orders[[#This Row],[OrderDate]],"mmmm")</f>
        <v>October</v>
      </c>
      <c r="E1045" s="4" t="s">
        <v>107</v>
      </c>
      <c r="F1045" s="4" t="s">
        <v>63</v>
      </c>
      <c r="G1045" s="4">
        <v>7</v>
      </c>
      <c r="H1045" s="12">
        <v>12080.599999999999</v>
      </c>
      <c r="I1045" s="13">
        <v>10268.509999999998</v>
      </c>
      <c r="J1045" s="13">
        <f>Orders[[#This Row],[Quantity]]*Orders[[#This Row],[Selling Price]]</f>
        <v>84564.199999999983</v>
      </c>
      <c r="K1045" s="13">
        <f>Orders[[#This Row],[Quantity]]*Orders[[#This Row],[Cost Price]]</f>
        <v>71879.569999999992</v>
      </c>
      <c r="L1045" s="13">
        <f>Orders[[#This Row],[Revenue]]-Orders[[#This Row],[Expenses]]</f>
        <v>12684.62999999999</v>
      </c>
      <c r="M1045" t="s">
        <v>2216</v>
      </c>
      <c r="N1045" t="str">
        <f>_xlfn.XLOOKUP(Orders[[#This Row],[CustomerID]],Customers[CustomerID],Customers[CustomerName])</f>
        <v>Blessing Eze</v>
      </c>
      <c r="O1045" t="str">
        <f>_xlfn.XLOOKUP(Orders[[#This Row],[CustomerID]],Customers[CustomerID],Customers[City])</f>
        <v>Texas</v>
      </c>
      <c r="P1045" t="str">
        <f>_xlfn.XLOOKUP(Orders[[#This Row],[CustomerID]],Customers[CustomerID],Customers[Gender])</f>
        <v>Female</v>
      </c>
      <c r="Q1045">
        <f>_xlfn.XLOOKUP(Orders[[#This Row],[CustomerID]],Customers[CustomerID],Customers[CustomerAge])</f>
        <v>44</v>
      </c>
      <c r="R1045" t="str">
        <f>IF(Orders[[#This Row],[CustomerAge]]&gt;=35, "Older", "Young")</f>
        <v>Older</v>
      </c>
      <c r="S1045" t="str">
        <f>_xlfn.XLOOKUP(Orders[[#This Row],[ProductID]],Products[ProductID],Products[ProductName])</f>
        <v>Tennis Bat</v>
      </c>
      <c r="T1045" t="str">
        <f>_xlfn.XLOOKUP(Orders[[#This Row],[ProductID]],Products[ProductID],Products[Category])</f>
        <v>Sports</v>
      </c>
    </row>
    <row r="1046" spans="1:20" x14ac:dyDescent="0.25">
      <c r="A1046" s="4" t="s">
        <v>1235</v>
      </c>
      <c r="B1046" s="5">
        <v>45961</v>
      </c>
      <c r="C1046" s="15">
        <f>WEEKNUM(Orders[[#This Row],[OrderDate]])</f>
        <v>44</v>
      </c>
      <c r="D1046" s="15" t="str">
        <f>TEXT(Orders[[#This Row],[OrderDate]],"mmmm")</f>
        <v>October</v>
      </c>
      <c r="E1046" s="4" t="s">
        <v>180</v>
      </c>
      <c r="F1046" s="4" t="s">
        <v>37</v>
      </c>
      <c r="G1046" s="4">
        <v>10</v>
      </c>
      <c r="H1046" s="12">
        <v>3199.1000000000004</v>
      </c>
      <c r="I1046" s="13">
        <v>2719.2350000000006</v>
      </c>
      <c r="J1046" s="13">
        <f>Orders[[#This Row],[Quantity]]*Orders[[#This Row],[Selling Price]]</f>
        <v>31991.000000000004</v>
      </c>
      <c r="K1046" s="13">
        <f>Orders[[#This Row],[Quantity]]*Orders[[#This Row],[Cost Price]]</f>
        <v>27192.350000000006</v>
      </c>
      <c r="L1046" s="13">
        <f>Orders[[#This Row],[Revenue]]-Orders[[#This Row],[Expenses]]</f>
        <v>4798.6499999999978</v>
      </c>
      <c r="M1046" t="s">
        <v>2215</v>
      </c>
      <c r="N1046" t="str">
        <f>_xlfn.XLOOKUP(Orders[[#This Row],[CustomerID]],Customers[CustomerID],Customers[CustomerName])</f>
        <v>Jide Okonkwo</v>
      </c>
      <c r="O1046" t="str">
        <f>_xlfn.XLOOKUP(Orders[[#This Row],[CustomerID]],Customers[CustomerID],Customers[City])</f>
        <v>Texas</v>
      </c>
      <c r="P1046" t="str">
        <f>_xlfn.XLOOKUP(Orders[[#This Row],[CustomerID]],Customers[CustomerID],Customers[Gender])</f>
        <v>Male</v>
      </c>
      <c r="Q1046">
        <f>_xlfn.XLOOKUP(Orders[[#This Row],[CustomerID]],Customers[CustomerID],Customers[CustomerAge])</f>
        <v>25</v>
      </c>
      <c r="R1046" t="str">
        <f>IF(Orders[[#This Row],[CustomerAge]]&gt;=35, "Older", "Young")</f>
        <v>Young</v>
      </c>
      <c r="S1046" t="str">
        <f>_xlfn.XLOOKUP(Orders[[#This Row],[ProductID]],Products[ProductID],Products[ProductName])</f>
        <v>Iron</v>
      </c>
      <c r="T1046" t="str">
        <f>_xlfn.XLOOKUP(Orders[[#This Row],[ProductID]],Products[ProductID],Products[Category])</f>
        <v>Electronics</v>
      </c>
    </row>
    <row r="1047" spans="1:20" x14ac:dyDescent="0.25">
      <c r="A1047" s="4" t="s">
        <v>1236</v>
      </c>
      <c r="B1047" s="5">
        <v>45979</v>
      </c>
      <c r="C1047" s="15">
        <f>WEEKNUM(Orders[[#This Row],[OrderDate]])</f>
        <v>47</v>
      </c>
      <c r="D1047" s="15" t="str">
        <f>TEXT(Orders[[#This Row],[OrderDate]],"mmmm")</f>
        <v>November</v>
      </c>
      <c r="E1047" s="4" t="s">
        <v>107</v>
      </c>
      <c r="F1047" s="4" t="s">
        <v>111</v>
      </c>
      <c r="G1047" s="4">
        <v>5</v>
      </c>
      <c r="H1047" s="12">
        <v>2302.6</v>
      </c>
      <c r="I1047" s="13">
        <v>1957.21</v>
      </c>
      <c r="J1047" s="13">
        <f>Orders[[#This Row],[Quantity]]*Orders[[#This Row],[Selling Price]]</f>
        <v>11513</v>
      </c>
      <c r="K1047" s="13">
        <f>Orders[[#This Row],[Quantity]]*Orders[[#This Row],[Cost Price]]</f>
        <v>9786.0499999999993</v>
      </c>
      <c r="L1047" s="13">
        <f>Orders[[#This Row],[Revenue]]-Orders[[#This Row],[Expenses]]</f>
        <v>1726.9500000000007</v>
      </c>
      <c r="M1047" t="s">
        <v>2194</v>
      </c>
      <c r="N1047" t="str">
        <f>_xlfn.XLOOKUP(Orders[[#This Row],[CustomerID]],Customers[CustomerID],Customers[CustomerName])</f>
        <v>Blessing Eze</v>
      </c>
      <c r="O1047" t="str">
        <f>_xlfn.XLOOKUP(Orders[[#This Row],[CustomerID]],Customers[CustomerID],Customers[City])</f>
        <v>Texas</v>
      </c>
      <c r="P1047" t="str">
        <f>_xlfn.XLOOKUP(Orders[[#This Row],[CustomerID]],Customers[CustomerID],Customers[Gender])</f>
        <v>Female</v>
      </c>
      <c r="Q1047">
        <f>_xlfn.XLOOKUP(Orders[[#This Row],[CustomerID]],Customers[CustomerID],Customers[CustomerAge])</f>
        <v>44</v>
      </c>
      <c r="R1047" t="str">
        <f>IF(Orders[[#This Row],[CustomerAge]]&gt;=35, "Older", "Young")</f>
        <v>Older</v>
      </c>
      <c r="S1047" t="str">
        <f>_xlfn.XLOOKUP(Orders[[#This Row],[ProductID]],Products[ProductID],Products[ProductName])</f>
        <v>Refrigerator</v>
      </c>
      <c r="T1047" t="str">
        <f>_xlfn.XLOOKUP(Orders[[#This Row],[ProductID]],Products[ProductID],Products[Category])</f>
        <v>Electronics</v>
      </c>
    </row>
    <row r="1048" spans="1:20" x14ac:dyDescent="0.25">
      <c r="A1048" s="4" t="s">
        <v>1237</v>
      </c>
      <c r="B1048" s="5">
        <v>45993</v>
      </c>
      <c r="C1048" s="15">
        <f>WEEKNUM(Orders[[#This Row],[OrderDate]])</f>
        <v>49</v>
      </c>
      <c r="D1048" s="15" t="str">
        <f>TEXT(Orders[[#This Row],[OrderDate]],"mmmm")</f>
        <v>December</v>
      </c>
      <c r="E1048" s="4" t="s">
        <v>327</v>
      </c>
      <c r="F1048" s="4" t="s">
        <v>232</v>
      </c>
      <c r="G1048" s="4">
        <v>4</v>
      </c>
      <c r="H1048" s="12">
        <v>17575.8</v>
      </c>
      <c r="I1048" s="13">
        <v>14939.43</v>
      </c>
      <c r="J1048" s="13">
        <f>Orders[[#This Row],[Quantity]]*Orders[[#This Row],[Selling Price]]</f>
        <v>70303.199999999997</v>
      </c>
      <c r="K1048" s="13">
        <f>Orders[[#This Row],[Quantity]]*Orders[[#This Row],[Cost Price]]</f>
        <v>59757.72</v>
      </c>
      <c r="L1048" s="13">
        <f>Orders[[#This Row],[Revenue]]-Orders[[#This Row],[Expenses]]</f>
        <v>10545.479999999996</v>
      </c>
      <c r="M1048" t="s">
        <v>2216</v>
      </c>
      <c r="N1048" t="str">
        <f>_xlfn.XLOOKUP(Orders[[#This Row],[CustomerID]],Customers[CustomerID],Customers[CustomerName])</f>
        <v>Folasade Ojo</v>
      </c>
      <c r="O1048" t="str">
        <f>_xlfn.XLOOKUP(Orders[[#This Row],[CustomerID]],Customers[CustomerID],Customers[City])</f>
        <v>Washington</v>
      </c>
      <c r="P1048" t="str">
        <f>_xlfn.XLOOKUP(Orders[[#This Row],[CustomerID]],Customers[CustomerID],Customers[Gender])</f>
        <v>Female</v>
      </c>
      <c r="Q1048">
        <f>_xlfn.XLOOKUP(Orders[[#This Row],[CustomerID]],Customers[CustomerID],Customers[CustomerAge])</f>
        <v>24</v>
      </c>
      <c r="R1048" t="str">
        <f>IF(Orders[[#This Row],[CustomerAge]]&gt;=35, "Older", "Young")</f>
        <v>Young</v>
      </c>
      <c r="S1048" t="str">
        <f>_xlfn.XLOOKUP(Orders[[#This Row],[ProductID]],Products[ProductID],Products[ProductName])</f>
        <v>Ankara</v>
      </c>
      <c r="T1048" t="str">
        <f>_xlfn.XLOOKUP(Orders[[#This Row],[ProductID]],Products[ProductID],Products[Category])</f>
        <v>Clothing</v>
      </c>
    </row>
    <row r="1049" spans="1:20" x14ac:dyDescent="0.25">
      <c r="A1049" s="4" t="s">
        <v>1238</v>
      </c>
      <c r="B1049" s="5">
        <v>45994</v>
      </c>
      <c r="C1049" s="15">
        <f>WEEKNUM(Orders[[#This Row],[OrderDate]])</f>
        <v>49</v>
      </c>
      <c r="D1049" s="15" t="str">
        <f>TEXT(Orders[[#This Row],[OrderDate]],"mmmm")</f>
        <v>December</v>
      </c>
      <c r="E1049" s="4" t="s">
        <v>287</v>
      </c>
      <c r="F1049" s="4" t="s">
        <v>76</v>
      </c>
      <c r="G1049" s="4">
        <v>3</v>
      </c>
      <c r="H1049" s="12">
        <v>4095.1</v>
      </c>
      <c r="I1049" s="13">
        <v>3480.835</v>
      </c>
      <c r="J1049" s="13">
        <f>Orders[[#This Row],[Quantity]]*Orders[[#This Row],[Selling Price]]</f>
        <v>12285.3</v>
      </c>
      <c r="K1049" s="13">
        <f>Orders[[#This Row],[Quantity]]*Orders[[#This Row],[Cost Price]]</f>
        <v>10442.505000000001</v>
      </c>
      <c r="L1049" s="13">
        <f>Orders[[#This Row],[Revenue]]-Orders[[#This Row],[Expenses]]</f>
        <v>1842.7949999999983</v>
      </c>
      <c r="M1049" t="s">
        <v>2199</v>
      </c>
      <c r="N1049" t="str">
        <f>_xlfn.XLOOKUP(Orders[[#This Row],[CustomerID]],Customers[CustomerID],Customers[CustomerName])</f>
        <v>Okon Obi</v>
      </c>
      <c r="O1049" t="str">
        <f>_xlfn.XLOOKUP(Orders[[#This Row],[CustomerID]],Customers[CustomerID],Customers[City])</f>
        <v>Texas</v>
      </c>
      <c r="P1049" t="str">
        <f>_xlfn.XLOOKUP(Orders[[#This Row],[CustomerID]],Customers[CustomerID],Customers[Gender])</f>
        <v>Male</v>
      </c>
      <c r="Q1049">
        <f>_xlfn.XLOOKUP(Orders[[#This Row],[CustomerID]],Customers[CustomerID],Customers[CustomerAge])</f>
        <v>55</v>
      </c>
      <c r="R1049" t="str">
        <f>IF(Orders[[#This Row],[CustomerAge]]&gt;=35, "Older", "Young")</f>
        <v>Older</v>
      </c>
      <c r="S1049" t="str">
        <f>_xlfn.XLOOKUP(Orders[[#This Row],[ProductID]],Products[ProductID],Products[ProductName])</f>
        <v>Blender</v>
      </c>
      <c r="T1049" t="str">
        <f>_xlfn.XLOOKUP(Orders[[#This Row],[ProductID]],Products[ProductID],Products[Category])</f>
        <v>Electronics</v>
      </c>
    </row>
    <row r="1050" spans="1:20" x14ac:dyDescent="0.25">
      <c r="A1050" s="4" t="s">
        <v>1239</v>
      </c>
      <c r="B1050" s="5">
        <v>46010</v>
      </c>
      <c r="C1050" s="15">
        <f>WEEKNUM(Orders[[#This Row],[OrderDate]])</f>
        <v>51</v>
      </c>
      <c r="D1050" s="15" t="str">
        <f>TEXT(Orders[[#This Row],[OrderDate]],"mmmm")</f>
        <v>December</v>
      </c>
      <c r="E1050" s="4" t="s">
        <v>216</v>
      </c>
      <c r="F1050" s="4" t="s">
        <v>9</v>
      </c>
      <c r="G1050" s="4">
        <v>7</v>
      </c>
      <c r="H1050" s="12">
        <v>13103.099999999999</v>
      </c>
      <c r="I1050" s="13">
        <v>11137.634999999998</v>
      </c>
      <c r="J1050" s="13">
        <f>Orders[[#This Row],[Quantity]]*Orders[[#This Row],[Selling Price]]</f>
        <v>91721.699999999983</v>
      </c>
      <c r="K1050" s="13">
        <f>Orders[[#This Row],[Quantity]]*Orders[[#This Row],[Cost Price]]</f>
        <v>77963.444999999992</v>
      </c>
      <c r="L1050" s="13">
        <f>Orders[[#This Row],[Revenue]]-Orders[[#This Row],[Expenses]]</f>
        <v>13758.25499999999</v>
      </c>
      <c r="M1050" t="s">
        <v>2215</v>
      </c>
      <c r="N1050" t="str">
        <f>_xlfn.XLOOKUP(Orders[[#This Row],[CustomerID]],Customers[CustomerID],Customers[CustomerName])</f>
        <v>Ngozi Obi</v>
      </c>
      <c r="O1050" t="str">
        <f>_xlfn.XLOOKUP(Orders[[#This Row],[CustomerID]],Customers[CustomerID],Customers[City])</f>
        <v>California</v>
      </c>
      <c r="P1050" t="str">
        <f>_xlfn.XLOOKUP(Orders[[#This Row],[CustomerID]],Customers[CustomerID],Customers[Gender])</f>
        <v>Female</v>
      </c>
      <c r="Q1050">
        <f>_xlfn.XLOOKUP(Orders[[#This Row],[CustomerID]],Customers[CustomerID],Customers[CustomerAge])</f>
        <v>54</v>
      </c>
      <c r="R1050" t="str">
        <f>IF(Orders[[#This Row],[CustomerAge]]&gt;=35, "Older", "Young")</f>
        <v>Older</v>
      </c>
      <c r="S1050" t="str">
        <f>_xlfn.XLOOKUP(Orders[[#This Row],[ProductID]],Products[ProductID],Products[ProductName])</f>
        <v>Beaded Earrings And Necklaces</v>
      </c>
      <c r="T1050" t="str">
        <f>_xlfn.XLOOKUP(Orders[[#This Row],[ProductID]],Products[ProductID],Products[Category])</f>
        <v>Accessories</v>
      </c>
    </row>
    <row r="1051" spans="1:20" x14ac:dyDescent="0.25">
      <c r="A1051" s="4" t="s">
        <v>1240</v>
      </c>
      <c r="B1051" s="5">
        <v>45988</v>
      </c>
      <c r="C1051" s="15">
        <f>WEEKNUM(Orders[[#This Row],[OrderDate]])</f>
        <v>48</v>
      </c>
      <c r="D1051" s="15" t="str">
        <f>TEXT(Orders[[#This Row],[OrderDate]],"mmmm")</f>
        <v>November</v>
      </c>
      <c r="E1051" s="4" t="s">
        <v>14</v>
      </c>
      <c r="F1051" s="4" t="s">
        <v>81</v>
      </c>
      <c r="G1051" s="4">
        <v>10</v>
      </c>
      <c r="H1051" s="12">
        <v>8327.9</v>
      </c>
      <c r="I1051" s="13">
        <v>7078.7150000000001</v>
      </c>
      <c r="J1051" s="13">
        <f>Orders[[#This Row],[Quantity]]*Orders[[#This Row],[Selling Price]]</f>
        <v>83279</v>
      </c>
      <c r="K1051" s="13">
        <f>Orders[[#This Row],[Quantity]]*Orders[[#This Row],[Cost Price]]</f>
        <v>70787.149999999994</v>
      </c>
      <c r="L1051" s="13">
        <f>Orders[[#This Row],[Revenue]]-Orders[[#This Row],[Expenses]]</f>
        <v>12491.850000000006</v>
      </c>
      <c r="M1051" t="s">
        <v>2205</v>
      </c>
      <c r="N1051" t="str">
        <f>_xlfn.XLOOKUP(Orders[[#This Row],[CustomerID]],Customers[CustomerID],Customers[CustomerName])</f>
        <v>Abiola Igwe</v>
      </c>
      <c r="O1051" t="str">
        <f>_xlfn.XLOOKUP(Orders[[#This Row],[CustomerID]],Customers[CustomerID],Customers[City])</f>
        <v>Texas</v>
      </c>
      <c r="P1051" t="str">
        <f>_xlfn.XLOOKUP(Orders[[#This Row],[CustomerID]],Customers[CustomerID],Customers[Gender])</f>
        <v>Male</v>
      </c>
      <c r="Q1051">
        <f>_xlfn.XLOOKUP(Orders[[#This Row],[CustomerID]],Customers[CustomerID],Customers[CustomerAge])</f>
        <v>39</v>
      </c>
      <c r="R1051" t="str">
        <f>IF(Orders[[#This Row],[CustomerAge]]&gt;=35, "Older", "Young")</f>
        <v>Older</v>
      </c>
      <c r="S1051" t="str">
        <f>_xlfn.XLOOKUP(Orders[[#This Row],[ProductID]],Products[ProductID],Products[ProductName])</f>
        <v>Trousers</v>
      </c>
      <c r="T1051" t="str">
        <f>_xlfn.XLOOKUP(Orders[[#This Row],[ProductID]],Products[ProductID],Products[Category])</f>
        <v>Clothing</v>
      </c>
    </row>
    <row r="1052" spans="1:20" x14ac:dyDescent="0.25">
      <c r="A1052" s="4" t="s">
        <v>1241</v>
      </c>
      <c r="B1052" s="5">
        <v>46009</v>
      </c>
      <c r="C1052" s="15">
        <f>WEEKNUM(Orders[[#This Row],[OrderDate]])</f>
        <v>51</v>
      </c>
      <c r="D1052" s="15" t="str">
        <f>TEXT(Orders[[#This Row],[OrderDate]],"mmmm")</f>
        <v>December</v>
      </c>
      <c r="E1052" s="4" t="s">
        <v>239</v>
      </c>
      <c r="F1052" s="4" t="s">
        <v>84</v>
      </c>
      <c r="G1052" s="4">
        <v>9</v>
      </c>
      <c r="H1052" s="12">
        <v>8305.1</v>
      </c>
      <c r="I1052" s="13">
        <v>7059.335</v>
      </c>
      <c r="J1052" s="13">
        <f>Orders[[#This Row],[Quantity]]*Orders[[#This Row],[Selling Price]]</f>
        <v>74745.900000000009</v>
      </c>
      <c r="K1052" s="13">
        <f>Orders[[#This Row],[Quantity]]*Orders[[#This Row],[Cost Price]]</f>
        <v>63534.014999999999</v>
      </c>
      <c r="L1052" s="13">
        <f>Orders[[#This Row],[Revenue]]-Orders[[#This Row],[Expenses]]</f>
        <v>11211.885000000009</v>
      </c>
      <c r="M1052" t="s">
        <v>2195</v>
      </c>
      <c r="N1052" t="str">
        <f>_xlfn.XLOOKUP(Orders[[#This Row],[CustomerID]],Customers[CustomerID],Customers[CustomerName])</f>
        <v>Emeka Danladi</v>
      </c>
      <c r="O1052" t="str">
        <f>_xlfn.XLOOKUP(Orders[[#This Row],[CustomerID]],Customers[CustomerID],Customers[City])</f>
        <v>Florida</v>
      </c>
      <c r="P1052" t="str">
        <f>_xlfn.XLOOKUP(Orders[[#This Row],[CustomerID]],Customers[CustomerID],Customers[Gender])</f>
        <v>Male</v>
      </c>
      <c r="Q1052">
        <f>_xlfn.XLOOKUP(Orders[[#This Row],[CustomerID]],Customers[CustomerID],Customers[CustomerAge])</f>
        <v>23</v>
      </c>
      <c r="R1052" t="str">
        <f>IF(Orders[[#This Row],[CustomerAge]]&gt;=35, "Older", "Young")</f>
        <v>Young</v>
      </c>
      <c r="S1052" t="str">
        <f>_xlfn.XLOOKUP(Orders[[#This Row],[ProductID]],Products[ProductID],Products[ProductName])</f>
        <v>Gym Wears</v>
      </c>
      <c r="T1052" t="str">
        <f>_xlfn.XLOOKUP(Orders[[#This Row],[ProductID]],Products[ProductID],Products[Category])</f>
        <v>Clothing</v>
      </c>
    </row>
    <row r="1053" spans="1:20" x14ac:dyDescent="0.25">
      <c r="A1053" s="4" t="s">
        <v>1242</v>
      </c>
      <c r="B1053" s="5">
        <v>45981</v>
      </c>
      <c r="C1053" s="15">
        <f>WEEKNUM(Orders[[#This Row],[OrderDate]])</f>
        <v>47</v>
      </c>
      <c r="D1053" s="15" t="str">
        <f>TEXT(Orders[[#This Row],[OrderDate]],"mmmm")</f>
        <v>November</v>
      </c>
      <c r="E1053" s="4" t="s">
        <v>264</v>
      </c>
      <c r="F1053" s="4" t="s">
        <v>353</v>
      </c>
      <c r="G1053" s="4">
        <v>3</v>
      </c>
      <c r="H1053" s="12">
        <v>5378.5</v>
      </c>
      <c r="I1053" s="13">
        <v>4571.7250000000004</v>
      </c>
      <c r="J1053" s="13">
        <f>Orders[[#This Row],[Quantity]]*Orders[[#This Row],[Selling Price]]</f>
        <v>16135.5</v>
      </c>
      <c r="K1053" s="13">
        <f>Orders[[#This Row],[Quantity]]*Orders[[#This Row],[Cost Price]]</f>
        <v>13715.175000000001</v>
      </c>
      <c r="L1053" s="13">
        <f>Orders[[#This Row],[Revenue]]-Orders[[#This Row],[Expenses]]</f>
        <v>2420.3249999999989</v>
      </c>
      <c r="M1053" t="s">
        <v>2215</v>
      </c>
      <c r="N1053" t="str">
        <f>_xlfn.XLOOKUP(Orders[[#This Row],[CustomerID]],Customers[CustomerID],Customers[CustomerName])</f>
        <v>Ronke Adeyemi</v>
      </c>
      <c r="O1053" t="str">
        <f>_xlfn.XLOOKUP(Orders[[#This Row],[CustomerID]],Customers[CustomerID],Customers[City])</f>
        <v>Georgia</v>
      </c>
      <c r="P1053" t="str">
        <f>_xlfn.XLOOKUP(Orders[[#This Row],[CustomerID]],Customers[CustomerID],Customers[Gender])</f>
        <v>Female</v>
      </c>
      <c r="Q1053">
        <f>_xlfn.XLOOKUP(Orders[[#This Row],[CustomerID]],Customers[CustomerID],Customers[CustomerAge])</f>
        <v>19</v>
      </c>
      <c r="R1053" t="str">
        <f>IF(Orders[[#This Row],[CustomerAge]]&gt;=35, "Older", "Young")</f>
        <v>Young</v>
      </c>
      <c r="S1053" t="str">
        <f>_xlfn.XLOOKUP(Orders[[#This Row],[ProductID]],Products[ProductID],Products[ProductName])</f>
        <v>Silver Earrings And Necklaces</v>
      </c>
      <c r="T1053" t="str">
        <f>_xlfn.XLOOKUP(Orders[[#This Row],[ProductID]],Products[ProductID],Products[Category])</f>
        <v>Accessories</v>
      </c>
    </row>
    <row r="1054" spans="1:20" x14ac:dyDescent="0.25">
      <c r="A1054" s="4" t="s">
        <v>1243</v>
      </c>
      <c r="B1054" s="5">
        <v>45937</v>
      </c>
      <c r="C1054" s="15">
        <f>WEEKNUM(Orders[[#This Row],[OrderDate]])</f>
        <v>41</v>
      </c>
      <c r="D1054" s="15" t="str">
        <f>TEXT(Orders[[#This Row],[OrderDate]],"mmmm")</f>
        <v>October</v>
      </c>
      <c r="E1054" s="4" t="s">
        <v>129</v>
      </c>
      <c r="F1054" s="4" t="s">
        <v>120</v>
      </c>
      <c r="G1054" s="4">
        <v>4</v>
      </c>
      <c r="H1054" s="12">
        <v>5231.3</v>
      </c>
      <c r="I1054" s="13">
        <v>4446.6050000000005</v>
      </c>
      <c r="J1054" s="13">
        <f>Orders[[#This Row],[Quantity]]*Orders[[#This Row],[Selling Price]]</f>
        <v>20925.2</v>
      </c>
      <c r="K1054" s="13">
        <f>Orders[[#This Row],[Quantity]]*Orders[[#This Row],[Cost Price]]</f>
        <v>17786.420000000002</v>
      </c>
      <c r="L1054" s="13">
        <f>Orders[[#This Row],[Revenue]]-Orders[[#This Row],[Expenses]]</f>
        <v>3138.7799999999988</v>
      </c>
      <c r="M1054" t="s">
        <v>2201</v>
      </c>
      <c r="N1054" t="str">
        <f>_xlfn.XLOOKUP(Orders[[#This Row],[CustomerID]],Customers[CustomerID],Customers[CustomerName])</f>
        <v>Chioma Ojo</v>
      </c>
      <c r="O1054" t="str">
        <f>_xlfn.XLOOKUP(Orders[[#This Row],[CustomerID]],Customers[CustomerID],Customers[City])</f>
        <v>Washington</v>
      </c>
      <c r="P1054" t="str">
        <f>_xlfn.XLOOKUP(Orders[[#This Row],[CustomerID]],Customers[CustomerID],Customers[Gender])</f>
        <v>Female</v>
      </c>
      <c r="Q1054">
        <f>_xlfn.XLOOKUP(Orders[[#This Row],[CustomerID]],Customers[CustomerID],Customers[CustomerAge])</f>
        <v>46</v>
      </c>
      <c r="R1054" t="str">
        <f>IF(Orders[[#This Row],[CustomerAge]]&gt;=35, "Older", "Young")</f>
        <v>Older</v>
      </c>
      <c r="S1054" t="str">
        <f>_xlfn.XLOOKUP(Orders[[#This Row],[ProductID]],Products[ProductID],Products[ProductName])</f>
        <v>Chess</v>
      </c>
      <c r="T1054" t="str">
        <f>_xlfn.XLOOKUP(Orders[[#This Row],[ProductID]],Products[ProductID],Products[Category])</f>
        <v>Games</v>
      </c>
    </row>
    <row r="1055" spans="1:20" x14ac:dyDescent="0.25">
      <c r="A1055" s="4" t="s">
        <v>1244</v>
      </c>
      <c r="B1055" s="5">
        <v>45985</v>
      </c>
      <c r="C1055" s="15">
        <f>WEEKNUM(Orders[[#This Row],[OrderDate]])</f>
        <v>48</v>
      </c>
      <c r="D1055" s="15" t="str">
        <f>TEXT(Orders[[#This Row],[OrderDate]],"mmmm")</f>
        <v>November</v>
      </c>
      <c r="E1055" s="4" t="s">
        <v>214</v>
      </c>
      <c r="F1055" s="4" t="s">
        <v>232</v>
      </c>
      <c r="G1055" s="4">
        <v>2</v>
      </c>
      <c r="H1055" s="12">
        <v>15465.699999999999</v>
      </c>
      <c r="I1055" s="13">
        <v>13145.844999999999</v>
      </c>
      <c r="J1055" s="13">
        <f>Orders[[#This Row],[Quantity]]*Orders[[#This Row],[Selling Price]]</f>
        <v>30931.399999999998</v>
      </c>
      <c r="K1055" s="13">
        <f>Orders[[#This Row],[Quantity]]*Orders[[#This Row],[Cost Price]]</f>
        <v>26291.69</v>
      </c>
      <c r="L1055" s="13">
        <f>Orders[[#This Row],[Revenue]]-Orders[[#This Row],[Expenses]]</f>
        <v>4639.7099999999991</v>
      </c>
      <c r="M1055" t="s">
        <v>2200</v>
      </c>
      <c r="N1055" t="str">
        <f>_xlfn.XLOOKUP(Orders[[#This Row],[CustomerID]],Customers[CustomerID],Customers[CustomerName])</f>
        <v>Adanma Okonkwo</v>
      </c>
      <c r="O1055" t="str">
        <f>_xlfn.XLOOKUP(Orders[[#This Row],[CustomerID]],Customers[CustomerID],Customers[City])</f>
        <v>California</v>
      </c>
      <c r="P1055" t="str">
        <f>_xlfn.XLOOKUP(Orders[[#This Row],[CustomerID]],Customers[CustomerID],Customers[Gender])</f>
        <v>Female</v>
      </c>
      <c r="Q1055">
        <f>_xlfn.XLOOKUP(Orders[[#This Row],[CustomerID]],Customers[CustomerID],Customers[CustomerAge])</f>
        <v>20</v>
      </c>
      <c r="R1055" t="str">
        <f>IF(Orders[[#This Row],[CustomerAge]]&gt;=35, "Older", "Young")</f>
        <v>Young</v>
      </c>
      <c r="S1055" t="str">
        <f>_xlfn.XLOOKUP(Orders[[#This Row],[ProductID]],Products[ProductID],Products[ProductName])</f>
        <v>Ankara</v>
      </c>
      <c r="T1055" t="str">
        <f>_xlfn.XLOOKUP(Orders[[#This Row],[ProductID]],Products[ProductID],Products[Category])</f>
        <v>Clothing</v>
      </c>
    </row>
    <row r="1056" spans="1:20" x14ac:dyDescent="0.25">
      <c r="A1056" s="4" t="s">
        <v>1245</v>
      </c>
      <c r="B1056" s="5">
        <v>45964</v>
      </c>
      <c r="C1056" s="15">
        <f>WEEKNUM(Orders[[#This Row],[OrderDate]])</f>
        <v>45</v>
      </c>
      <c r="D1056" s="15" t="str">
        <f>TEXT(Orders[[#This Row],[OrderDate]],"mmmm")</f>
        <v>November</v>
      </c>
      <c r="E1056" s="4" t="s">
        <v>212</v>
      </c>
      <c r="F1056" s="4" t="s">
        <v>63</v>
      </c>
      <c r="G1056" s="4">
        <v>5</v>
      </c>
      <c r="H1056" s="12">
        <v>949.5</v>
      </c>
      <c r="I1056" s="13">
        <v>807.07500000000005</v>
      </c>
      <c r="J1056" s="13">
        <f>Orders[[#This Row],[Quantity]]*Orders[[#This Row],[Selling Price]]</f>
        <v>4747.5</v>
      </c>
      <c r="K1056" s="13">
        <f>Orders[[#This Row],[Quantity]]*Orders[[#This Row],[Cost Price]]</f>
        <v>4035.375</v>
      </c>
      <c r="L1056" s="13">
        <f>Orders[[#This Row],[Revenue]]-Orders[[#This Row],[Expenses]]</f>
        <v>712.125</v>
      </c>
      <c r="M1056" t="s">
        <v>2198</v>
      </c>
      <c r="N1056" t="str">
        <f>_xlfn.XLOOKUP(Orders[[#This Row],[CustomerID]],Customers[CustomerID],Customers[CustomerName])</f>
        <v>Ngozi Ojo</v>
      </c>
      <c r="O1056" t="str">
        <f>_xlfn.XLOOKUP(Orders[[#This Row],[CustomerID]],Customers[CustomerID],Customers[City])</f>
        <v>Illinois</v>
      </c>
      <c r="P1056" t="str">
        <f>_xlfn.XLOOKUP(Orders[[#This Row],[CustomerID]],Customers[CustomerID],Customers[Gender])</f>
        <v>Female</v>
      </c>
      <c r="Q1056">
        <f>_xlfn.XLOOKUP(Orders[[#This Row],[CustomerID]],Customers[CustomerID],Customers[CustomerAge])</f>
        <v>53</v>
      </c>
      <c r="R1056" t="str">
        <f>IF(Orders[[#This Row],[CustomerAge]]&gt;=35, "Older", "Young")</f>
        <v>Older</v>
      </c>
      <c r="S1056" t="str">
        <f>_xlfn.XLOOKUP(Orders[[#This Row],[ProductID]],Products[ProductID],Products[ProductName])</f>
        <v>Tennis Bat</v>
      </c>
      <c r="T1056" t="str">
        <f>_xlfn.XLOOKUP(Orders[[#This Row],[ProductID]],Products[ProductID],Products[Category])</f>
        <v>Sports</v>
      </c>
    </row>
    <row r="1057" spans="1:20" x14ac:dyDescent="0.25">
      <c r="A1057" s="4" t="s">
        <v>1246</v>
      </c>
      <c r="B1057" s="5">
        <v>45997</v>
      </c>
      <c r="C1057" s="15">
        <f>WEEKNUM(Orders[[#This Row],[OrderDate]])</f>
        <v>49</v>
      </c>
      <c r="D1057" s="15" t="str">
        <f>TEXT(Orders[[#This Row],[OrderDate]],"mmmm")</f>
        <v>December</v>
      </c>
      <c r="E1057" s="4" t="s">
        <v>96</v>
      </c>
      <c r="F1057" s="4" t="s">
        <v>57</v>
      </c>
      <c r="G1057" s="4">
        <v>5</v>
      </c>
      <c r="H1057" s="12">
        <v>15953.3</v>
      </c>
      <c r="I1057" s="13">
        <v>13560.305</v>
      </c>
      <c r="J1057" s="13">
        <f>Orders[[#This Row],[Quantity]]*Orders[[#This Row],[Selling Price]]</f>
        <v>79766.5</v>
      </c>
      <c r="K1057" s="13">
        <f>Orders[[#This Row],[Quantity]]*Orders[[#This Row],[Cost Price]]</f>
        <v>67801.524999999994</v>
      </c>
      <c r="L1057" s="13">
        <f>Orders[[#This Row],[Revenue]]-Orders[[#This Row],[Expenses]]</f>
        <v>11964.975000000006</v>
      </c>
      <c r="M1057" t="s">
        <v>2209</v>
      </c>
      <c r="N1057" t="str">
        <f>_xlfn.XLOOKUP(Orders[[#This Row],[CustomerID]],Customers[CustomerID],Customers[CustomerName])</f>
        <v>Amina Abubakar</v>
      </c>
      <c r="O1057" t="str">
        <f>_xlfn.XLOOKUP(Orders[[#This Row],[CustomerID]],Customers[CustomerID],Customers[City])</f>
        <v>Texas</v>
      </c>
      <c r="P1057" t="str">
        <f>_xlfn.XLOOKUP(Orders[[#This Row],[CustomerID]],Customers[CustomerID],Customers[Gender])</f>
        <v>Female</v>
      </c>
      <c r="Q1057">
        <f>_xlfn.XLOOKUP(Orders[[#This Row],[CustomerID]],Customers[CustomerID],Customers[CustomerAge])</f>
        <v>35</v>
      </c>
      <c r="R1057" t="str">
        <f>IF(Orders[[#This Row],[CustomerAge]]&gt;=35, "Older", "Young")</f>
        <v>Older</v>
      </c>
      <c r="S1057" t="str">
        <f>_xlfn.XLOOKUP(Orders[[#This Row],[ProductID]],Products[ProductID],Products[ProductName])</f>
        <v>Badminton Racket</v>
      </c>
      <c r="T1057" t="str">
        <f>_xlfn.XLOOKUP(Orders[[#This Row],[ProductID]],Products[ProductID],Products[Category])</f>
        <v>Sports</v>
      </c>
    </row>
    <row r="1058" spans="1:20" x14ac:dyDescent="0.25">
      <c r="A1058" s="4" t="s">
        <v>1247</v>
      </c>
      <c r="B1058" s="5">
        <v>45940</v>
      </c>
      <c r="C1058" s="15">
        <f>WEEKNUM(Orders[[#This Row],[OrderDate]])</f>
        <v>41</v>
      </c>
      <c r="D1058" s="15" t="str">
        <f>TEXT(Orders[[#This Row],[OrderDate]],"mmmm")</f>
        <v>October</v>
      </c>
      <c r="E1058" s="4" t="s">
        <v>148</v>
      </c>
      <c r="F1058" s="4" t="s">
        <v>46</v>
      </c>
      <c r="G1058" s="4">
        <v>2</v>
      </c>
      <c r="H1058" s="12">
        <v>6260.2</v>
      </c>
      <c r="I1058" s="13">
        <v>5321.17</v>
      </c>
      <c r="J1058" s="13">
        <f>Orders[[#This Row],[Quantity]]*Orders[[#This Row],[Selling Price]]</f>
        <v>12520.4</v>
      </c>
      <c r="K1058" s="13">
        <f>Orders[[#This Row],[Quantity]]*Orders[[#This Row],[Cost Price]]</f>
        <v>10642.34</v>
      </c>
      <c r="L1058" s="13">
        <f>Orders[[#This Row],[Revenue]]-Orders[[#This Row],[Expenses]]</f>
        <v>1878.0599999999995</v>
      </c>
      <c r="M1058" t="s">
        <v>2197</v>
      </c>
      <c r="N1058" t="str">
        <f>_xlfn.XLOOKUP(Orders[[#This Row],[CustomerID]],Customers[CustomerID],Customers[CustomerName])</f>
        <v>Zainab Abubakar</v>
      </c>
      <c r="O1058" t="str">
        <f>_xlfn.XLOOKUP(Orders[[#This Row],[CustomerID]],Customers[CustomerID],Customers[City])</f>
        <v>Florida</v>
      </c>
      <c r="P1058" t="str">
        <f>_xlfn.XLOOKUP(Orders[[#This Row],[CustomerID]],Customers[CustomerID],Customers[Gender])</f>
        <v>Female</v>
      </c>
      <c r="Q1058">
        <f>_xlfn.XLOOKUP(Orders[[#This Row],[CustomerID]],Customers[CustomerID],Customers[CustomerAge])</f>
        <v>29</v>
      </c>
      <c r="R1058" t="str">
        <f>IF(Orders[[#This Row],[CustomerAge]]&gt;=35, "Older", "Young")</f>
        <v>Young</v>
      </c>
      <c r="S1058" t="str">
        <f>_xlfn.XLOOKUP(Orders[[#This Row],[ProductID]],Products[ProductID],Products[ProductName])</f>
        <v>Turtle Neck</v>
      </c>
      <c r="T1058" t="str">
        <f>_xlfn.XLOOKUP(Orders[[#This Row],[ProductID]],Products[ProductID],Products[Category])</f>
        <v>Clothing</v>
      </c>
    </row>
    <row r="1059" spans="1:20" x14ac:dyDescent="0.25">
      <c r="A1059" s="4" t="s">
        <v>1248</v>
      </c>
      <c r="B1059" s="5">
        <v>45954</v>
      </c>
      <c r="C1059" s="15">
        <f>WEEKNUM(Orders[[#This Row],[OrderDate]])</f>
        <v>43</v>
      </c>
      <c r="D1059" s="15" t="str">
        <f>TEXT(Orders[[#This Row],[OrderDate]],"mmmm")</f>
        <v>October</v>
      </c>
      <c r="E1059" s="4" t="s">
        <v>260</v>
      </c>
      <c r="F1059" s="4" t="s">
        <v>37</v>
      </c>
      <c r="G1059" s="4">
        <v>6</v>
      </c>
      <c r="H1059" s="12">
        <v>9859.6</v>
      </c>
      <c r="I1059" s="13">
        <v>8380.66</v>
      </c>
      <c r="J1059" s="13">
        <f>Orders[[#This Row],[Quantity]]*Orders[[#This Row],[Selling Price]]</f>
        <v>59157.600000000006</v>
      </c>
      <c r="K1059" s="13">
        <f>Orders[[#This Row],[Quantity]]*Orders[[#This Row],[Cost Price]]</f>
        <v>50283.96</v>
      </c>
      <c r="L1059" s="13">
        <f>Orders[[#This Row],[Revenue]]-Orders[[#This Row],[Expenses]]</f>
        <v>8873.6400000000067</v>
      </c>
      <c r="M1059" t="s">
        <v>2219</v>
      </c>
      <c r="N1059" t="str">
        <f>_xlfn.XLOOKUP(Orders[[#This Row],[CustomerID]],Customers[CustomerID],Customers[CustomerName])</f>
        <v>Amina Obi</v>
      </c>
      <c r="O1059" t="str">
        <f>_xlfn.XLOOKUP(Orders[[#This Row],[CustomerID]],Customers[CustomerID],Customers[City])</f>
        <v>Florida</v>
      </c>
      <c r="P1059" t="str">
        <f>_xlfn.XLOOKUP(Orders[[#This Row],[CustomerID]],Customers[CustomerID],Customers[Gender])</f>
        <v>Female</v>
      </c>
      <c r="Q1059">
        <f>_xlfn.XLOOKUP(Orders[[#This Row],[CustomerID]],Customers[CustomerID],Customers[CustomerAge])</f>
        <v>29</v>
      </c>
      <c r="R1059" t="str">
        <f>IF(Orders[[#This Row],[CustomerAge]]&gt;=35, "Older", "Young")</f>
        <v>Young</v>
      </c>
      <c r="S1059" t="str">
        <f>_xlfn.XLOOKUP(Orders[[#This Row],[ProductID]],Products[ProductID],Products[ProductName])</f>
        <v>Iron</v>
      </c>
      <c r="T1059" t="str">
        <f>_xlfn.XLOOKUP(Orders[[#This Row],[ProductID]],Products[ProductID],Products[Category])</f>
        <v>Electronics</v>
      </c>
    </row>
    <row r="1060" spans="1:20" x14ac:dyDescent="0.25">
      <c r="A1060" s="4" t="s">
        <v>1249</v>
      </c>
      <c r="B1060" s="5">
        <v>45951</v>
      </c>
      <c r="C1060" s="15">
        <f>WEEKNUM(Orders[[#This Row],[OrderDate]])</f>
        <v>43</v>
      </c>
      <c r="D1060" s="15" t="str">
        <f>TEXT(Orders[[#This Row],[OrderDate]],"mmmm")</f>
        <v>October</v>
      </c>
      <c r="E1060" s="4" t="s">
        <v>237</v>
      </c>
      <c r="F1060" s="4" t="s">
        <v>208</v>
      </c>
      <c r="G1060" s="4">
        <v>1</v>
      </c>
      <c r="H1060" s="12">
        <v>2498.8999999999996</v>
      </c>
      <c r="I1060" s="13">
        <v>2124.0649999999996</v>
      </c>
      <c r="J1060" s="13">
        <f>Orders[[#This Row],[Quantity]]*Orders[[#This Row],[Selling Price]]</f>
        <v>2498.8999999999996</v>
      </c>
      <c r="K1060" s="13">
        <f>Orders[[#This Row],[Quantity]]*Orders[[#This Row],[Cost Price]]</f>
        <v>2124.0649999999996</v>
      </c>
      <c r="L1060" s="13">
        <f>Orders[[#This Row],[Revenue]]-Orders[[#This Row],[Expenses]]</f>
        <v>374.83500000000004</v>
      </c>
      <c r="M1060" t="s">
        <v>2195</v>
      </c>
      <c r="N1060" t="str">
        <f>_xlfn.XLOOKUP(Orders[[#This Row],[CustomerID]],Customers[CustomerID],Customers[CustomerName])</f>
        <v>Ronke Danladi</v>
      </c>
      <c r="O1060" t="str">
        <f>_xlfn.XLOOKUP(Orders[[#This Row],[CustomerID]],Customers[CustomerID],Customers[City])</f>
        <v>Florida</v>
      </c>
      <c r="P1060" t="str">
        <f>_xlfn.XLOOKUP(Orders[[#This Row],[CustomerID]],Customers[CustomerID],Customers[Gender])</f>
        <v>Female</v>
      </c>
      <c r="Q1060">
        <f>_xlfn.XLOOKUP(Orders[[#This Row],[CustomerID]],Customers[CustomerID],Customers[CustomerAge])</f>
        <v>25</v>
      </c>
      <c r="R1060" t="str">
        <f>IF(Orders[[#This Row],[CustomerAge]]&gt;=35, "Older", "Young")</f>
        <v>Young</v>
      </c>
      <c r="S1060" t="str">
        <f>_xlfn.XLOOKUP(Orders[[#This Row],[ProductID]],Products[ProductID],Products[ProductName])</f>
        <v>Skipping Rope</v>
      </c>
      <c r="T1060" t="str">
        <f>_xlfn.XLOOKUP(Orders[[#This Row],[ProductID]],Products[ProductID],Products[Category])</f>
        <v>Sports</v>
      </c>
    </row>
    <row r="1061" spans="1:20" x14ac:dyDescent="0.25">
      <c r="A1061" s="4" t="s">
        <v>1250</v>
      </c>
      <c r="B1061" s="5">
        <v>45956</v>
      </c>
      <c r="C1061" s="15">
        <f>WEEKNUM(Orders[[#This Row],[OrderDate]])</f>
        <v>44</v>
      </c>
      <c r="D1061" s="15" t="str">
        <f>TEXT(Orders[[#This Row],[OrderDate]],"mmmm")</f>
        <v>October</v>
      </c>
      <c r="E1061" s="4" t="s">
        <v>96</v>
      </c>
      <c r="F1061" s="4" t="s">
        <v>12</v>
      </c>
      <c r="G1061" s="4">
        <v>4</v>
      </c>
      <c r="H1061" s="12">
        <v>11091.199999999999</v>
      </c>
      <c r="I1061" s="13">
        <v>9427.5199999999986</v>
      </c>
      <c r="J1061" s="13">
        <f>Orders[[#This Row],[Quantity]]*Orders[[#This Row],[Selling Price]]</f>
        <v>44364.799999999996</v>
      </c>
      <c r="K1061" s="13">
        <f>Orders[[#This Row],[Quantity]]*Orders[[#This Row],[Cost Price]]</f>
        <v>37710.079999999994</v>
      </c>
      <c r="L1061" s="13">
        <f>Orders[[#This Row],[Revenue]]-Orders[[#This Row],[Expenses]]</f>
        <v>6654.7200000000012</v>
      </c>
      <c r="M1061" t="s">
        <v>2208</v>
      </c>
      <c r="N1061" t="str">
        <f>_xlfn.XLOOKUP(Orders[[#This Row],[CustomerID]],Customers[CustomerID],Customers[CustomerName])</f>
        <v>Amina Abubakar</v>
      </c>
      <c r="O1061" t="str">
        <f>_xlfn.XLOOKUP(Orders[[#This Row],[CustomerID]],Customers[CustomerID],Customers[City])</f>
        <v>Texas</v>
      </c>
      <c r="P1061" t="str">
        <f>_xlfn.XLOOKUP(Orders[[#This Row],[CustomerID]],Customers[CustomerID],Customers[Gender])</f>
        <v>Female</v>
      </c>
      <c r="Q1061">
        <f>_xlfn.XLOOKUP(Orders[[#This Row],[CustomerID]],Customers[CustomerID],Customers[CustomerAge])</f>
        <v>35</v>
      </c>
      <c r="R1061" t="str">
        <f>IF(Orders[[#This Row],[CustomerAge]]&gt;=35, "Older", "Young")</f>
        <v>Older</v>
      </c>
      <c r="S1061" t="str">
        <f>_xlfn.XLOOKUP(Orders[[#This Row],[ProductID]],Products[ProductID],Products[ProductName])</f>
        <v>Boubou</v>
      </c>
      <c r="T1061" t="str">
        <f>_xlfn.XLOOKUP(Orders[[#This Row],[ProductID]],Products[ProductID],Products[Category])</f>
        <v>Clothing</v>
      </c>
    </row>
    <row r="1062" spans="1:20" x14ac:dyDescent="0.25">
      <c r="A1062" s="4" t="s">
        <v>1251</v>
      </c>
      <c r="B1062" s="5">
        <v>45970</v>
      </c>
      <c r="C1062" s="15">
        <f>WEEKNUM(Orders[[#This Row],[OrderDate]])</f>
        <v>46</v>
      </c>
      <c r="D1062" s="15" t="str">
        <f>TEXT(Orders[[#This Row],[OrderDate]],"mmmm")</f>
        <v>November</v>
      </c>
      <c r="E1062" s="4" t="s">
        <v>309</v>
      </c>
      <c r="F1062" s="4" t="s">
        <v>189</v>
      </c>
      <c r="G1062" s="4">
        <v>2</v>
      </c>
      <c r="H1062" s="12">
        <v>5899.2</v>
      </c>
      <c r="I1062" s="13">
        <v>5014.32</v>
      </c>
      <c r="J1062" s="13">
        <f>Orders[[#This Row],[Quantity]]*Orders[[#This Row],[Selling Price]]</f>
        <v>11798.4</v>
      </c>
      <c r="K1062" s="13">
        <f>Orders[[#This Row],[Quantity]]*Orders[[#This Row],[Cost Price]]</f>
        <v>10028.64</v>
      </c>
      <c r="L1062" s="13">
        <f>Orders[[#This Row],[Revenue]]-Orders[[#This Row],[Expenses]]</f>
        <v>1769.7600000000002</v>
      </c>
      <c r="M1062" t="s">
        <v>2211</v>
      </c>
      <c r="N1062" t="str">
        <f>_xlfn.XLOOKUP(Orders[[#This Row],[CustomerID]],Customers[CustomerID],Customers[CustomerName])</f>
        <v>Temi Ojo</v>
      </c>
      <c r="O1062" t="str">
        <f>_xlfn.XLOOKUP(Orders[[#This Row],[CustomerID]],Customers[CustomerID],Customers[City])</f>
        <v>Washington</v>
      </c>
      <c r="P1062" t="str">
        <f>_xlfn.XLOOKUP(Orders[[#This Row],[CustomerID]],Customers[CustomerID],Customers[Gender])</f>
        <v>Female</v>
      </c>
      <c r="Q1062">
        <f>_xlfn.XLOOKUP(Orders[[#This Row],[CustomerID]],Customers[CustomerID],Customers[CustomerAge])</f>
        <v>36</v>
      </c>
      <c r="R1062" t="str">
        <f>IF(Orders[[#This Row],[CustomerAge]]&gt;=35, "Older", "Young")</f>
        <v>Older</v>
      </c>
      <c r="S1062" t="str">
        <f>_xlfn.XLOOKUP(Orders[[#This Row],[ProductID]],Products[ProductID],Products[ProductName])</f>
        <v>Scrabble</v>
      </c>
      <c r="T1062" t="str">
        <f>_xlfn.XLOOKUP(Orders[[#This Row],[ProductID]],Products[ProductID],Products[Category])</f>
        <v>Games</v>
      </c>
    </row>
    <row r="1063" spans="1:20" x14ac:dyDescent="0.25">
      <c r="A1063" s="4" t="s">
        <v>1252</v>
      </c>
      <c r="B1063" s="5">
        <v>45941</v>
      </c>
      <c r="C1063" s="15">
        <f>WEEKNUM(Orders[[#This Row],[OrderDate]])</f>
        <v>41</v>
      </c>
      <c r="D1063" s="15" t="str">
        <f>TEXT(Orders[[#This Row],[OrderDate]],"mmmm")</f>
        <v>October</v>
      </c>
      <c r="E1063" s="4" t="s">
        <v>91</v>
      </c>
      <c r="F1063" s="4" t="s">
        <v>157</v>
      </c>
      <c r="G1063" s="4">
        <v>2</v>
      </c>
      <c r="H1063" s="12">
        <v>12450.4</v>
      </c>
      <c r="I1063" s="13">
        <v>10582.84</v>
      </c>
      <c r="J1063" s="13">
        <f>Orders[[#This Row],[Quantity]]*Orders[[#This Row],[Selling Price]]</f>
        <v>24900.799999999999</v>
      </c>
      <c r="K1063" s="13">
        <f>Orders[[#This Row],[Quantity]]*Orders[[#This Row],[Cost Price]]</f>
        <v>21165.68</v>
      </c>
      <c r="L1063" s="13">
        <f>Orders[[#This Row],[Revenue]]-Orders[[#This Row],[Expenses]]</f>
        <v>3735.119999999999</v>
      </c>
      <c r="M1063" t="s">
        <v>2214</v>
      </c>
      <c r="N1063" t="str">
        <f>_xlfn.XLOOKUP(Orders[[#This Row],[CustomerID]],Customers[CustomerID],Customers[CustomerName])</f>
        <v>Uche Abubakar</v>
      </c>
      <c r="O1063" t="str">
        <f>_xlfn.XLOOKUP(Orders[[#This Row],[CustomerID]],Customers[CustomerID],Customers[City])</f>
        <v>Florida</v>
      </c>
      <c r="P1063" t="str">
        <f>_xlfn.XLOOKUP(Orders[[#This Row],[CustomerID]],Customers[CustomerID],Customers[Gender])</f>
        <v>Male</v>
      </c>
      <c r="Q1063">
        <f>_xlfn.XLOOKUP(Orders[[#This Row],[CustomerID]],Customers[CustomerID],Customers[CustomerAge])</f>
        <v>28</v>
      </c>
      <c r="R1063" t="str">
        <f>IF(Orders[[#This Row],[CustomerAge]]&gt;=35, "Older", "Young")</f>
        <v>Young</v>
      </c>
      <c r="S1063" t="str">
        <f>_xlfn.XLOOKUP(Orders[[#This Row],[ProductID]],Products[ProductID],Products[ProductName])</f>
        <v>Football</v>
      </c>
      <c r="T1063" t="str">
        <f>_xlfn.XLOOKUP(Orders[[#This Row],[ProductID]],Products[ProductID],Products[Category])</f>
        <v>Sports</v>
      </c>
    </row>
    <row r="1064" spans="1:20" x14ac:dyDescent="0.25">
      <c r="A1064" s="4" t="s">
        <v>1253</v>
      </c>
      <c r="B1064" s="5">
        <v>45960</v>
      </c>
      <c r="C1064" s="15">
        <f>WEEKNUM(Orders[[#This Row],[OrderDate]])</f>
        <v>44</v>
      </c>
      <c r="D1064" s="15" t="str">
        <f>TEXT(Orders[[#This Row],[OrderDate]],"mmmm")</f>
        <v>October</v>
      </c>
      <c r="E1064" s="4" t="s">
        <v>156</v>
      </c>
      <c r="F1064" s="4" t="s">
        <v>168</v>
      </c>
      <c r="G1064" s="4">
        <v>10</v>
      </c>
      <c r="H1064" s="12">
        <v>19120.5</v>
      </c>
      <c r="I1064" s="13">
        <v>16252.424999999999</v>
      </c>
      <c r="J1064" s="13">
        <f>Orders[[#This Row],[Quantity]]*Orders[[#This Row],[Selling Price]]</f>
        <v>191205</v>
      </c>
      <c r="K1064" s="13">
        <f>Orders[[#This Row],[Quantity]]*Orders[[#This Row],[Cost Price]]</f>
        <v>162524.25</v>
      </c>
      <c r="L1064" s="13">
        <f>Orders[[#This Row],[Revenue]]-Orders[[#This Row],[Expenses]]</f>
        <v>28680.75</v>
      </c>
      <c r="M1064" t="s">
        <v>2213</v>
      </c>
      <c r="N1064" t="str">
        <f>_xlfn.XLOOKUP(Orders[[#This Row],[CustomerID]],Customers[CustomerID],Customers[CustomerName])</f>
        <v>Obi Okonkwo</v>
      </c>
      <c r="O1064" t="str">
        <f>_xlfn.XLOOKUP(Orders[[#This Row],[CustomerID]],Customers[CustomerID],Customers[City])</f>
        <v>Florida</v>
      </c>
      <c r="P1064" t="str">
        <f>_xlfn.XLOOKUP(Orders[[#This Row],[CustomerID]],Customers[CustomerID],Customers[Gender])</f>
        <v>Male</v>
      </c>
      <c r="Q1064">
        <f>_xlfn.XLOOKUP(Orders[[#This Row],[CustomerID]],Customers[CustomerID],Customers[CustomerAge])</f>
        <v>52</v>
      </c>
      <c r="R1064" t="str">
        <f>IF(Orders[[#This Row],[CustomerAge]]&gt;=35, "Older", "Young")</f>
        <v>Older</v>
      </c>
      <c r="S1064" t="str">
        <f>_xlfn.XLOOKUP(Orders[[#This Row],[ProductID]],Products[ProductID],Products[ProductName])</f>
        <v>Dumb Bells</v>
      </c>
      <c r="T1064" t="str">
        <f>_xlfn.XLOOKUP(Orders[[#This Row],[ProductID]],Products[ProductID],Products[Category])</f>
        <v>Gym</v>
      </c>
    </row>
    <row r="1065" spans="1:20" x14ac:dyDescent="0.25">
      <c r="A1065" s="4" t="s">
        <v>1254</v>
      </c>
      <c r="B1065" s="5">
        <v>46009</v>
      </c>
      <c r="C1065" s="15">
        <f>WEEKNUM(Orders[[#This Row],[OrderDate]])</f>
        <v>51</v>
      </c>
      <c r="D1065" s="15" t="str">
        <f>TEXT(Orders[[#This Row],[OrderDate]],"mmmm")</f>
        <v>December</v>
      </c>
      <c r="E1065" s="4" t="s">
        <v>264</v>
      </c>
      <c r="F1065" s="4" t="s">
        <v>60</v>
      </c>
      <c r="G1065" s="4">
        <v>10</v>
      </c>
      <c r="H1065" s="12">
        <v>5866.9000000000005</v>
      </c>
      <c r="I1065" s="13">
        <v>4986.8650000000007</v>
      </c>
      <c r="J1065" s="13">
        <f>Orders[[#This Row],[Quantity]]*Orders[[#This Row],[Selling Price]]</f>
        <v>58669.000000000007</v>
      </c>
      <c r="K1065" s="13">
        <f>Orders[[#This Row],[Quantity]]*Orders[[#This Row],[Cost Price]]</f>
        <v>49868.650000000009</v>
      </c>
      <c r="L1065" s="13">
        <f>Orders[[#This Row],[Revenue]]-Orders[[#This Row],[Expenses]]</f>
        <v>8800.3499999999985</v>
      </c>
      <c r="M1065" t="s">
        <v>2200</v>
      </c>
      <c r="N1065" t="str">
        <f>_xlfn.XLOOKUP(Orders[[#This Row],[CustomerID]],Customers[CustomerID],Customers[CustomerName])</f>
        <v>Ronke Adeyemi</v>
      </c>
      <c r="O1065" t="str">
        <f>_xlfn.XLOOKUP(Orders[[#This Row],[CustomerID]],Customers[CustomerID],Customers[City])</f>
        <v>Georgia</v>
      </c>
      <c r="P1065" t="str">
        <f>_xlfn.XLOOKUP(Orders[[#This Row],[CustomerID]],Customers[CustomerID],Customers[Gender])</f>
        <v>Female</v>
      </c>
      <c r="Q1065">
        <f>_xlfn.XLOOKUP(Orders[[#This Row],[CustomerID]],Customers[CustomerID],Customers[CustomerAge])</f>
        <v>19</v>
      </c>
      <c r="R1065" t="str">
        <f>IF(Orders[[#This Row],[CustomerAge]]&gt;=35, "Older", "Young")</f>
        <v>Young</v>
      </c>
      <c r="S1065" t="str">
        <f>_xlfn.XLOOKUP(Orders[[#This Row],[ProductID]],Products[ProductID],Products[ProductName])</f>
        <v>Silver Rings</v>
      </c>
      <c r="T1065" t="str">
        <f>_xlfn.XLOOKUP(Orders[[#This Row],[ProductID]],Products[ProductID],Products[Category])</f>
        <v>Accessories</v>
      </c>
    </row>
    <row r="1066" spans="1:20" x14ac:dyDescent="0.25">
      <c r="A1066" s="4" t="s">
        <v>1255</v>
      </c>
      <c r="B1066" s="5">
        <v>45941</v>
      </c>
      <c r="C1066" s="15">
        <f>WEEKNUM(Orders[[#This Row],[OrderDate]])</f>
        <v>41</v>
      </c>
      <c r="D1066" s="15" t="str">
        <f>TEXT(Orders[[#This Row],[OrderDate]],"mmmm")</f>
        <v>October</v>
      </c>
      <c r="E1066" s="4" t="s">
        <v>671</v>
      </c>
      <c r="F1066" s="4" t="s">
        <v>34</v>
      </c>
      <c r="G1066" s="4">
        <v>2</v>
      </c>
      <c r="H1066" s="12">
        <v>18840.7</v>
      </c>
      <c r="I1066" s="13">
        <v>16014.595000000001</v>
      </c>
      <c r="J1066" s="13">
        <f>Orders[[#This Row],[Quantity]]*Orders[[#This Row],[Selling Price]]</f>
        <v>37681.4</v>
      </c>
      <c r="K1066" s="13">
        <f>Orders[[#This Row],[Quantity]]*Orders[[#This Row],[Cost Price]]</f>
        <v>32029.190000000002</v>
      </c>
      <c r="L1066" s="13">
        <f>Orders[[#This Row],[Revenue]]-Orders[[#This Row],[Expenses]]</f>
        <v>5652.2099999999991</v>
      </c>
      <c r="M1066" t="s">
        <v>2200</v>
      </c>
      <c r="N1066" t="str">
        <f>_xlfn.XLOOKUP(Orders[[#This Row],[CustomerID]],Customers[CustomerID],Customers[CustomerName])</f>
        <v>Tunde Abubakar</v>
      </c>
      <c r="O1066" t="str">
        <f>_xlfn.XLOOKUP(Orders[[#This Row],[CustomerID]],Customers[CustomerID],Customers[City])</f>
        <v>Texas</v>
      </c>
      <c r="P1066" t="str">
        <f>_xlfn.XLOOKUP(Orders[[#This Row],[CustomerID]],Customers[CustomerID],Customers[Gender])</f>
        <v>Male</v>
      </c>
      <c r="Q1066">
        <f>_xlfn.XLOOKUP(Orders[[#This Row],[CustomerID]],Customers[CustomerID],Customers[CustomerAge])</f>
        <v>26</v>
      </c>
      <c r="R1066" t="str">
        <f>IF(Orders[[#This Row],[CustomerAge]]&gt;=35, "Older", "Young")</f>
        <v>Young</v>
      </c>
      <c r="S1066" t="str">
        <f>_xlfn.XLOOKUP(Orders[[#This Row],[ProductID]],Products[ProductID],Products[ProductName])</f>
        <v>Gold Bracelets</v>
      </c>
      <c r="T1066" t="str">
        <f>_xlfn.XLOOKUP(Orders[[#This Row],[ProductID]],Products[ProductID],Products[Category])</f>
        <v>Accessories</v>
      </c>
    </row>
    <row r="1067" spans="1:20" x14ac:dyDescent="0.25">
      <c r="A1067" s="4" t="s">
        <v>1256</v>
      </c>
      <c r="B1067" s="5">
        <v>45976</v>
      </c>
      <c r="C1067" s="15">
        <f>WEEKNUM(Orders[[#This Row],[OrderDate]])</f>
        <v>46</v>
      </c>
      <c r="D1067" s="15" t="str">
        <f>TEXT(Orders[[#This Row],[OrderDate]],"mmmm")</f>
        <v>November</v>
      </c>
      <c r="E1067" s="4" t="s">
        <v>757</v>
      </c>
      <c r="F1067" s="4" t="s">
        <v>81</v>
      </c>
      <c r="G1067" s="4">
        <v>7</v>
      </c>
      <c r="H1067" s="12">
        <v>7430.1</v>
      </c>
      <c r="I1067" s="13">
        <v>6315.585</v>
      </c>
      <c r="J1067" s="13">
        <f>Orders[[#This Row],[Quantity]]*Orders[[#This Row],[Selling Price]]</f>
        <v>52010.700000000004</v>
      </c>
      <c r="K1067" s="13">
        <f>Orders[[#This Row],[Quantity]]*Orders[[#This Row],[Cost Price]]</f>
        <v>44209.095000000001</v>
      </c>
      <c r="L1067" s="13">
        <f>Orders[[#This Row],[Revenue]]-Orders[[#This Row],[Expenses]]</f>
        <v>7801.6050000000032</v>
      </c>
      <c r="M1067" t="s">
        <v>2219</v>
      </c>
      <c r="N1067" t="str">
        <f>_xlfn.XLOOKUP(Orders[[#This Row],[CustomerID]],Customers[CustomerID],Customers[CustomerName])</f>
        <v>Okon Balogun</v>
      </c>
      <c r="O1067" t="str">
        <f>_xlfn.XLOOKUP(Orders[[#This Row],[CustomerID]],Customers[CustomerID],Customers[City])</f>
        <v>Texas</v>
      </c>
      <c r="P1067" t="str">
        <f>_xlfn.XLOOKUP(Orders[[#This Row],[CustomerID]],Customers[CustomerID],Customers[Gender])</f>
        <v>Male</v>
      </c>
      <c r="Q1067">
        <f>_xlfn.XLOOKUP(Orders[[#This Row],[CustomerID]],Customers[CustomerID],Customers[CustomerAge])</f>
        <v>20</v>
      </c>
      <c r="R1067" t="str">
        <f>IF(Orders[[#This Row],[CustomerAge]]&gt;=35, "Older", "Young")</f>
        <v>Young</v>
      </c>
      <c r="S1067" t="str">
        <f>_xlfn.XLOOKUP(Orders[[#This Row],[ProductID]],Products[ProductID],Products[ProductName])</f>
        <v>Trousers</v>
      </c>
      <c r="T1067" t="str">
        <f>_xlfn.XLOOKUP(Orders[[#This Row],[ProductID]],Products[ProductID],Products[Category])</f>
        <v>Clothing</v>
      </c>
    </row>
    <row r="1068" spans="1:20" x14ac:dyDescent="0.25">
      <c r="A1068" s="4" t="s">
        <v>1257</v>
      </c>
      <c r="B1068" s="5">
        <v>45972</v>
      </c>
      <c r="C1068" s="15">
        <f>WEEKNUM(Orders[[#This Row],[OrderDate]])</f>
        <v>46</v>
      </c>
      <c r="D1068" s="15" t="str">
        <f>TEXT(Orders[[#This Row],[OrderDate]],"mmmm")</f>
        <v>November</v>
      </c>
      <c r="E1068" s="4" t="s">
        <v>182</v>
      </c>
      <c r="F1068" s="4" t="s">
        <v>23</v>
      </c>
      <c r="G1068" s="4">
        <v>2</v>
      </c>
      <c r="H1068" s="12">
        <v>12868.199999999999</v>
      </c>
      <c r="I1068" s="13">
        <v>10937.97</v>
      </c>
      <c r="J1068" s="13">
        <f>Orders[[#This Row],[Quantity]]*Orders[[#This Row],[Selling Price]]</f>
        <v>25736.399999999998</v>
      </c>
      <c r="K1068" s="13">
        <f>Orders[[#This Row],[Quantity]]*Orders[[#This Row],[Cost Price]]</f>
        <v>21875.94</v>
      </c>
      <c r="L1068" s="13">
        <f>Orders[[#This Row],[Revenue]]-Orders[[#This Row],[Expenses]]</f>
        <v>3860.4599999999991</v>
      </c>
      <c r="M1068" t="s">
        <v>2217</v>
      </c>
      <c r="N1068" t="str">
        <f>_xlfn.XLOOKUP(Orders[[#This Row],[CustomerID]],Customers[CustomerID],Customers[CustomerName])</f>
        <v>Abiola Okonkwo</v>
      </c>
      <c r="O1068" t="str">
        <f>_xlfn.XLOOKUP(Orders[[#This Row],[CustomerID]],Customers[CustomerID],Customers[City])</f>
        <v>Georgia</v>
      </c>
      <c r="P1068" t="str">
        <f>_xlfn.XLOOKUP(Orders[[#This Row],[CustomerID]],Customers[CustomerID],Customers[Gender])</f>
        <v>Male</v>
      </c>
      <c r="Q1068">
        <f>_xlfn.XLOOKUP(Orders[[#This Row],[CustomerID]],Customers[CustomerID],Customers[CustomerAge])</f>
        <v>39</v>
      </c>
      <c r="R1068" t="str">
        <f>IF(Orders[[#This Row],[CustomerAge]]&gt;=35, "Older", "Young")</f>
        <v>Older</v>
      </c>
      <c r="S1068" t="str">
        <f>_xlfn.XLOOKUP(Orders[[#This Row],[ProductID]],Products[ProductID],Products[ProductName])</f>
        <v>Gym Gloves</v>
      </c>
      <c r="T1068" t="str">
        <f>_xlfn.XLOOKUP(Orders[[#This Row],[ProductID]],Products[ProductID],Products[Category])</f>
        <v>Gym</v>
      </c>
    </row>
    <row r="1069" spans="1:20" x14ac:dyDescent="0.25">
      <c r="A1069" s="4" t="s">
        <v>1258</v>
      </c>
      <c r="B1069" s="5">
        <v>45949</v>
      </c>
      <c r="C1069" s="15">
        <f>WEEKNUM(Orders[[#This Row],[OrderDate]])</f>
        <v>43</v>
      </c>
      <c r="D1069" s="15" t="str">
        <f>TEXT(Orders[[#This Row],[OrderDate]],"mmmm")</f>
        <v>October</v>
      </c>
      <c r="E1069" s="4" t="s">
        <v>291</v>
      </c>
      <c r="F1069" s="4" t="s">
        <v>57</v>
      </c>
      <c r="G1069" s="4">
        <v>10</v>
      </c>
      <c r="H1069" s="12">
        <v>17799.400000000001</v>
      </c>
      <c r="I1069" s="13">
        <v>15129.490000000002</v>
      </c>
      <c r="J1069" s="13">
        <f>Orders[[#This Row],[Quantity]]*Orders[[#This Row],[Selling Price]]</f>
        <v>177994</v>
      </c>
      <c r="K1069" s="13">
        <f>Orders[[#This Row],[Quantity]]*Orders[[#This Row],[Cost Price]]</f>
        <v>151294.90000000002</v>
      </c>
      <c r="L1069" s="13">
        <f>Orders[[#This Row],[Revenue]]-Orders[[#This Row],[Expenses]]</f>
        <v>26699.099999999977</v>
      </c>
      <c r="M1069" t="s">
        <v>2209</v>
      </c>
      <c r="N1069" t="str">
        <f>_xlfn.XLOOKUP(Orders[[#This Row],[CustomerID]],Customers[CustomerID],Customers[CustomerName])</f>
        <v>Okon Igwe</v>
      </c>
      <c r="O1069" t="str">
        <f>_xlfn.XLOOKUP(Orders[[#This Row],[CustomerID]],Customers[CustomerID],Customers[City])</f>
        <v>Texas</v>
      </c>
      <c r="P1069" t="str">
        <f>_xlfn.XLOOKUP(Orders[[#This Row],[CustomerID]],Customers[CustomerID],Customers[Gender])</f>
        <v>Male</v>
      </c>
      <c r="Q1069">
        <f>_xlfn.XLOOKUP(Orders[[#This Row],[CustomerID]],Customers[CustomerID],Customers[CustomerAge])</f>
        <v>33</v>
      </c>
      <c r="R1069" t="str">
        <f>IF(Orders[[#This Row],[CustomerAge]]&gt;=35, "Older", "Young")</f>
        <v>Young</v>
      </c>
      <c r="S1069" t="str">
        <f>_xlfn.XLOOKUP(Orders[[#This Row],[ProductID]],Products[ProductID],Products[ProductName])</f>
        <v>Badminton Racket</v>
      </c>
      <c r="T1069" t="str">
        <f>_xlfn.XLOOKUP(Orders[[#This Row],[ProductID]],Products[ProductID],Products[Category])</f>
        <v>Sports</v>
      </c>
    </row>
    <row r="1070" spans="1:20" x14ac:dyDescent="0.25">
      <c r="A1070" s="4" t="s">
        <v>1259</v>
      </c>
      <c r="B1070" s="5">
        <v>45965</v>
      </c>
      <c r="C1070" s="15">
        <f>WEEKNUM(Orders[[#This Row],[OrderDate]])</f>
        <v>45</v>
      </c>
      <c r="D1070" s="15" t="str">
        <f>TEXT(Orders[[#This Row],[OrderDate]],"mmmm")</f>
        <v>November</v>
      </c>
      <c r="E1070" s="4" t="s">
        <v>317</v>
      </c>
      <c r="F1070" s="4" t="s">
        <v>76</v>
      </c>
      <c r="G1070" s="4">
        <v>1</v>
      </c>
      <c r="H1070" s="12">
        <v>6555.2999999999993</v>
      </c>
      <c r="I1070" s="13">
        <v>5572.0049999999992</v>
      </c>
      <c r="J1070" s="13">
        <f>Orders[[#This Row],[Quantity]]*Orders[[#This Row],[Selling Price]]</f>
        <v>6555.2999999999993</v>
      </c>
      <c r="K1070" s="13">
        <f>Orders[[#This Row],[Quantity]]*Orders[[#This Row],[Cost Price]]</f>
        <v>5572.0049999999992</v>
      </c>
      <c r="L1070" s="13">
        <f>Orders[[#This Row],[Revenue]]-Orders[[#This Row],[Expenses]]</f>
        <v>983.29500000000007</v>
      </c>
      <c r="M1070" t="s">
        <v>2206</v>
      </c>
      <c r="N1070" t="str">
        <f>_xlfn.XLOOKUP(Orders[[#This Row],[CustomerID]],Customers[CustomerID],Customers[CustomerName])</f>
        <v>Folasade Danladi</v>
      </c>
      <c r="O1070" t="str">
        <f>_xlfn.XLOOKUP(Orders[[#This Row],[CustomerID]],Customers[CustomerID],Customers[City])</f>
        <v>Texas</v>
      </c>
      <c r="P1070" t="str">
        <f>_xlfn.XLOOKUP(Orders[[#This Row],[CustomerID]],Customers[CustomerID],Customers[Gender])</f>
        <v>Female</v>
      </c>
      <c r="Q1070">
        <f>_xlfn.XLOOKUP(Orders[[#This Row],[CustomerID]],Customers[CustomerID],Customers[CustomerAge])</f>
        <v>28</v>
      </c>
      <c r="R1070" t="str">
        <f>IF(Orders[[#This Row],[CustomerAge]]&gt;=35, "Older", "Young")</f>
        <v>Young</v>
      </c>
      <c r="S1070" t="str">
        <f>_xlfn.XLOOKUP(Orders[[#This Row],[ProductID]],Products[ProductID],Products[ProductName])</f>
        <v>Blender</v>
      </c>
      <c r="T1070" t="str">
        <f>_xlfn.XLOOKUP(Orders[[#This Row],[ProductID]],Products[ProductID],Products[Category])</f>
        <v>Electronics</v>
      </c>
    </row>
    <row r="1071" spans="1:20" x14ac:dyDescent="0.25">
      <c r="A1071" s="4" t="s">
        <v>1260</v>
      </c>
      <c r="B1071" s="5">
        <v>46009</v>
      </c>
      <c r="C1071" s="15">
        <f>WEEKNUM(Orders[[#This Row],[OrderDate]])</f>
        <v>51</v>
      </c>
      <c r="D1071" s="15" t="str">
        <f>TEXT(Orders[[#This Row],[OrderDate]],"mmmm")</f>
        <v>December</v>
      </c>
      <c r="E1071" s="4" t="s">
        <v>163</v>
      </c>
      <c r="F1071" s="4" t="s">
        <v>63</v>
      </c>
      <c r="G1071" s="4">
        <v>4</v>
      </c>
      <c r="H1071" s="12">
        <v>16183.900000000001</v>
      </c>
      <c r="I1071" s="13">
        <v>13756.315000000002</v>
      </c>
      <c r="J1071" s="13">
        <f>Orders[[#This Row],[Quantity]]*Orders[[#This Row],[Selling Price]]</f>
        <v>64735.600000000006</v>
      </c>
      <c r="K1071" s="13">
        <f>Orders[[#This Row],[Quantity]]*Orders[[#This Row],[Cost Price]]</f>
        <v>55025.260000000009</v>
      </c>
      <c r="L1071" s="13">
        <f>Orders[[#This Row],[Revenue]]-Orders[[#This Row],[Expenses]]</f>
        <v>9710.3399999999965</v>
      </c>
      <c r="M1071" t="s">
        <v>2208</v>
      </c>
      <c r="N1071" t="str">
        <f>_xlfn.XLOOKUP(Orders[[#This Row],[CustomerID]],Customers[CustomerID],Customers[CustomerName])</f>
        <v>Folasade Danladi</v>
      </c>
      <c r="O1071" t="str">
        <f>_xlfn.XLOOKUP(Orders[[#This Row],[CustomerID]],Customers[CustomerID],Customers[City])</f>
        <v>Texas</v>
      </c>
      <c r="P1071" t="str">
        <f>_xlfn.XLOOKUP(Orders[[#This Row],[CustomerID]],Customers[CustomerID],Customers[Gender])</f>
        <v>Female</v>
      </c>
      <c r="Q1071">
        <f>_xlfn.XLOOKUP(Orders[[#This Row],[CustomerID]],Customers[CustomerID],Customers[CustomerAge])</f>
        <v>32</v>
      </c>
      <c r="R1071" t="str">
        <f>IF(Orders[[#This Row],[CustomerAge]]&gt;=35, "Older", "Young")</f>
        <v>Young</v>
      </c>
      <c r="S1071" t="str">
        <f>_xlfn.XLOOKUP(Orders[[#This Row],[ProductID]],Products[ProductID],Products[ProductName])</f>
        <v>Tennis Bat</v>
      </c>
      <c r="T1071" t="str">
        <f>_xlfn.XLOOKUP(Orders[[#This Row],[ProductID]],Products[ProductID],Products[Category])</f>
        <v>Sports</v>
      </c>
    </row>
    <row r="1072" spans="1:20" x14ac:dyDescent="0.25">
      <c r="A1072" s="4" t="s">
        <v>1261</v>
      </c>
      <c r="B1072" s="5">
        <v>45974</v>
      </c>
      <c r="C1072" s="15">
        <f>WEEKNUM(Orders[[#This Row],[OrderDate]])</f>
        <v>46</v>
      </c>
      <c r="D1072" s="15" t="str">
        <f>TEXT(Orders[[#This Row],[OrderDate]],"mmmm")</f>
        <v>November</v>
      </c>
      <c r="E1072" s="4" t="s">
        <v>129</v>
      </c>
      <c r="F1072" s="4" t="s">
        <v>208</v>
      </c>
      <c r="G1072" s="4">
        <v>3</v>
      </c>
      <c r="H1072" s="12">
        <v>9736.1</v>
      </c>
      <c r="I1072" s="13">
        <v>8275.6850000000013</v>
      </c>
      <c r="J1072" s="13">
        <f>Orders[[#This Row],[Quantity]]*Orders[[#This Row],[Selling Price]]</f>
        <v>29208.300000000003</v>
      </c>
      <c r="K1072" s="13">
        <f>Orders[[#This Row],[Quantity]]*Orders[[#This Row],[Cost Price]]</f>
        <v>24827.055000000004</v>
      </c>
      <c r="L1072" s="13">
        <f>Orders[[#This Row],[Revenue]]-Orders[[#This Row],[Expenses]]</f>
        <v>4381.244999999999</v>
      </c>
      <c r="M1072" t="s">
        <v>2214</v>
      </c>
      <c r="N1072" t="str">
        <f>_xlfn.XLOOKUP(Orders[[#This Row],[CustomerID]],Customers[CustomerID],Customers[CustomerName])</f>
        <v>Chioma Ojo</v>
      </c>
      <c r="O1072" t="str">
        <f>_xlfn.XLOOKUP(Orders[[#This Row],[CustomerID]],Customers[CustomerID],Customers[City])</f>
        <v>Washington</v>
      </c>
      <c r="P1072" t="str">
        <f>_xlfn.XLOOKUP(Orders[[#This Row],[CustomerID]],Customers[CustomerID],Customers[Gender])</f>
        <v>Female</v>
      </c>
      <c r="Q1072">
        <f>_xlfn.XLOOKUP(Orders[[#This Row],[CustomerID]],Customers[CustomerID],Customers[CustomerAge])</f>
        <v>46</v>
      </c>
      <c r="R1072" t="str">
        <f>IF(Orders[[#This Row],[CustomerAge]]&gt;=35, "Older", "Young")</f>
        <v>Older</v>
      </c>
      <c r="S1072" t="str">
        <f>_xlfn.XLOOKUP(Orders[[#This Row],[ProductID]],Products[ProductID],Products[ProductName])</f>
        <v>Skipping Rope</v>
      </c>
      <c r="T1072" t="str">
        <f>_xlfn.XLOOKUP(Orders[[#This Row],[ProductID]],Products[ProductID],Products[Category])</f>
        <v>Sports</v>
      </c>
    </row>
    <row r="1073" spans="1:20" x14ac:dyDescent="0.25">
      <c r="A1073" s="4" t="s">
        <v>1262</v>
      </c>
      <c r="B1073" s="5">
        <v>46015</v>
      </c>
      <c r="C1073" s="15">
        <f>WEEKNUM(Orders[[#This Row],[OrderDate]])</f>
        <v>52</v>
      </c>
      <c r="D1073" s="15" t="str">
        <f>TEXT(Orders[[#This Row],[OrderDate]],"mmmm")</f>
        <v>December</v>
      </c>
      <c r="E1073" s="4" t="s">
        <v>138</v>
      </c>
      <c r="F1073" s="4" t="s">
        <v>70</v>
      </c>
      <c r="G1073" s="4">
        <v>4</v>
      </c>
      <c r="H1073" s="12">
        <v>6376.7999999999993</v>
      </c>
      <c r="I1073" s="13">
        <v>5420.28</v>
      </c>
      <c r="J1073" s="13">
        <f>Orders[[#This Row],[Quantity]]*Orders[[#This Row],[Selling Price]]</f>
        <v>25507.199999999997</v>
      </c>
      <c r="K1073" s="13">
        <f>Orders[[#This Row],[Quantity]]*Orders[[#This Row],[Cost Price]]</f>
        <v>21681.119999999999</v>
      </c>
      <c r="L1073" s="13">
        <f>Orders[[#This Row],[Revenue]]-Orders[[#This Row],[Expenses]]</f>
        <v>3826.0799999999981</v>
      </c>
      <c r="M1073" t="s">
        <v>2194</v>
      </c>
      <c r="N1073" t="str">
        <f>_xlfn.XLOOKUP(Orders[[#This Row],[CustomerID]],Customers[CustomerID],Customers[CustomerName])</f>
        <v>Efe Adeyemi</v>
      </c>
      <c r="O1073" t="str">
        <f>_xlfn.XLOOKUP(Orders[[#This Row],[CustomerID]],Customers[CustomerID],Customers[City])</f>
        <v>Washington</v>
      </c>
      <c r="P1073" t="str">
        <f>_xlfn.XLOOKUP(Orders[[#This Row],[CustomerID]],Customers[CustomerID],Customers[Gender])</f>
        <v>Female</v>
      </c>
      <c r="Q1073">
        <f>_xlfn.XLOOKUP(Orders[[#This Row],[CustomerID]],Customers[CustomerID],Customers[CustomerAge])</f>
        <v>22</v>
      </c>
      <c r="R1073" t="str">
        <f>IF(Orders[[#This Row],[CustomerAge]]&gt;=35, "Older", "Young")</f>
        <v>Young</v>
      </c>
      <c r="S1073" t="str">
        <f>_xlfn.XLOOKUP(Orders[[#This Row],[ProductID]],Products[ProductID],Products[ProductName])</f>
        <v>Yoga Mat</v>
      </c>
      <c r="T1073" t="str">
        <f>_xlfn.XLOOKUP(Orders[[#This Row],[ProductID]],Products[ProductID],Products[Category])</f>
        <v>Gym</v>
      </c>
    </row>
    <row r="1074" spans="1:20" x14ac:dyDescent="0.25">
      <c r="A1074" s="4" t="s">
        <v>1263</v>
      </c>
      <c r="B1074" s="5">
        <v>45996</v>
      </c>
      <c r="C1074" s="15">
        <f>WEEKNUM(Orders[[#This Row],[OrderDate]])</f>
        <v>49</v>
      </c>
      <c r="D1074" s="15" t="str">
        <f>TEXT(Orders[[#This Row],[OrderDate]],"mmmm")</f>
        <v>December</v>
      </c>
      <c r="E1074" s="4" t="s">
        <v>41</v>
      </c>
      <c r="F1074" s="4" t="s">
        <v>34</v>
      </c>
      <c r="G1074" s="4">
        <v>2</v>
      </c>
      <c r="H1074" s="12">
        <v>7373.2000000000007</v>
      </c>
      <c r="I1074" s="13">
        <v>6267.2200000000012</v>
      </c>
      <c r="J1074" s="13">
        <f>Orders[[#This Row],[Quantity]]*Orders[[#This Row],[Selling Price]]</f>
        <v>14746.400000000001</v>
      </c>
      <c r="K1074" s="13">
        <f>Orders[[#This Row],[Quantity]]*Orders[[#This Row],[Cost Price]]</f>
        <v>12534.440000000002</v>
      </c>
      <c r="L1074" s="13">
        <f>Orders[[#This Row],[Revenue]]-Orders[[#This Row],[Expenses]]</f>
        <v>2211.9599999999991</v>
      </c>
      <c r="M1074" t="s">
        <v>2194</v>
      </c>
      <c r="N1074" t="str">
        <f>_xlfn.XLOOKUP(Orders[[#This Row],[CustomerID]],Customers[CustomerID],Customers[CustomerName])</f>
        <v>Mustafa Balogun</v>
      </c>
      <c r="O1074" t="str">
        <f>_xlfn.XLOOKUP(Orders[[#This Row],[CustomerID]],Customers[CustomerID],Customers[City])</f>
        <v>Texas</v>
      </c>
      <c r="P1074" t="str">
        <f>_xlfn.XLOOKUP(Orders[[#This Row],[CustomerID]],Customers[CustomerID],Customers[Gender])</f>
        <v>Male</v>
      </c>
      <c r="Q1074">
        <f>_xlfn.XLOOKUP(Orders[[#This Row],[CustomerID]],Customers[CustomerID],Customers[CustomerAge])</f>
        <v>40</v>
      </c>
      <c r="R1074" t="str">
        <f>IF(Orders[[#This Row],[CustomerAge]]&gt;=35, "Older", "Young")</f>
        <v>Older</v>
      </c>
      <c r="S1074" t="str">
        <f>_xlfn.XLOOKUP(Orders[[#This Row],[ProductID]],Products[ProductID],Products[ProductName])</f>
        <v>Gold Bracelets</v>
      </c>
      <c r="T1074" t="str">
        <f>_xlfn.XLOOKUP(Orders[[#This Row],[ProductID]],Products[ProductID],Products[Category])</f>
        <v>Accessories</v>
      </c>
    </row>
    <row r="1075" spans="1:20" x14ac:dyDescent="0.25">
      <c r="A1075" s="4" t="s">
        <v>1264</v>
      </c>
      <c r="B1075" s="5">
        <v>45997</v>
      </c>
      <c r="C1075" s="15">
        <f>WEEKNUM(Orders[[#This Row],[OrderDate]])</f>
        <v>49</v>
      </c>
      <c r="D1075" s="15" t="str">
        <f>TEXT(Orders[[#This Row],[OrderDate]],"mmmm")</f>
        <v>December</v>
      </c>
      <c r="E1075" s="4" t="s">
        <v>138</v>
      </c>
      <c r="F1075" s="4" t="s">
        <v>31</v>
      </c>
      <c r="G1075" s="4">
        <v>3</v>
      </c>
      <c r="H1075" s="12">
        <v>10943.199999999999</v>
      </c>
      <c r="I1075" s="13">
        <v>9301.7199999999993</v>
      </c>
      <c r="J1075" s="13">
        <f>Orders[[#This Row],[Quantity]]*Orders[[#This Row],[Selling Price]]</f>
        <v>32829.599999999999</v>
      </c>
      <c r="K1075" s="13">
        <f>Orders[[#This Row],[Quantity]]*Orders[[#This Row],[Cost Price]]</f>
        <v>27905.159999999996</v>
      </c>
      <c r="L1075" s="13">
        <f>Orders[[#This Row],[Revenue]]-Orders[[#This Row],[Expenses]]</f>
        <v>4924.4400000000023</v>
      </c>
      <c r="M1075" t="s">
        <v>2196</v>
      </c>
      <c r="N1075" t="str">
        <f>_xlfn.XLOOKUP(Orders[[#This Row],[CustomerID]],Customers[CustomerID],Customers[CustomerName])</f>
        <v>Efe Adeyemi</v>
      </c>
      <c r="O1075" t="str">
        <f>_xlfn.XLOOKUP(Orders[[#This Row],[CustomerID]],Customers[CustomerID],Customers[City])</f>
        <v>Washington</v>
      </c>
      <c r="P1075" t="str">
        <f>_xlfn.XLOOKUP(Orders[[#This Row],[CustomerID]],Customers[CustomerID],Customers[Gender])</f>
        <v>Female</v>
      </c>
      <c r="Q1075">
        <f>_xlfn.XLOOKUP(Orders[[#This Row],[CustomerID]],Customers[CustomerID],Customers[CustomerAge])</f>
        <v>22</v>
      </c>
      <c r="R1075" t="str">
        <f>IF(Orders[[#This Row],[CustomerAge]]&gt;=35, "Older", "Young")</f>
        <v>Young</v>
      </c>
      <c r="S1075" t="str">
        <f>_xlfn.XLOOKUP(Orders[[#This Row],[ProductID]],Products[ProductID],Products[ProductName])</f>
        <v>Kids Games</v>
      </c>
      <c r="T1075" t="str">
        <f>_xlfn.XLOOKUP(Orders[[#This Row],[ProductID]],Products[ProductID],Products[Category])</f>
        <v>Games</v>
      </c>
    </row>
    <row r="1076" spans="1:20" x14ac:dyDescent="0.25">
      <c r="A1076" s="4" t="s">
        <v>1265</v>
      </c>
      <c r="B1076" s="5">
        <v>45952</v>
      </c>
      <c r="C1076" s="15">
        <f>WEEKNUM(Orders[[#This Row],[OrderDate]])</f>
        <v>43</v>
      </c>
      <c r="D1076" s="15" t="str">
        <f>TEXT(Orders[[#This Row],[OrderDate]],"mmmm")</f>
        <v>October</v>
      </c>
      <c r="E1076" s="4" t="s">
        <v>252</v>
      </c>
      <c r="F1076" s="4" t="s">
        <v>208</v>
      </c>
      <c r="G1076" s="4">
        <v>5</v>
      </c>
      <c r="H1076" s="12">
        <v>11149.6</v>
      </c>
      <c r="I1076" s="13">
        <v>9477.16</v>
      </c>
      <c r="J1076" s="13">
        <f>Orders[[#This Row],[Quantity]]*Orders[[#This Row],[Selling Price]]</f>
        <v>55748</v>
      </c>
      <c r="K1076" s="13">
        <f>Orders[[#This Row],[Quantity]]*Orders[[#This Row],[Cost Price]]</f>
        <v>47385.8</v>
      </c>
      <c r="L1076" s="13">
        <f>Orders[[#This Row],[Revenue]]-Orders[[#This Row],[Expenses]]</f>
        <v>8362.1999999999971</v>
      </c>
      <c r="M1076" t="s">
        <v>2200</v>
      </c>
      <c r="N1076" t="str">
        <f>_xlfn.XLOOKUP(Orders[[#This Row],[CustomerID]],Customers[CustomerID],Customers[CustomerName])</f>
        <v>Chioma Adeyemi</v>
      </c>
      <c r="O1076" t="str">
        <f>_xlfn.XLOOKUP(Orders[[#This Row],[CustomerID]],Customers[CustomerID],Customers[City])</f>
        <v>Texas</v>
      </c>
      <c r="P1076" t="str">
        <f>_xlfn.XLOOKUP(Orders[[#This Row],[CustomerID]],Customers[CustomerID],Customers[Gender])</f>
        <v>Female</v>
      </c>
      <c r="Q1076">
        <f>_xlfn.XLOOKUP(Orders[[#This Row],[CustomerID]],Customers[CustomerID],Customers[CustomerAge])</f>
        <v>20</v>
      </c>
      <c r="R1076" t="str">
        <f>IF(Orders[[#This Row],[CustomerAge]]&gt;=35, "Older", "Young")</f>
        <v>Young</v>
      </c>
      <c r="S1076" t="str">
        <f>_xlfn.XLOOKUP(Orders[[#This Row],[ProductID]],Products[ProductID],Products[ProductName])</f>
        <v>Skipping Rope</v>
      </c>
      <c r="T1076" t="str">
        <f>_xlfn.XLOOKUP(Orders[[#This Row],[ProductID]],Products[ProductID],Products[Category])</f>
        <v>Sports</v>
      </c>
    </row>
    <row r="1077" spans="1:20" x14ac:dyDescent="0.25">
      <c r="A1077" s="4" t="s">
        <v>1266</v>
      </c>
      <c r="B1077" s="5">
        <v>46014</v>
      </c>
      <c r="C1077" s="15">
        <f>WEEKNUM(Orders[[#This Row],[OrderDate]])</f>
        <v>52</v>
      </c>
      <c r="D1077" s="15" t="str">
        <f>TEXT(Orders[[#This Row],[OrderDate]],"mmmm")</f>
        <v>December</v>
      </c>
      <c r="E1077" s="4" t="s">
        <v>260</v>
      </c>
      <c r="F1077" s="4" t="s">
        <v>53</v>
      </c>
      <c r="G1077" s="4">
        <v>5</v>
      </c>
      <c r="H1077" s="12">
        <v>14710.4</v>
      </c>
      <c r="I1077" s="13">
        <v>12503.84</v>
      </c>
      <c r="J1077" s="13">
        <f>Orders[[#This Row],[Quantity]]*Orders[[#This Row],[Selling Price]]</f>
        <v>73552</v>
      </c>
      <c r="K1077" s="13">
        <f>Orders[[#This Row],[Quantity]]*Orders[[#This Row],[Cost Price]]</f>
        <v>62519.199999999997</v>
      </c>
      <c r="L1077" s="13">
        <f>Orders[[#This Row],[Revenue]]-Orders[[#This Row],[Expenses]]</f>
        <v>11032.800000000003</v>
      </c>
      <c r="M1077" t="s">
        <v>2209</v>
      </c>
      <c r="N1077" t="str">
        <f>_xlfn.XLOOKUP(Orders[[#This Row],[CustomerID]],Customers[CustomerID],Customers[CustomerName])</f>
        <v>Amina Obi</v>
      </c>
      <c r="O1077" t="str">
        <f>_xlfn.XLOOKUP(Orders[[#This Row],[CustomerID]],Customers[CustomerID],Customers[City])</f>
        <v>Florida</v>
      </c>
      <c r="P1077" t="str">
        <f>_xlfn.XLOOKUP(Orders[[#This Row],[CustomerID]],Customers[CustomerID],Customers[Gender])</f>
        <v>Female</v>
      </c>
      <c r="Q1077">
        <f>_xlfn.XLOOKUP(Orders[[#This Row],[CustomerID]],Customers[CustomerID],Customers[CustomerAge])</f>
        <v>29</v>
      </c>
      <c r="R1077" t="str">
        <f>IF(Orders[[#This Row],[CustomerAge]]&gt;=35, "Older", "Young")</f>
        <v>Young</v>
      </c>
      <c r="S1077" t="str">
        <f>_xlfn.XLOOKUP(Orders[[#This Row],[ProductID]],Products[ProductID],Products[ProductName])</f>
        <v>Silver Bangles</v>
      </c>
      <c r="T1077" t="str">
        <f>_xlfn.XLOOKUP(Orders[[#This Row],[ProductID]],Products[ProductID],Products[Category])</f>
        <v>Accessories</v>
      </c>
    </row>
    <row r="1078" spans="1:20" x14ac:dyDescent="0.25">
      <c r="A1078" s="4" t="s">
        <v>1267</v>
      </c>
      <c r="B1078" s="5">
        <v>46004</v>
      </c>
      <c r="C1078" s="15">
        <f>WEEKNUM(Orders[[#This Row],[OrderDate]])</f>
        <v>50</v>
      </c>
      <c r="D1078" s="15" t="str">
        <f>TEXT(Orders[[#This Row],[OrderDate]],"mmmm")</f>
        <v>December</v>
      </c>
      <c r="E1078" s="4" t="s">
        <v>514</v>
      </c>
      <c r="F1078" s="4" t="s">
        <v>111</v>
      </c>
      <c r="G1078" s="4">
        <v>7</v>
      </c>
      <c r="H1078" s="12">
        <v>11371.5</v>
      </c>
      <c r="I1078" s="13">
        <v>9665.7749999999996</v>
      </c>
      <c r="J1078" s="13">
        <f>Orders[[#This Row],[Quantity]]*Orders[[#This Row],[Selling Price]]</f>
        <v>79600.5</v>
      </c>
      <c r="K1078" s="13">
        <f>Orders[[#This Row],[Quantity]]*Orders[[#This Row],[Cost Price]]</f>
        <v>67660.425000000003</v>
      </c>
      <c r="L1078" s="13">
        <f>Orders[[#This Row],[Revenue]]-Orders[[#This Row],[Expenses]]</f>
        <v>11940.074999999997</v>
      </c>
      <c r="M1078" t="s">
        <v>2198</v>
      </c>
      <c r="N1078" t="str">
        <f>_xlfn.XLOOKUP(Orders[[#This Row],[CustomerID]],Customers[CustomerID],Customers[CustomerName])</f>
        <v>Ibrahim Okonkwo</v>
      </c>
      <c r="O1078" t="str">
        <f>_xlfn.XLOOKUP(Orders[[#This Row],[CustomerID]],Customers[CustomerID],Customers[City])</f>
        <v>Florida</v>
      </c>
      <c r="P1078" t="str">
        <f>_xlfn.XLOOKUP(Orders[[#This Row],[CustomerID]],Customers[CustomerID],Customers[Gender])</f>
        <v>Male</v>
      </c>
      <c r="Q1078">
        <f>_xlfn.XLOOKUP(Orders[[#This Row],[CustomerID]],Customers[CustomerID],Customers[CustomerAge])</f>
        <v>28</v>
      </c>
      <c r="R1078" t="str">
        <f>IF(Orders[[#This Row],[CustomerAge]]&gt;=35, "Older", "Young")</f>
        <v>Young</v>
      </c>
      <c r="S1078" t="str">
        <f>_xlfn.XLOOKUP(Orders[[#This Row],[ProductID]],Products[ProductID],Products[ProductName])</f>
        <v>Refrigerator</v>
      </c>
      <c r="T1078" t="str">
        <f>_xlfn.XLOOKUP(Orders[[#This Row],[ProductID]],Products[ProductID],Products[Category])</f>
        <v>Electronics</v>
      </c>
    </row>
    <row r="1079" spans="1:20" x14ac:dyDescent="0.25">
      <c r="A1079" s="4" t="s">
        <v>1268</v>
      </c>
      <c r="B1079" s="5">
        <v>46017</v>
      </c>
      <c r="C1079" s="15">
        <f>WEEKNUM(Orders[[#This Row],[OrderDate]])</f>
        <v>52</v>
      </c>
      <c r="D1079" s="15" t="str">
        <f>TEXT(Orders[[#This Row],[OrderDate]],"mmmm")</f>
        <v>December</v>
      </c>
      <c r="E1079" s="4" t="s">
        <v>142</v>
      </c>
      <c r="F1079" s="4" t="s">
        <v>120</v>
      </c>
      <c r="G1079" s="4">
        <v>10</v>
      </c>
      <c r="H1079" s="12">
        <v>19524.400000000001</v>
      </c>
      <c r="I1079" s="13">
        <v>16595.740000000002</v>
      </c>
      <c r="J1079" s="13">
        <f>Orders[[#This Row],[Quantity]]*Orders[[#This Row],[Selling Price]]</f>
        <v>195244</v>
      </c>
      <c r="K1079" s="13">
        <f>Orders[[#This Row],[Quantity]]*Orders[[#This Row],[Cost Price]]</f>
        <v>165957.40000000002</v>
      </c>
      <c r="L1079" s="13">
        <f>Orders[[#This Row],[Revenue]]-Orders[[#This Row],[Expenses]]</f>
        <v>29286.599999999977</v>
      </c>
      <c r="M1079" t="s">
        <v>2218</v>
      </c>
      <c r="N1079" t="str">
        <f>_xlfn.XLOOKUP(Orders[[#This Row],[CustomerID]],Customers[CustomerID],Customers[CustomerName])</f>
        <v>Obi Adeyemi</v>
      </c>
      <c r="O1079" t="str">
        <f>_xlfn.XLOOKUP(Orders[[#This Row],[CustomerID]],Customers[CustomerID],Customers[City])</f>
        <v>Florida</v>
      </c>
      <c r="P1079" t="str">
        <f>_xlfn.XLOOKUP(Orders[[#This Row],[CustomerID]],Customers[CustomerID],Customers[Gender])</f>
        <v>Male</v>
      </c>
      <c r="Q1079">
        <f>_xlfn.XLOOKUP(Orders[[#This Row],[CustomerID]],Customers[CustomerID],Customers[CustomerAge])</f>
        <v>31</v>
      </c>
      <c r="R1079" t="str">
        <f>IF(Orders[[#This Row],[CustomerAge]]&gt;=35, "Older", "Young")</f>
        <v>Young</v>
      </c>
      <c r="S1079" t="str">
        <f>_xlfn.XLOOKUP(Orders[[#This Row],[ProductID]],Products[ProductID],Products[ProductName])</f>
        <v>Chess</v>
      </c>
      <c r="T1079" t="str">
        <f>_xlfn.XLOOKUP(Orders[[#This Row],[ProductID]],Products[ProductID],Products[Category])</f>
        <v>Games</v>
      </c>
    </row>
    <row r="1080" spans="1:20" x14ac:dyDescent="0.25">
      <c r="A1080" s="4" t="s">
        <v>1269</v>
      </c>
      <c r="B1080" s="5">
        <v>45938</v>
      </c>
      <c r="C1080" s="15">
        <f>WEEKNUM(Orders[[#This Row],[OrderDate]])</f>
        <v>41</v>
      </c>
      <c r="D1080" s="15" t="str">
        <f>TEXT(Orders[[#This Row],[OrderDate]],"mmmm")</f>
        <v>October</v>
      </c>
      <c r="E1080" s="4" t="s">
        <v>156</v>
      </c>
      <c r="F1080" s="4" t="s">
        <v>151</v>
      </c>
      <c r="G1080" s="4">
        <v>9</v>
      </c>
      <c r="H1080" s="12">
        <v>3328.8999999999996</v>
      </c>
      <c r="I1080" s="13">
        <v>2829.5649999999996</v>
      </c>
      <c r="J1080" s="13">
        <f>Orders[[#This Row],[Quantity]]*Orders[[#This Row],[Selling Price]]</f>
        <v>29960.1</v>
      </c>
      <c r="K1080" s="13">
        <f>Orders[[#This Row],[Quantity]]*Orders[[#This Row],[Cost Price]]</f>
        <v>25466.084999999995</v>
      </c>
      <c r="L1080" s="13">
        <f>Orders[[#This Row],[Revenue]]-Orders[[#This Row],[Expenses]]</f>
        <v>4494.0150000000031</v>
      </c>
      <c r="M1080" t="s">
        <v>2193</v>
      </c>
      <c r="N1080" t="str">
        <f>_xlfn.XLOOKUP(Orders[[#This Row],[CustomerID]],Customers[CustomerID],Customers[CustomerName])</f>
        <v>Obi Okonkwo</v>
      </c>
      <c r="O1080" t="str">
        <f>_xlfn.XLOOKUP(Orders[[#This Row],[CustomerID]],Customers[CustomerID],Customers[City])</f>
        <v>Florida</v>
      </c>
      <c r="P1080" t="str">
        <f>_xlfn.XLOOKUP(Orders[[#This Row],[CustomerID]],Customers[CustomerID],Customers[Gender])</f>
        <v>Male</v>
      </c>
      <c r="Q1080">
        <f>_xlfn.XLOOKUP(Orders[[#This Row],[CustomerID]],Customers[CustomerID],Customers[CustomerAge])</f>
        <v>52</v>
      </c>
      <c r="R1080" t="str">
        <f>IF(Orders[[#This Row],[CustomerAge]]&gt;=35, "Older", "Young")</f>
        <v>Older</v>
      </c>
      <c r="S1080" t="str">
        <f>_xlfn.XLOOKUP(Orders[[#This Row],[ProductID]],Products[ProductID],Products[ProductName])</f>
        <v>Checkers</v>
      </c>
      <c r="T1080" t="str">
        <f>_xlfn.XLOOKUP(Orders[[#This Row],[ProductID]],Products[ProductID],Products[Category])</f>
        <v>Games</v>
      </c>
    </row>
    <row r="1081" spans="1:20" x14ac:dyDescent="0.25">
      <c r="A1081" s="4" t="s">
        <v>1270</v>
      </c>
      <c r="B1081" s="5">
        <v>45995</v>
      </c>
      <c r="C1081" s="15">
        <f>WEEKNUM(Orders[[#This Row],[OrderDate]])</f>
        <v>49</v>
      </c>
      <c r="D1081" s="15" t="str">
        <f>TEXT(Orders[[#This Row],[OrderDate]],"mmmm")</f>
        <v>December</v>
      </c>
      <c r="E1081" s="4" t="s">
        <v>216</v>
      </c>
      <c r="F1081" s="4" t="s">
        <v>31</v>
      </c>
      <c r="G1081" s="4">
        <v>9</v>
      </c>
      <c r="H1081" s="12">
        <v>4831.7</v>
      </c>
      <c r="I1081" s="13">
        <v>4106.9449999999997</v>
      </c>
      <c r="J1081" s="13">
        <f>Orders[[#This Row],[Quantity]]*Orders[[#This Row],[Selling Price]]</f>
        <v>43485.299999999996</v>
      </c>
      <c r="K1081" s="13">
        <f>Orders[[#This Row],[Quantity]]*Orders[[#This Row],[Cost Price]]</f>
        <v>36962.504999999997</v>
      </c>
      <c r="L1081" s="13">
        <f>Orders[[#This Row],[Revenue]]-Orders[[#This Row],[Expenses]]</f>
        <v>6522.7949999999983</v>
      </c>
      <c r="M1081" t="s">
        <v>2197</v>
      </c>
      <c r="N1081" t="str">
        <f>_xlfn.XLOOKUP(Orders[[#This Row],[CustomerID]],Customers[CustomerID],Customers[CustomerName])</f>
        <v>Ngozi Obi</v>
      </c>
      <c r="O1081" t="str">
        <f>_xlfn.XLOOKUP(Orders[[#This Row],[CustomerID]],Customers[CustomerID],Customers[City])</f>
        <v>California</v>
      </c>
      <c r="P1081" t="str">
        <f>_xlfn.XLOOKUP(Orders[[#This Row],[CustomerID]],Customers[CustomerID],Customers[Gender])</f>
        <v>Female</v>
      </c>
      <c r="Q1081">
        <f>_xlfn.XLOOKUP(Orders[[#This Row],[CustomerID]],Customers[CustomerID],Customers[CustomerAge])</f>
        <v>54</v>
      </c>
      <c r="R1081" t="str">
        <f>IF(Orders[[#This Row],[CustomerAge]]&gt;=35, "Older", "Young")</f>
        <v>Older</v>
      </c>
      <c r="S1081" t="str">
        <f>_xlfn.XLOOKUP(Orders[[#This Row],[ProductID]],Products[ProductID],Products[ProductName])</f>
        <v>Kids Games</v>
      </c>
      <c r="T1081" t="str">
        <f>_xlfn.XLOOKUP(Orders[[#This Row],[ProductID]],Products[ProductID],Products[Category])</f>
        <v>Games</v>
      </c>
    </row>
    <row r="1082" spans="1:20" x14ac:dyDescent="0.25">
      <c r="A1082" s="4" t="s">
        <v>1271</v>
      </c>
      <c r="B1082" s="5">
        <v>45966</v>
      </c>
      <c r="C1082" s="15">
        <f>WEEKNUM(Orders[[#This Row],[OrderDate]])</f>
        <v>45</v>
      </c>
      <c r="D1082" s="15" t="str">
        <f>TEXT(Orders[[#This Row],[OrderDate]],"mmmm")</f>
        <v>November</v>
      </c>
      <c r="E1082" s="4" t="s">
        <v>546</v>
      </c>
      <c r="F1082" s="4" t="s">
        <v>12</v>
      </c>
      <c r="G1082" s="4">
        <v>6</v>
      </c>
      <c r="H1082" s="12">
        <v>15013.599999999999</v>
      </c>
      <c r="I1082" s="13">
        <v>12761.56</v>
      </c>
      <c r="J1082" s="13">
        <f>Orders[[#This Row],[Quantity]]*Orders[[#This Row],[Selling Price]]</f>
        <v>90081.599999999991</v>
      </c>
      <c r="K1082" s="13">
        <f>Orders[[#This Row],[Quantity]]*Orders[[#This Row],[Cost Price]]</f>
        <v>76569.36</v>
      </c>
      <c r="L1082" s="13">
        <f>Orders[[#This Row],[Revenue]]-Orders[[#This Row],[Expenses]]</f>
        <v>13512.239999999991</v>
      </c>
      <c r="M1082" t="s">
        <v>2210</v>
      </c>
      <c r="N1082" t="str">
        <f>_xlfn.XLOOKUP(Orders[[#This Row],[CustomerID]],Customers[CustomerID],Customers[CustomerName])</f>
        <v>Bisi Eze</v>
      </c>
      <c r="O1082" t="str">
        <f>_xlfn.XLOOKUP(Orders[[#This Row],[CustomerID]],Customers[CustomerID],Customers[City])</f>
        <v>Texas</v>
      </c>
      <c r="P1082" t="str">
        <f>_xlfn.XLOOKUP(Orders[[#This Row],[CustomerID]],Customers[CustomerID],Customers[Gender])</f>
        <v>Female</v>
      </c>
      <c r="Q1082">
        <f>_xlfn.XLOOKUP(Orders[[#This Row],[CustomerID]],Customers[CustomerID],Customers[CustomerAge])</f>
        <v>32</v>
      </c>
      <c r="R1082" t="str">
        <f>IF(Orders[[#This Row],[CustomerAge]]&gt;=35, "Older", "Young")</f>
        <v>Young</v>
      </c>
      <c r="S1082" t="str">
        <f>_xlfn.XLOOKUP(Orders[[#This Row],[ProductID]],Products[ProductID],Products[ProductName])</f>
        <v>Boubou</v>
      </c>
      <c r="T1082" t="str">
        <f>_xlfn.XLOOKUP(Orders[[#This Row],[ProductID]],Products[ProductID],Products[Category])</f>
        <v>Clothing</v>
      </c>
    </row>
    <row r="1083" spans="1:20" x14ac:dyDescent="0.25">
      <c r="A1083" s="4" t="s">
        <v>1272</v>
      </c>
      <c r="B1083" s="5">
        <v>46002</v>
      </c>
      <c r="C1083" s="15">
        <f>WEEKNUM(Orders[[#This Row],[OrderDate]])</f>
        <v>50</v>
      </c>
      <c r="D1083" s="15" t="str">
        <f>TEXT(Orders[[#This Row],[OrderDate]],"mmmm")</f>
        <v>December</v>
      </c>
      <c r="E1083" s="4" t="s">
        <v>55</v>
      </c>
      <c r="F1083" s="4" t="s">
        <v>31</v>
      </c>
      <c r="G1083" s="4">
        <v>1</v>
      </c>
      <c r="H1083" s="12">
        <v>18262.099999999999</v>
      </c>
      <c r="I1083" s="13">
        <v>15522.785</v>
      </c>
      <c r="J1083" s="13">
        <f>Orders[[#This Row],[Quantity]]*Orders[[#This Row],[Selling Price]]</f>
        <v>18262.099999999999</v>
      </c>
      <c r="K1083" s="13">
        <f>Orders[[#This Row],[Quantity]]*Orders[[#This Row],[Cost Price]]</f>
        <v>15522.785</v>
      </c>
      <c r="L1083" s="13">
        <f>Orders[[#This Row],[Revenue]]-Orders[[#This Row],[Expenses]]</f>
        <v>2739.3149999999987</v>
      </c>
      <c r="M1083" t="s">
        <v>2211</v>
      </c>
      <c r="N1083" t="str">
        <f>_xlfn.XLOOKUP(Orders[[#This Row],[CustomerID]],Customers[CustomerID],Customers[CustomerName])</f>
        <v>Adanma Ojo</v>
      </c>
      <c r="O1083" t="str">
        <f>_xlfn.XLOOKUP(Orders[[#This Row],[CustomerID]],Customers[CustomerID],Customers[City])</f>
        <v>California</v>
      </c>
      <c r="P1083" t="str">
        <f>_xlfn.XLOOKUP(Orders[[#This Row],[CustomerID]],Customers[CustomerID],Customers[Gender])</f>
        <v>Female</v>
      </c>
      <c r="Q1083">
        <f>_xlfn.XLOOKUP(Orders[[#This Row],[CustomerID]],Customers[CustomerID],Customers[CustomerAge])</f>
        <v>48</v>
      </c>
      <c r="R1083" t="str">
        <f>IF(Orders[[#This Row],[CustomerAge]]&gt;=35, "Older", "Young")</f>
        <v>Older</v>
      </c>
      <c r="S1083" t="str">
        <f>_xlfn.XLOOKUP(Orders[[#This Row],[ProductID]],Products[ProductID],Products[ProductName])</f>
        <v>Kids Games</v>
      </c>
      <c r="T1083" t="str">
        <f>_xlfn.XLOOKUP(Orders[[#This Row],[ProductID]],Products[ProductID],Products[Category])</f>
        <v>Games</v>
      </c>
    </row>
    <row r="1084" spans="1:20" x14ac:dyDescent="0.25">
      <c r="A1084" s="4" t="s">
        <v>1273</v>
      </c>
      <c r="B1084" s="5">
        <v>45953</v>
      </c>
      <c r="C1084" s="15">
        <f>WEEKNUM(Orders[[#This Row],[OrderDate]])</f>
        <v>43</v>
      </c>
      <c r="D1084" s="15" t="str">
        <f>TEXT(Orders[[#This Row],[OrderDate]],"mmmm")</f>
        <v>October</v>
      </c>
      <c r="E1084" s="4" t="s">
        <v>218</v>
      </c>
      <c r="F1084" s="4" t="s">
        <v>12</v>
      </c>
      <c r="G1084" s="4">
        <v>3</v>
      </c>
      <c r="H1084" s="12">
        <v>1305.0999999999999</v>
      </c>
      <c r="I1084" s="13">
        <v>1109.335</v>
      </c>
      <c r="J1084" s="13">
        <f>Orders[[#This Row],[Quantity]]*Orders[[#This Row],[Selling Price]]</f>
        <v>3915.2999999999997</v>
      </c>
      <c r="K1084" s="13">
        <f>Orders[[#This Row],[Quantity]]*Orders[[#This Row],[Cost Price]]</f>
        <v>3328.0050000000001</v>
      </c>
      <c r="L1084" s="13">
        <f>Orders[[#This Row],[Revenue]]-Orders[[#This Row],[Expenses]]</f>
        <v>587.29499999999962</v>
      </c>
      <c r="M1084" t="s">
        <v>2200</v>
      </c>
      <c r="N1084" t="str">
        <f>_xlfn.XLOOKUP(Orders[[#This Row],[CustomerID]],Customers[CustomerID],Customers[CustomerName])</f>
        <v>Temi Danladi</v>
      </c>
      <c r="O1084" t="str">
        <f>_xlfn.XLOOKUP(Orders[[#This Row],[CustomerID]],Customers[CustomerID],Customers[City])</f>
        <v>Florida</v>
      </c>
      <c r="P1084" t="str">
        <f>_xlfn.XLOOKUP(Orders[[#This Row],[CustomerID]],Customers[CustomerID],Customers[Gender])</f>
        <v>Female</v>
      </c>
      <c r="Q1084">
        <f>_xlfn.XLOOKUP(Orders[[#This Row],[CustomerID]],Customers[CustomerID],Customers[CustomerAge])</f>
        <v>48</v>
      </c>
      <c r="R1084" t="str">
        <f>IF(Orders[[#This Row],[CustomerAge]]&gt;=35, "Older", "Young")</f>
        <v>Older</v>
      </c>
      <c r="S1084" t="str">
        <f>_xlfn.XLOOKUP(Orders[[#This Row],[ProductID]],Products[ProductID],Products[ProductName])</f>
        <v>Boubou</v>
      </c>
      <c r="T1084" t="str">
        <f>_xlfn.XLOOKUP(Orders[[#This Row],[ProductID]],Products[ProductID],Products[Category])</f>
        <v>Clothing</v>
      </c>
    </row>
    <row r="1085" spans="1:20" x14ac:dyDescent="0.25">
      <c r="A1085" s="4" t="s">
        <v>1274</v>
      </c>
      <c r="B1085" s="5">
        <v>45962</v>
      </c>
      <c r="C1085" s="15">
        <f>WEEKNUM(Orders[[#This Row],[OrderDate]])</f>
        <v>44</v>
      </c>
      <c r="D1085" s="15" t="str">
        <f>TEXT(Orders[[#This Row],[OrderDate]],"mmmm")</f>
        <v>November</v>
      </c>
      <c r="E1085" s="4" t="s">
        <v>214</v>
      </c>
      <c r="F1085" s="4" t="s">
        <v>46</v>
      </c>
      <c r="G1085" s="4">
        <v>5</v>
      </c>
      <c r="H1085" s="12">
        <v>11724</v>
      </c>
      <c r="I1085" s="13">
        <v>9965.4</v>
      </c>
      <c r="J1085" s="13">
        <f>Orders[[#This Row],[Quantity]]*Orders[[#This Row],[Selling Price]]</f>
        <v>58620</v>
      </c>
      <c r="K1085" s="13">
        <f>Orders[[#This Row],[Quantity]]*Orders[[#This Row],[Cost Price]]</f>
        <v>49827</v>
      </c>
      <c r="L1085" s="13">
        <f>Orders[[#This Row],[Revenue]]-Orders[[#This Row],[Expenses]]</f>
        <v>8793</v>
      </c>
      <c r="M1085" t="s">
        <v>2204</v>
      </c>
      <c r="N1085" t="str">
        <f>_xlfn.XLOOKUP(Orders[[#This Row],[CustomerID]],Customers[CustomerID],Customers[CustomerName])</f>
        <v>Adanma Okonkwo</v>
      </c>
      <c r="O1085" t="str">
        <f>_xlfn.XLOOKUP(Orders[[#This Row],[CustomerID]],Customers[CustomerID],Customers[City])</f>
        <v>California</v>
      </c>
      <c r="P1085" t="str">
        <f>_xlfn.XLOOKUP(Orders[[#This Row],[CustomerID]],Customers[CustomerID],Customers[Gender])</f>
        <v>Female</v>
      </c>
      <c r="Q1085">
        <f>_xlfn.XLOOKUP(Orders[[#This Row],[CustomerID]],Customers[CustomerID],Customers[CustomerAge])</f>
        <v>20</v>
      </c>
      <c r="R1085" t="str">
        <f>IF(Orders[[#This Row],[CustomerAge]]&gt;=35, "Older", "Young")</f>
        <v>Young</v>
      </c>
      <c r="S1085" t="str">
        <f>_xlfn.XLOOKUP(Orders[[#This Row],[ProductID]],Products[ProductID],Products[ProductName])</f>
        <v>Turtle Neck</v>
      </c>
      <c r="T1085" t="str">
        <f>_xlfn.XLOOKUP(Orders[[#This Row],[ProductID]],Products[ProductID],Products[Category])</f>
        <v>Clothing</v>
      </c>
    </row>
    <row r="1086" spans="1:20" x14ac:dyDescent="0.25">
      <c r="A1086" s="4" t="s">
        <v>1275</v>
      </c>
      <c r="B1086" s="5">
        <v>45943</v>
      </c>
      <c r="C1086" s="15">
        <f>WEEKNUM(Orders[[#This Row],[OrderDate]])</f>
        <v>42</v>
      </c>
      <c r="D1086" s="15" t="str">
        <f>TEXT(Orders[[#This Row],[OrderDate]],"mmmm")</f>
        <v>October</v>
      </c>
      <c r="E1086" s="4" t="s">
        <v>940</v>
      </c>
      <c r="F1086" s="4" t="s">
        <v>23</v>
      </c>
      <c r="G1086" s="4">
        <v>1</v>
      </c>
      <c r="H1086" s="12">
        <v>16842.2</v>
      </c>
      <c r="I1086" s="13">
        <v>14315.87</v>
      </c>
      <c r="J1086" s="13">
        <f>Orders[[#This Row],[Quantity]]*Orders[[#This Row],[Selling Price]]</f>
        <v>16842.2</v>
      </c>
      <c r="K1086" s="13">
        <f>Orders[[#This Row],[Quantity]]*Orders[[#This Row],[Cost Price]]</f>
        <v>14315.87</v>
      </c>
      <c r="L1086" s="13">
        <f>Orders[[#This Row],[Revenue]]-Orders[[#This Row],[Expenses]]</f>
        <v>2526.33</v>
      </c>
      <c r="M1086" t="s">
        <v>2200</v>
      </c>
      <c r="N1086" t="str">
        <f>_xlfn.XLOOKUP(Orders[[#This Row],[CustomerID]],Customers[CustomerID],Customers[CustomerName])</f>
        <v>Okon Ojo</v>
      </c>
      <c r="O1086" t="str">
        <f>_xlfn.XLOOKUP(Orders[[#This Row],[CustomerID]],Customers[CustomerID],Customers[City])</f>
        <v>Texas</v>
      </c>
      <c r="P1086" t="str">
        <f>_xlfn.XLOOKUP(Orders[[#This Row],[CustomerID]],Customers[CustomerID],Customers[Gender])</f>
        <v>Male</v>
      </c>
      <c r="Q1086">
        <f>_xlfn.XLOOKUP(Orders[[#This Row],[CustomerID]],Customers[CustomerID],Customers[CustomerAge])</f>
        <v>25</v>
      </c>
      <c r="R1086" t="str">
        <f>IF(Orders[[#This Row],[CustomerAge]]&gt;=35, "Older", "Young")</f>
        <v>Young</v>
      </c>
      <c r="S1086" t="str">
        <f>_xlfn.XLOOKUP(Orders[[#This Row],[ProductID]],Products[ProductID],Products[ProductName])</f>
        <v>Gym Gloves</v>
      </c>
      <c r="T1086" t="str">
        <f>_xlfn.XLOOKUP(Orders[[#This Row],[ProductID]],Products[ProductID],Products[Category])</f>
        <v>Gym</v>
      </c>
    </row>
    <row r="1087" spans="1:20" x14ac:dyDescent="0.25">
      <c r="A1087" s="4" t="s">
        <v>1276</v>
      </c>
      <c r="B1087" s="5">
        <v>45994</v>
      </c>
      <c r="C1087" s="15">
        <f>WEEKNUM(Orders[[#This Row],[OrderDate]])</f>
        <v>49</v>
      </c>
      <c r="D1087" s="15" t="str">
        <f>TEXT(Orders[[#This Row],[OrderDate]],"mmmm")</f>
        <v>December</v>
      </c>
      <c r="E1087" s="4" t="s">
        <v>239</v>
      </c>
      <c r="F1087" s="4" t="s">
        <v>20</v>
      </c>
      <c r="G1087" s="4">
        <v>1</v>
      </c>
      <c r="H1087" s="12">
        <v>10053.700000000001</v>
      </c>
      <c r="I1087" s="13">
        <v>8545.6450000000004</v>
      </c>
      <c r="J1087" s="13">
        <f>Orders[[#This Row],[Quantity]]*Orders[[#This Row],[Selling Price]]</f>
        <v>10053.700000000001</v>
      </c>
      <c r="K1087" s="13">
        <f>Orders[[#This Row],[Quantity]]*Orders[[#This Row],[Cost Price]]</f>
        <v>8545.6450000000004</v>
      </c>
      <c r="L1087" s="13">
        <f>Orders[[#This Row],[Revenue]]-Orders[[#This Row],[Expenses]]</f>
        <v>1508.0550000000003</v>
      </c>
      <c r="M1087" t="s">
        <v>2215</v>
      </c>
      <c r="N1087" t="str">
        <f>_xlfn.XLOOKUP(Orders[[#This Row],[CustomerID]],Customers[CustomerID],Customers[CustomerName])</f>
        <v>Emeka Danladi</v>
      </c>
      <c r="O1087" t="str">
        <f>_xlfn.XLOOKUP(Orders[[#This Row],[CustomerID]],Customers[CustomerID],Customers[City])</f>
        <v>Florida</v>
      </c>
      <c r="P1087" t="str">
        <f>_xlfn.XLOOKUP(Orders[[#This Row],[CustomerID]],Customers[CustomerID],Customers[Gender])</f>
        <v>Male</v>
      </c>
      <c r="Q1087">
        <f>_xlfn.XLOOKUP(Orders[[#This Row],[CustomerID]],Customers[CustomerID],Customers[CustomerAge])</f>
        <v>23</v>
      </c>
      <c r="R1087" t="str">
        <f>IF(Orders[[#This Row],[CustomerAge]]&gt;=35, "Older", "Young")</f>
        <v>Young</v>
      </c>
      <c r="S1087" t="str">
        <f>_xlfn.XLOOKUP(Orders[[#This Row],[ProductID]],Products[ProductID],Products[ProductName])</f>
        <v>Gym Bag</v>
      </c>
      <c r="T1087" t="str">
        <f>_xlfn.XLOOKUP(Orders[[#This Row],[ProductID]],Products[ProductID],Products[Category])</f>
        <v>Gym</v>
      </c>
    </row>
    <row r="1088" spans="1:20" x14ac:dyDescent="0.25">
      <c r="A1088" s="4" t="s">
        <v>1277</v>
      </c>
      <c r="B1088" s="5">
        <v>45992</v>
      </c>
      <c r="C1088" s="15">
        <f>WEEKNUM(Orders[[#This Row],[OrderDate]])</f>
        <v>49</v>
      </c>
      <c r="D1088" s="15" t="str">
        <f>TEXT(Orders[[#This Row],[OrderDate]],"mmmm")</f>
        <v>December</v>
      </c>
      <c r="E1088" s="4" t="s">
        <v>68</v>
      </c>
      <c r="F1088" s="4" t="s">
        <v>81</v>
      </c>
      <c r="G1088" s="4">
        <v>4</v>
      </c>
      <c r="H1088" s="12">
        <v>16110</v>
      </c>
      <c r="I1088" s="13">
        <v>13693.5</v>
      </c>
      <c r="J1088" s="13">
        <f>Orders[[#This Row],[Quantity]]*Orders[[#This Row],[Selling Price]]</f>
        <v>64440</v>
      </c>
      <c r="K1088" s="13">
        <f>Orders[[#This Row],[Quantity]]*Orders[[#This Row],[Cost Price]]</f>
        <v>54774</v>
      </c>
      <c r="L1088" s="13">
        <f>Orders[[#This Row],[Revenue]]-Orders[[#This Row],[Expenses]]</f>
        <v>9666</v>
      </c>
      <c r="M1088" t="s">
        <v>2192</v>
      </c>
      <c r="N1088" t="str">
        <f>_xlfn.XLOOKUP(Orders[[#This Row],[CustomerID]],Customers[CustomerID],Customers[CustomerName])</f>
        <v>Abiola Balogun</v>
      </c>
      <c r="O1088" t="str">
        <f>_xlfn.XLOOKUP(Orders[[#This Row],[CustomerID]],Customers[CustomerID],Customers[City])</f>
        <v>Texas</v>
      </c>
      <c r="P1088" t="str">
        <f>_xlfn.XLOOKUP(Orders[[#This Row],[CustomerID]],Customers[CustomerID],Customers[Gender])</f>
        <v>Male</v>
      </c>
      <c r="Q1088">
        <f>_xlfn.XLOOKUP(Orders[[#This Row],[CustomerID]],Customers[CustomerID],Customers[CustomerAge])</f>
        <v>29</v>
      </c>
      <c r="R1088" t="str">
        <f>IF(Orders[[#This Row],[CustomerAge]]&gt;=35, "Older", "Young")</f>
        <v>Young</v>
      </c>
      <c r="S1088" t="str">
        <f>_xlfn.XLOOKUP(Orders[[#This Row],[ProductID]],Products[ProductID],Products[ProductName])</f>
        <v>Trousers</v>
      </c>
      <c r="T1088" t="str">
        <f>_xlfn.XLOOKUP(Orders[[#This Row],[ProductID]],Products[ProductID],Products[Category])</f>
        <v>Clothing</v>
      </c>
    </row>
    <row r="1089" spans="1:20" x14ac:dyDescent="0.25">
      <c r="A1089" s="4" t="s">
        <v>1278</v>
      </c>
      <c r="B1089" s="5">
        <v>45936</v>
      </c>
      <c r="C1089" s="15">
        <f>WEEKNUM(Orders[[#This Row],[OrderDate]])</f>
        <v>41</v>
      </c>
      <c r="D1089" s="15" t="str">
        <f>TEXT(Orders[[#This Row],[OrderDate]],"mmmm")</f>
        <v>October</v>
      </c>
      <c r="E1089" s="4" t="s">
        <v>552</v>
      </c>
      <c r="F1089" s="4" t="s">
        <v>20</v>
      </c>
      <c r="G1089" s="4">
        <v>4</v>
      </c>
      <c r="H1089" s="12">
        <v>10466.300000000001</v>
      </c>
      <c r="I1089" s="13">
        <v>8896.3550000000014</v>
      </c>
      <c r="J1089" s="13">
        <f>Orders[[#This Row],[Quantity]]*Orders[[#This Row],[Selling Price]]</f>
        <v>41865.200000000004</v>
      </c>
      <c r="K1089" s="13">
        <f>Orders[[#This Row],[Quantity]]*Orders[[#This Row],[Cost Price]]</f>
        <v>35585.420000000006</v>
      </c>
      <c r="L1089" s="13">
        <f>Orders[[#This Row],[Revenue]]-Orders[[#This Row],[Expenses]]</f>
        <v>6279.7799999999988</v>
      </c>
      <c r="M1089" t="s">
        <v>2199</v>
      </c>
      <c r="N1089" t="str">
        <f>_xlfn.XLOOKUP(Orders[[#This Row],[CustomerID]],Customers[CustomerID],Customers[CustomerName])</f>
        <v>Chioma Eze</v>
      </c>
      <c r="O1089" t="str">
        <f>_xlfn.XLOOKUP(Orders[[#This Row],[CustomerID]],Customers[CustomerID],Customers[City])</f>
        <v>Georgia</v>
      </c>
      <c r="P1089" t="str">
        <f>_xlfn.XLOOKUP(Orders[[#This Row],[CustomerID]],Customers[CustomerID],Customers[Gender])</f>
        <v>Female</v>
      </c>
      <c r="Q1089">
        <f>_xlfn.XLOOKUP(Orders[[#This Row],[CustomerID]],Customers[CustomerID],Customers[CustomerAge])</f>
        <v>40</v>
      </c>
      <c r="R1089" t="str">
        <f>IF(Orders[[#This Row],[CustomerAge]]&gt;=35, "Older", "Young")</f>
        <v>Older</v>
      </c>
      <c r="S1089" t="str">
        <f>_xlfn.XLOOKUP(Orders[[#This Row],[ProductID]],Products[ProductID],Products[ProductName])</f>
        <v>Gym Bag</v>
      </c>
      <c r="T1089" t="str">
        <f>_xlfn.XLOOKUP(Orders[[#This Row],[ProductID]],Products[ProductID],Products[Category])</f>
        <v>Gym</v>
      </c>
    </row>
    <row r="1090" spans="1:20" x14ac:dyDescent="0.25">
      <c r="A1090" s="4" t="s">
        <v>1279</v>
      </c>
      <c r="B1090" s="5">
        <v>46004</v>
      </c>
      <c r="C1090" s="15">
        <f>WEEKNUM(Orders[[#This Row],[OrderDate]])</f>
        <v>50</v>
      </c>
      <c r="D1090" s="15" t="str">
        <f>TEXT(Orders[[#This Row],[OrderDate]],"mmmm")</f>
        <v>December</v>
      </c>
      <c r="E1090" s="4" t="s">
        <v>346</v>
      </c>
      <c r="F1090" s="4" t="s">
        <v>120</v>
      </c>
      <c r="G1090" s="4">
        <v>3</v>
      </c>
      <c r="H1090" s="12">
        <v>1411.3999999999999</v>
      </c>
      <c r="I1090" s="13">
        <v>1199.6899999999998</v>
      </c>
      <c r="J1090" s="13">
        <f>Orders[[#This Row],[Quantity]]*Orders[[#This Row],[Selling Price]]</f>
        <v>4234.2</v>
      </c>
      <c r="K1090" s="13">
        <f>Orders[[#This Row],[Quantity]]*Orders[[#This Row],[Cost Price]]</f>
        <v>3599.0699999999997</v>
      </c>
      <c r="L1090" s="13">
        <f>Orders[[#This Row],[Revenue]]-Orders[[#This Row],[Expenses]]</f>
        <v>635.13000000000011</v>
      </c>
      <c r="M1090" t="s">
        <v>2204</v>
      </c>
      <c r="N1090" t="str">
        <f>_xlfn.XLOOKUP(Orders[[#This Row],[CustomerID]],Customers[CustomerID],Customers[CustomerName])</f>
        <v>Ngozi Danladi</v>
      </c>
      <c r="O1090" t="str">
        <f>_xlfn.XLOOKUP(Orders[[#This Row],[CustomerID]],Customers[CustomerID],Customers[City])</f>
        <v>California</v>
      </c>
      <c r="P1090" t="str">
        <f>_xlfn.XLOOKUP(Orders[[#This Row],[CustomerID]],Customers[CustomerID],Customers[Gender])</f>
        <v>Female</v>
      </c>
      <c r="Q1090">
        <f>_xlfn.XLOOKUP(Orders[[#This Row],[CustomerID]],Customers[CustomerID],Customers[CustomerAge])</f>
        <v>30</v>
      </c>
      <c r="R1090" t="str">
        <f>IF(Orders[[#This Row],[CustomerAge]]&gt;=35, "Older", "Young")</f>
        <v>Young</v>
      </c>
      <c r="S1090" t="str">
        <f>_xlfn.XLOOKUP(Orders[[#This Row],[ProductID]],Products[ProductID],Products[ProductName])</f>
        <v>Chess</v>
      </c>
      <c r="T1090" t="str">
        <f>_xlfn.XLOOKUP(Orders[[#This Row],[ProductID]],Products[ProductID],Products[Category])</f>
        <v>Games</v>
      </c>
    </row>
    <row r="1091" spans="1:20" x14ac:dyDescent="0.25">
      <c r="A1091" s="4" t="s">
        <v>1280</v>
      </c>
      <c r="B1091" s="5">
        <v>45962</v>
      </c>
      <c r="C1091" s="15">
        <f>WEEKNUM(Orders[[#This Row],[OrderDate]])</f>
        <v>44</v>
      </c>
      <c r="D1091" s="15" t="str">
        <f>TEXT(Orders[[#This Row],[OrderDate]],"mmmm")</f>
        <v>November</v>
      </c>
      <c r="E1091" s="4" t="s">
        <v>574</v>
      </c>
      <c r="F1091" s="4" t="s">
        <v>34</v>
      </c>
      <c r="G1091" s="4">
        <v>8</v>
      </c>
      <c r="H1091" s="12">
        <v>14320.599999999999</v>
      </c>
      <c r="I1091" s="13">
        <v>12172.509999999998</v>
      </c>
      <c r="J1091" s="13">
        <f>Orders[[#This Row],[Quantity]]*Orders[[#This Row],[Selling Price]]</f>
        <v>114564.79999999999</v>
      </c>
      <c r="K1091" s="13">
        <f>Orders[[#This Row],[Quantity]]*Orders[[#This Row],[Cost Price]]</f>
        <v>97380.079999999987</v>
      </c>
      <c r="L1091" s="13">
        <f>Orders[[#This Row],[Revenue]]-Orders[[#This Row],[Expenses]]</f>
        <v>17184.72</v>
      </c>
      <c r="M1091" t="s">
        <v>2206</v>
      </c>
      <c r="N1091" t="str">
        <f>_xlfn.XLOOKUP(Orders[[#This Row],[CustomerID]],Customers[CustomerID],Customers[CustomerName])</f>
        <v>Adanma Obi</v>
      </c>
      <c r="O1091" t="str">
        <f>_xlfn.XLOOKUP(Orders[[#This Row],[CustomerID]],Customers[CustomerID],Customers[City])</f>
        <v>Texas</v>
      </c>
      <c r="P1091" t="str">
        <f>_xlfn.XLOOKUP(Orders[[#This Row],[CustomerID]],Customers[CustomerID],Customers[Gender])</f>
        <v>Female</v>
      </c>
      <c r="Q1091">
        <f>_xlfn.XLOOKUP(Orders[[#This Row],[CustomerID]],Customers[CustomerID],Customers[CustomerAge])</f>
        <v>23</v>
      </c>
      <c r="R1091" t="str">
        <f>IF(Orders[[#This Row],[CustomerAge]]&gt;=35, "Older", "Young")</f>
        <v>Young</v>
      </c>
      <c r="S1091" t="str">
        <f>_xlfn.XLOOKUP(Orders[[#This Row],[ProductID]],Products[ProductID],Products[ProductName])</f>
        <v>Gold Bracelets</v>
      </c>
      <c r="T1091" t="str">
        <f>_xlfn.XLOOKUP(Orders[[#This Row],[ProductID]],Products[ProductID],Products[Category])</f>
        <v>Accessories</v>
      </c>
    </row>
    <row r="1092" spans="1:20" x14ac:dyDescent="0.25">
      <c r="A1092" s="4" t="s">
        <v>1281</v>
      </c>
      <c r="B1092" s="5">
        <v>45967</v>
      </c>
      <c r="C1092" s="15">
        <f>WEEKNUM(Orders[[#This Row],[OrderDate]])</f>
        <v>45</v>
      </c>
      <c r="D1092" s="15" t="str">
        <f>TEXT(Orders[[#This Row],[OrderDate]],"mmmm")</f>
        <v>November</v>
      </c>
      <c r="E1092" s="4" t="s">
        <v>649</v>
      </c>
      <c r="F1092" s="4" t="s">
        <v>353</v>
      </c>
      <c r="G1092" s="4">
        <v>10</v>
      </c>
      <c r="H1092" s="12">
        <v>6162.5</v>
      </c>
      <c r="I1092" s="13">
        <v>5238.125</v>
      </c>
      <c r="J1092" s="13">
        <f>Orders[[#This Row],[Quantity]]*Orders[[#This Row],[Selling Price]]</f>
        <v>61625</v>
      </c>
      <c r="K1092" s="13">
        <f>Orders[[#This Row],[Quantity]]*Orders[[#This Row],[Cost Price]]</f>
        <v>52381.25</v>
      </c>
      <c r="L1092" s="13">
        <f>Orders[[#This Row],[Revenue]]-Orders[[#This Row],[Expenses]]</f>
        <v>9243.75</v>
      </c>
      <c r="M1092" t="s">
        <v>2195</v>
      </c>
      <c r="N1092" t="str">
        <f>_xlfn.XLOOKUP(Orders[[#This Row],[CustomerID]],Customers[CustomerID],Customers[CustomerName])</f>
        <v>Bisi Abubakar</v>
      </c>
      <c r="O1092" t="str">
        <f>_xlfn.XLOOKUP(Orders[[#This Row],[CustomerID]],Customers[CustomerID],Customers[City])</f>
        <v>Washington</v>
      </c>
      <c r="P1092" t="str">
        <f>_xlfn.XLOOKUP(Orders[[#This Row],[CustomerID]],Customers[CustomerID],Customers[Gender])</f>
        <v>Female</v>
      </c>
      <c r="Q1092">
        <f>_xlfn.XLOOKUP(Orders[[#This Row],[CustomerID]],Customers[CustomerID],Customers[CustomerAge])</f>
        <v>35</v>
      </c>
      <c r="R1092" t="str">
        <f>IF(Orders[[#This Row],[CustomerAge]]&gt;=35, "Older", "Young")</f>
        <v>Older</v>
      </c>
      <c r="S1092" t="str">
        <f>_xlfn.XLOOKUP(Orders[[#This Row],[ProductID]],Products[ProductID],Products[ProductName])</f>
        <v>Silver Earrings And Necklaces</v>
      </c>
      <c r="T1092" t="str">
        <f>_xlfn.XLOOKUP(Orders[[#This Row],[ProductID]],Products[ProductID],Products[Category])</f>
        <v>Accessories</v>
      </c>
    </row>
    <row r="1093" spans="1:20" x14ac:dyDescent="0.25">
      <c r="A1093" s="4" t="s">
        <v>1282</v>
      </c>
      <c r="B1093" s="5">
        <v>46013</v>
      </c>
      <c r="C1093" s="15">
        <f>WEEKNUM(Orders[[#This Row],[OrderDate]])</f>
        <v>52</v>
      </c>
      <c r="D1093" s="15" t="str">
        <f>TEXT(Orders[[#This Row],[OrderDate]],"mmmm")</f>
        <v>December</v>
      </c>
      <c r="E1093" s="4" t="s">
        <v>264</v>
      </c>
      <c r="F1093" s="4" t="s">
        <v>37</v>
      </c>
      <c r="G1093" s="4">
        <v>2</v>
      </c>
      <c r="H1093" s="12">
        <v>12251.800000000001</v>
      </c>
      <c r="I1093" s="13">
        <v>10414.030000000001</v>
      </c>
      <c r="J1093" s="13">
        <f>Orders[[#This Row],[Quantity]]*Orders[[#This Row],[Selling Price]]</f>
        <v>24503.600000000002</v>
      </c>
      <c r="K1093" s="13">
        <f>Orders[[#This Row],[Quantity]]*Orders[[#This Row],[Cost Price]]</f>
        <v>20828.060000000001</v>
      </c>
      <c r="L1093" s="13">
        <f>Orders[[#This Row],[Revenue]]-Orders[[#This Row],[Expenses]]</f>
        <v>3675.5400000000009</v>
      </c>
      <c r="M1093" t="s">
        <v>2212</v>
      </c>
      <c r="N1093" t="str">
        <f>_xlfn.XLOOKUP(Orders[[#This Row],[CustomerID]],Customers[CustomerID],Customers[CustomerName])</f>
        <v>Ronke Adeyemi</v>
      </c>
      <c r="O1093" t="str">
        <f>_xlfn.XLOOKUP(Orders[[#This Row],[CustomerID]],Customers[CustomerID],Customers[City])</f>
        <v>Georgia</v>
      </c>
      <c r="P1093" t="str">
        <f>_xlfn.XLOOKUP(Orders[[#This Row],[CustomerID]],Customers[CustomerID],Customers[Gender])</f>
        <v>Female</v>
      </c>
      <c r="Q1093">
        <f>_xlfn.XLOOKUP(Orders[[#This Row],[CustomerID]],Customers[CustomerID],Customers[CustomerAge])</f>
        <v>19</v>
      </c>
      <c r="R1093" t="str">
        <f>IF(Orders[[#This Row],[CustomerAge]]&gt;=35, "Older", "Young")</f>
        <v>Young</v>
      </c>
      <c r="S1093" t="str">
        <f>_xlfn.XLOOKUP(Orders[[#This Row],[ProductID]],Products[ProductID],Products[ProductName])</f>
        <v>Iron</v>
      </c>
      <c r="T1093" t="str">
        <f>_xlfn.XLOOKUP(Orders[[#This Row],[ProductID]],Products[ProductID],Products[Category])</f>
        <v>Electronics</v>
      </c>
    </row>
    <row r="1094" spans="1:20" x14ac:dyDescent="0.25">
      <c r="A1094" s="4" t="s">
        <v>1283</v>
      </c>
      <c r="B1094" s="5">
        <v>45943</v>
      </c>
      <c r="C1094" s="15">
        <f>WEEKNUM(Orders[[#This Row],[OrderDate]])</f>
        <v>42</v>
      </c>
      <c r="D1094" s="15" t="str">
        <f>TEXT(Orders[[#This Row],[OrderDate]],"mmmm")</f>
        <v>October</v>
      </c>
      <c r="E1094" s="4" t="s">
        <v>212</v>
      </c>
      <c r="F1094" s="4" t="s">
        <v>46</v>
      </c>
      <c r="G1094" s="4">
        <v>5</v>
      </c>
      <c r="H1094" s="12">
        <v>8635.9</v>
      </c>
      <c r="I1094" s="13">
        <v>7340.5149999999994</v>
      </c>
      <c r="J1094" s="13">
        <f>Orders[[#This Row],[Quantity]]*Orders[[#This Row],[Selling Price]]</f>
        <v>43179.5</v>
      </c>
      <c r="K1094" s="13">
        <f>Orders[[#This Row],[Quantity]]*Orders[[#This Row],[Cost Price]]</f>
        <v>36702.574999999997</v>
      </c>
      <c r="L1094" s="13">
        <f>Orders[[#This Row],[Revenue]]-Orders[[#This Row],[Expenses]]</f>
        <v>6476.9250000000029</v>
      </c>
      <c r="M1094" t="s">
        <v>2203</v>
      </c>
      <c r="N1094" t="str">
        <f>_xlfn.XLOOKUP(Orders[[#This Row],[CustomerID]],Customers[CustomerID],Customers[CustomerName])</f>
        <v>Ngozi Ojo</v>
      </c>
      <c r="O1094" t="str">
        <f>_xlfn.XLOOKUP(Orders[[#This Row],[CustomerID]],Customers[CustomerID],Customers[City])</f>
        <v>Illinois</v>
      </c>
      <c r="P1094" t="str">
        <f>_xlfn.XLOOKUP(Orders[[#This Row],[CustomerID]],Customers[CustomerID],Customers[Gender])</f>
        <v>Female</v>
      </c>
      <c r="Q1094">
        <f>_xlfn.XLOOKUP(Orders[[#This Row],[CustomerID]],Customers[CustomerID],Customers[CustomerAge])</f>
        <v>53</v>
      </c>
      <c r="R1094" t="str">
        <f>IF(Orders[[#This Row],[CustomerAge]]&gt;=35, "Older", "Young")</f>
        <v>Older</v>
      </c>
      <c r="S1094" t="str">
        <f>_xlfn.XLOOKUP(Orders[[#This Row],[ProductID]],Products[ProductID],Products[ProductName])</f>
        <v>Turtle Neck</v>
      </c>
      <c r="T1094" t="str">
        <f>_xlfn.XLOOKUP(Orders[[#This Row],[ProductID]],Products[ProductID],Products[Category])</f>
        <v>Clothing</v>
      </c>
    </row>
    <row r="1095" spans="1:20" x14ac:dyDescent="0.25">
      <c r="A1095" s="4" t="s">
        <v>1284</v>
      </c>
      <c r="B1095" s="5">
        <v>45963</v>
      </c>
      <c r="C1095" s="15">
        <f>WEEKNUM(Orders[[#This Row],[OrderDate]])</f>
        <v>45</v>
      </c>
      <c r="D1095" s="15" t="str">
        <f>TEXT(Orders[[#This Row],[OrderDate]],"mmmm")</f>
        <v>November</v>
      </c>
      <c r="E1095" s="4" t="s">
        <v>218</v>
      </c>
      <c r="F1095" s="4" t="s">
        <v>46</v>
      </c>
      <c r="G1095" s="4">
        <v>6</v>
      </c>
      <c r="H1095" s="12">
        <v>12058.699999999999</v>
      </c>
      <c r="I1095" s="13">
        <v>10249.894999999999</v>
      </c>
      <c r="J1095" s="13">
        <f>Orders[[#This Row],[Quantity]]*Orders[[#This Row],[Selling Price]]</f>
        <v>72352.2</v>
      </c>
      <c r="K1095" s="13">
        <f>Orders[[#This Row],[Quantity]]*Orders[[#This Row],[Cost Price]]</f>
        <v>61499.369999999995</v>
      </c>
      <c r="L1095" s="13">
        <f>Orders[[#This Row],[Revenue]]-Orders[[#This Row],[Expenses]]</f>
        <v>10852.830000000002</v>
      </c>
      <c r="M1095" t="s">
        <v>2203</v>
      </c>
      <c r="N1095" t="str">
        <f>_xlfn.XLOOKUP(Orders[[#This Row],[CustomerID]],Customers[CustomerID],Customers[CustomerName])</f>
        <v>Temi Danladi</v>
      </c>
      <c r="O1095" t="str">
        <f>_xlfn.XLOOKUP(Orders[[#This Row],[CustomerID]],Customers[CustomerID],Customers[City])</f>
        <v>Florida</v>
      </c>
      <c r="P1095" t="str">
        <f>_xlfn.XLOOKUP(Orders[[#This Row],[CustomerID]],Customers[CustomerID],Customers[Gender])</f>
        <v>Female</v>
      </c>
      <c r="Q1095">
        <f>_xlfn.XLOOKUP(Orders[[#This Row],[CustomerID]],Customers[CustomerID],Customers[CustomerAge])</f>
        <v>48</v>
      </c>
      <c r="R1095" t="str">
        <f>IF(Orders[[#This Row],[CustomerAge]]&gt;=35, "Older", "Young")</f>
        <v>Older</v>
      </c>
      <c r="S1095" t="str">
        <f>_xlfn.XLOOKUP(Orders[[#This Row],[ProductID]],Products[ProductID],Products[ProductName])</f>
        <v>Turtle Neck</v>
      </c>
      <c r="T1095" t="str">
        <f>_xlfn.XLOOKUP(Orders[[#This Row],[ProductID]],Products[ProductID],Products[Category])</f>
        <v>Clothing</v>
      </c>
    </row>
    <row r="1096" spans="1:20" x14ac:dyDescent="0.25">
      <c r="A1096" s="4" t="s">
        <v>1285</v>
      </c>
      <c r="B1096" s="5">
        <v>45980</v>
      </c>
      <c r="C1096" s="15">
        <f>WEEKNUM(Orders[[#This Row],[OrderDate]])</f>
        <v>47</v>
      </c>
      <c r="D1096" s="15" t="str">
        <f>TEXT(Orders[[#This Row],[OrderDate]],"mmmm")</f>
        <v>November</v>
      </c>
      <c r="E1096" s="4" t="s">
        <v>252</v>
      </c>
      <c r="F1096" s="4" t="s">
        <v>15</v>
      </c>
      <c r="G1096" s="4">
        <v>5</v>
      </c>
      <c r="H1096" s="12">
        <v>8079.9</v>
      </c>
      <c r="I1096" s="13">
        <v>6867.915</v>
      </c>
      <c r="J1096" s="13">
        <f>Orders[[#This Row],[Quantity]]*Orders[[#This Row],[Selling Price]]</f>
        <v>40399.5</v>
      </c>
      <c r="K1096" s="13">
        <f>Orders[[#This Row],[Quantity]]*Orders[[#This Row],[Cost Price]]</f>
        <v>34339.574999999997</v>
      </c>
      <c r="L1096" s="13">
        <f>Orders[[#This Row],[Revenue]]-Orders[[#This Row],[Expenses]]</f>
        <v>6059.9250000000029</v>
      </c>
      <c r="M1096" t="s">
        <v>2198</v>
      </c>
      <c r="N1096" t="str">
        <f>_xlfn.XLOOKUP(Orders[[#This Row],[CustomerID]],Customers[CustomerID],Customers[CustomerName])</f>
        <v>Chioma Adeyemi</v>
      </c>
      <c r="O1096" t="str">
        <f>_xlfn.XLOOKUP(Orders[[#This Row],[CustomerID]],Customers[CustomerID],Customers[City])</f>
        <v>Texas</v>
      </c>
      <c r="P1096" t="str">
        <f>_xlfn.XLOOKUP(Orders[[#This Row],[CustomerID]],Customers[CustomerID],Customers[Gender])</f>
        <v>Female</v>
      </c>
      <c r="Q1096">
        <f>_xlfn.XLOOKUP(Orders[[#This Row],[CustomerID]],Customers[CustomerID],Customers[CustomerAge])</f>
        <v>20</v>
      </c>
      <c r="R1096" t="str">
        <f>IF(Orders[[#This Row],[CustomerAge]]&gt;=35, "Older", "Young")</f>
        <v>Young</v>
      </c>
      <c r="S1096" t="str">
        <f>_xlfn.XLOOKUP(Orders[[#This Row],[ProductID]],Products[ProductID],Products[ProductName])</f>
        <v>Monopoly</v>
      </c>
      <c r="T1096" t="str">
        <f>_xlfn.XLOOKUP(Orders[[#This Row],[ProductID]],Products[ProductID],Products[Category])</f>
        <v>Games</v>
      </c>
    </row>
    <row r="1097" spans="1:20" x14ac:dyDescent="0.25">
      <c r="A1097" s="4" t="s">
        <v>1286</v>
      </c>
      <c r="B1097" s="5">
        <v>46002</v>
      </c>
      <c r="C1097" s="15">
        <f>WEEKNUM(Orders[[#This Row],[OrderDate]])</f>
        <v>50</v>
      </c>
      <c r="D1097" s="15" t="str">
        <f>TEXT(Orders[[#This Row],[OrderDate]],"mmmm")</f>
        <v>December</v>
      </c>
      <c r="E1097" s="4" t="s">
        <v>517</v>
      </c>
      <c r="F1097" s="4" t="s">
        <v>253</v>
      </c>
      <c r="G1097" s="4">
        <v>6</v>
      </c>
      <c r="H1097" s="12">
        <v>19731.600000000002</v>
      </c>
      <c r="I1097" s="13">
        <v>16771.86</v>
      </c>
      <c r="J1097" s="13">
        <f>Orders[[#This Row],[Quantity]]*Orders[[#This Row],[Selling Price]]</f>
        <v>118389.6</v>
      </c>
      <c r="K1097" s="13">
        <f>Orders[[#This Row],[Quantity]]*Orders[[#This Row],[Cost Price]]</f>
        <v>100631.16</v>
      </c>
      <c r="L1097" s="13">
        <f>Orders[[#This Row],[Revenue]]-Orders[[#This Row],[Expenses]]</f>
        <v>17758.440000000002</v>
      </c>
      <c r="M1097" t="s">
        <v>2209</v>
      </c>
      <c r="N1097" t="str">
        <f>_xlfn.XLOOKUP(Orders[[#This Row],[CustomerID]],Customers[CustomerID],Customers[CustomerName])</f>
        <v>Efe Adeyemi</v>
      </c>
      <c r="O1097" t="str">
        <f>_xlfn.XLOOKUP(Orders[[#This Row],[CustomerID]],Customers[CustomerID],Customers[City])</f>
        <v>Florida</v>
      </c>
      <c r="P1097" t="str">
        <f>_xlfn.XLOOKUP(Orders[[#This Row],[CustomerID]],Customers[CustomerID],Customers[Gender])</f>
        <v>Female</v>
      </c>
      <c r="Q1097">
        <f>_xlfn.XLOOKUP(Orders[[#This Row],[CustomerID]],Customers[CustomerID],Customers[CustomerAge])</f>
        <v>25</v>
      </c>
      <c r="R1097" t="str">
        <f>IF(Orders[[#This Row],[CustomerAge]]&gt;=35, "Older", "Young")</f>
        <v>Young</v>
      </c>
      <c r="S1097" t="str">
        <f>_xlfn.XLOOKUP(Orders[[#This Row],[ProductID]],Products[ProductID],Products[ProductName])</f>
        <v>Nose Rings</v>
      </c>
      <c r="T1097" t="str">
        <f>_xlfn.XLOOKUP(Orders[[#This Row],[ProductID]],Products[ProductID],Products[Category])</f>
        <v>Accessories</v>
      </c>
    </row>
    <row r="1098" spans="1:20" x14ac:dyDescent="0.25">
      <c r="A1098" s="4" t="s">
        <v>1287</v>
      </c>
      <c r="B1098" s="5">
        <v>45940</v>
      </c>
      <c r="C1098" s="15">
        <f>WEEKNUM(Orders[[#This Row],[OrderDate]])</f>
        <v>41</v>
      </c>
      <c r="D1098" s="15" t="str">
        <f>TEXT(Orders[[#This Row],[OrderDate]],"mmmm")</f>
        <v>October</v>
      </c>
      <c r="E1098" s="4" t="s">
        <v>136</v>
      </c>
      <c r="F1098" s="4" t="s">
        <v>168</v>
      </c>
      <c r="G1098" s="4">
        <v>1</v>
      </c>
      <c r="H1098" s="12">
        <v>17511.7</v>
      </c>
      <c r="I1098" s="13">
        <v>14884.945</v>
      </c>
      <c r="J1098" s="13">
        <f>Orders[[#This Row],[Quantity]]*Orders[[#This Row],[Selling Price]]</f>
        <v>17511.7</v>
      </c>
      <c r="K1098" s="13">
        <f>Orders[[#This Row],[Quantity]]*Orders[[#This Row],[Cost Price]]</f>
        <v>14884.945</v>
      </c>
      <c r="L1098" s="13">
        <f>Orders[[#This Row],[Revenue]]-Orders[[#This Row],[Expenses]]</f>
        <v>2626.755000000001</v>
      </c>
      <c r="M1098" t="s">
        <v>2204</v>
      </c>
      <c r="N1098" t="str">
        <f>_xlfn.XLOOKUP(Orders[[#This Row],[CustomerID]],Customers[CustomerID],Customers[CustomerName])</f>
        <v>Chinedu Obi</v>
      </c>
      <c r="O1098" t="str">
        <f>_xlfn.XLOOKUP(Orders[[#This Row],[CustomerID]],Customers[CustomerID],Customers[City])</f>
        <v>California</v>
      </c>
      <c r="P1098" t="str">
        <f>_xlfn.XLOOKUP(Orders[[#This Row],[CustomerID]],Customers[CustomerID],Customers[Gender])</f>
        <v>Male</v>
      </c>
      <c r="Q1098">
        <f>_xlfn.XLOOKUP(Orders[[#This Row],[CustomerID]],Customers[CustomerID],Customers[CustomerAge])</f>
        <v>27</v>
      </c>
      <c r="R1098" t="str">
        <f>IF(Orders[[#This Row],[CustomerAge]]&gt;=35, "Older", "Young")</f>
        <v>Young</v>
      </c>
      <c r="S1098" t="str">
        <f>_xlfn.XLOOKUP(Orders[[#This Row],[ProductID]],Products[ProductID],Products[ProductName])</f>
        <v>Dumb Bells</v>
      </c>
      <c r="T1098" t="str">
        <f>_xlfn.XLOOKUP(Orders[[#This Row],[ProductID]],Products[ProductID],Products[Category])</f>
        <v>Gym</v>
      </c>
    </row>
    <row r="1099" spans="1:20" x14ac:dyDescent="0.25">
      <c r="A1099" s="4" t="s">
        <v>1288</v>
      </c>
      <c r="B1099" s="5">
        <v>45985</v>
      </c>
      <c r="C1099" s="15">
        <f>WEEKNUM(Orders[[#This Row],[OrderDate]])</f>
        <v>48</v>
      </c>
      <c r="D1099" s="15" t="str">
        <f>TEXT(Orders[[#This Row],[OrderDate]],"mmmm")</f>
        <v>November</v>
      </c>
      <c r="E1099" s="4" t="s">
        <v>33</v>
      </c>
      <c r="F1099" s="4" t="s">
        <v>23</v>
      </c>
      <c r="G1099" s="4">
        <v>6</v>
      </c>
      <c r="H1099" s="12">
        <v>16678.599999999999</v>
      </c>
      <c r="I1099" s="13">
        <v>14176.81</v>
      </c>
      <c r="J1099" s="13">
        <f>Orders[[#This Row],[Quantity]]*Orders[[#This Row],[Selling Price]]</f>
        <v>100071.59999999999</v>
      </c>
      <c r="K1099" s="13">
        <f>Orders[[#This Row],[Quantity]]*Orders[[#This Row],[Cost Price]]</f>
        <v>85060.86</v>
      </c>
      <c r="L1099" s="13">
        <f>Orders[[#This Row],[Revenue]]-Orders[[#This Row],[Expenses]]</f>
        <v>15010.739999999991</v>
      </c>
      <c r="M1099" t="s">
        <v>2203</v>
      </c>
      <c r="N1099" t="str">
        <f>_xlfn.XLOOKUP(Orders[[#This Row],[CustomerID]],Customers[CustomerID],Customers[CustomerName])</f>
        <v>Okon Balogun</v>
      </c>
      <c r="O1099" t="str">
        <f>_xlfn.XLOOKUP(Orders[[#This Row],[CustomerID]],Customers[CustomerID],Customers[City])</f>
        <v>Texas</v>
      </c>
      <c r="P1099" t="str">
        <f>_xlfn.XLOOKUP(Orders[[#This Row],[CustomerID]],Customers[CustomerID],Customers[Gender])</f>
        <v>Male</v>
      </c>
      <c r="Q1099">
        <f>_xlfn.XLOOKUP(Orders[[#This Row],[CustomerID]],Customers[CustomerID],Customers[CustomerAge])</f>
        <v>28</v>
      </c>
      <c r="R1099" t="str">
        <f>IF(Orders[[#This Row],[CustomerAge]]&gt;=35, "Older", "Young")</f>
        <v>Young</v>
      </c>
      <c r="S1099" t="str">
        <f>_xlfn.XLOOKUP(Orders[[#This Row],[ProductID]],Products[ProductID],Products[ProductName])</f>
        <v>Gym Gloves</v>
      </c>
      <c r="T1099" t="str">
        <f>_xlfn.XLOOKUP(Orders[[#This Row],[ProductID]],Products[ProductID],Products[Category])</f>
        <v>Gym</v>
      </c>
    </row>
    <row r="1100" spans="1:20" x14ac:dyDescent="0.25">
      <c r="A1100" s="4" t="s">
        <v>1289</v>
      </c>
      <c r="B1100" s="5">
        <v>46010</v>
      </c>
      <c r="C1100" s="15">
        <f>WEEKNUM(Orders[[#This Row],[OrderDate]])</f>
        <v>51</v>
      </c>
      <c r="D1100" s="15" t="str">
        <f>TEXT(Orders[[#This Row],[OrderDate]],"mmmm")</f>
        <v>December</v>
      </c>
      <c r="E1100" s="4" t="s">
        <v>218</v>
      </c>
      <c r="F1100" s="4" t="s">
        <v>25</v>
      </c>
      <c r="G1100" s="4">
        <v>4</v>
      </c>
      <c r="H1100" s="12">
        <v>6076.9000000000005</v>
      </c>
      <c r="I1100" s="13">
        <v>5165.3650000000007</v>
      </c>
      <c r="J1100" s="13">
        <f>Orders[[#This Row],[Quantity]]*Orders[[#This Row],[Selling Price]]</f>
        <v>24307.600000000002</v>
      </c>
      <c r="K1100" s="13">
        <f>Orders[[#This Row],[Quantity]]*Orders[[#This Row],[Cost Price]]</f>
        <v>20661.460000000003</v>
      </c>
      <c r="L1100" s="13">
        <f>Orders[[#This Row],[Revenue]]-Orders[[#This Row],[Expenses]]</f>
        <v>3646.1399999999994</v>
      </c>
      <c r="M1100" t="s">
        <v>2207</v>
      </c>
      <c r="N1100" t="str">
        <f>_xlfn.XLOOKUP(Orders[[#This Row],[CustomerID]],Customers[CustomerID],Customers[CustomerName])</f>
        <v>Temi Danladi</v>
      </c>
      <c r="O1100" t="str">
        <f>_xlfn.XLOOKUP(Orders[[#This Row],[CustomerID]],Customers[CustomerID],Customers[City])</f>
        <v>Florida</v>
      </c>
      <c r="P1100" t="str">
        <f>_xlfn.XLOOKUP(Orders[[#This Row],[CustomerID]],Customers[CustomerID],Customers[Gender])</f>
        <v>Female</v>
      </c>
      <c r="Q1100">
        <f>_xlfn.XLOOKUP(Orders[[#This Row],[CustomerID]],Customers[CustomerID],Customers[CustomerAge])</f>
        <v>48</v>
      </c>
      <c r="R1100" t="str">
        <f>IF(Orders[[#This Row],[CustomerAge]]&gt;=35, "Older", "Young")</f>
        <v>Older</v>
      </c>
      <c r="S1100" t="str">
        <f>_xlfn.XLOOKUP(Orders[[#This Row],[ProductID]],Products[ProductID],Products[ProductName])</f>
        <v>Gold Rings</v>
      </c>
      <c r="T1100" t="str">
        <f>_xlfn.XLOOKUP(Orders[[#This Row],[ProductID]],Products[ProductID],Products[Category])</f>
        <v>Accessories</v>
      </c>
    </row>
    <row r="1101" spans="1:20" x14ac:dyDescent="0.25">
      <c r="A1101" s="4" t="s">
        <v>1290</v>
      </c>
      <c r="B1101" s="5">
        <v>45936</v>
      </c>
      <c r="C1101" s="15">
        <f>WEEKNUM(Orders[[#This Row],[OrderDate]])</f>
        <v>41</v>
      </c>
      <c r="D1101" s="15" t="str">
        <f>TEXT(Orders[[#This Row],[OrderDate]],"mmmm")</f>
        <v>October</v>
      </c>
      <c r="E1101" s="4" t="s">
        <v>203</v>
      </c>
      <c r="F1101" s="4" t="s">
        <v>46</v>
      </c>
      <c r="G1101" s="4">
        <v>2</v>
      </c>
      <c r="H1101" s="12">
        <v>9864.7000000000007</v>
      </c>
      <c r="I1101" s="13">
        <v>8384.9950000000008</v>
      </c>
      <c r="J1101" s="13">
        <f>Orders[[#This Row],[Quantity]]*Orders[[#This Row],[Selling Price]]</f>
        <v>19729.400000000001</v>
      </c>
      <c r="K1101" s="13">
        <f>Orders[[#This Row],[Quantity]]*Orders[[#This Row],[Cost Price]]</f>
        <v>16769.990000000002</v>
      </c>
      <c r="L1101" s="13">
        <f>Orders[[#This Row],[Revenue]]-Orders[[#This Row],[Expenses]]</f>
        <v>2959.41</v>
      </c>
      <c r="M1101" t="s">
        <v>2205</v>
      </c>
      <c r="N1101" t="str">
        <f>_xlfn.XLOOKUP(Orders[[#This Row],[CustomerID]],Customers[CustomerID],Customers[CustomerName])</f>
        <v>Okon Bello</v>
      </c>
      <c r="O1101" t="str">
        <f>_xlfn.XLOOKUP(Orders[[#This Row],[CustomerID]],Customers[CustomerID],Customers[City])</f>
        <v>Texas</v>
      </c>
      <c r="P1101" t="str">
        <f>_xlfn.XLOOKUP(Orders[[#This Row],[CustomerID]],Customers[CustomerID],Customers[Gender])</f>
        <v>Male</v>
      </c>
      <c r="Q1101">
        <f>_xlfn.XLOOKUP(Orders[[#This Row],[CustomerID]],Customers[CustomerID],Customers[CustomerAge])</f>
        <v>20</v>
      </c>
      <c r="R1101" t="str">
        <f>IF(Orders[[#This Row],[CustomerAge]]&gt;=35, "Older", "Young")</f>
        <v>Young</v>
      </c>
      <c r="S1101" t="str">
        <f>_xlfn.XLOOKUP(Orders[[#This Row],[ProductID]],Products[ProductID],Products[ProductName])</f>
        <v>Turtle Neck</v>
      </c>
      <c r="T1101" t="str">
        <f>_xlfn.XLOOKUP(Orders[[#This Row],[ProductID]],Products[ProductID],Products[Category])</f>
        <v>Clothing</v>
      </c>
    </row>
    <row r="1102" spans="1:20" x14ac:dyDescent="0.25">
      <c r="A1102" s="4" t="s">
        <v>1291</v>
      </c>
      <c r="B1102" s="5">
        <v>45950</v>
      </c>
      <c r="C1102" s="15">
        <f>WEEKNUM(Orders[[#This Row],[OrderDate]])</f>
        <v>43</v>
      </c>
      <c r="D1102" s="15" t="str">
        <f>TEXT(Orders[[#This Row],[OrderDate]],"mmmm")</f>
        <v>October</v>
      </c>
      <c r="E1102" s="4" t="s">
        <v>132</v>
      </c>
      <c r="F1102" s="4" t="s">
        <v>15</v>
      </c>
      <c r="G1102" s="4">
        <v>3</v>
      </c>
      <c r="H1102" s="12">
        <v>18594.5</v>
      </c>
      <c r="I1102" s="13">
        <v>15805.325000000001</v>
      </c>
      <c r="J1102" s="13">
        <f>Orders[[#This Row],[Quantity]]*Orders[[#This Row],[Selling Price]]</f>
        <v>55783.5</v>
      </c>
      <c r="K1102" s="13">
        <f>Orders[[#This Row],[Quantity]]*Orders[[#This Row],[Cost Price]]</f>
        <v>47415.975000000006</v>
      </c>
      <c r="L1102" s="13">
        <f>Orders[[#This Row],[Revenue]]-Orders[[#This Row],[Expenses]]</f>
        <v>8367.5249999999942</v>
      </c>
      <c r="M1102" t="s">
        <v>2208</v>
      </c>
      <c r="N1102" t="str">
        <f>_xlfn.XLOOKUP(Orders[[#This Row],[CustomerID]],Customers[CustomerID],Customers[CustomerName])</f>
        <v>Emeka Balogun</v>
      </c>
      <c r="O1102" t="str">
        <f>_xlfn.XLOOKUP(Orders[[#This Row],[CustomerID]],Customers[CustomerID],Customers[City])</f>
        <v>Illinois</v>
      </c>
      <c r="P1102" t="str">
        <f>_xlfn.XLOOKUP(Orders[[#This Row],[CustomerID]],Customers[CustomerID],Customers[Gender])</f>
        <v>Male</v>
      </c>
      <c r="Q1102">
        <f>_xlfn.XLOOKUP(Orders[[#This Row],[CustomerID]],Customers[CustomerID],Customers[CustomerAge])</f>
        <v>36</v>
      </c>
      <c r="R1102" t="str">
        <f>IF(Orders[[#This Row],[CustomerAge]]&gt;=35, "Older", "Young")</f>
        <v>Older</v>
      </c>
      <c r="S1102" t="str">
        <f>_xlfn.XLOOKUP(Orders[[#This Row],[ProductID]],Products[ProductID],Products[ProductName])</f>
        <v>Monopoly</v>
      </c>
      <c r="T1102" t="str">
        <f>_xlfn.XLOOKUP(Orders[[#This Row],[ProductID]],Products[ProductID],Products[Category])</f>
        <v>Games</v>
      </c>
    </row>
    <row r="1103" spans="1:20" x14ac:dyDescent="0.25">
      <c r="A1103" s="4" t="s">
        <v>1292</v>
      </c>
      <c r="B1103" s="5">
        <v>45956</v>
      </c>
      <c r="C1103" s="15">
        <f>WEEKNUM(Orders[[#This Row],[OrderDate]])</f>
        <v>44</v>
      </c>
      <c r="D1103" s="15" t="str">
        <f>TEXT(Orders[[#This Row],[OrderDate]],"mmmm")</f>
        <v>October</v>
      </c>
      <c r="E1103" s="4" t="s">
        <v>340</v>
      </c>
      <c r="F1103" s="4" t="s">
        <v>15</v>
      </c>
      <c r="G1103" s="4">
        <v>6</v>
      </c>
      <c r="H1103" s="12">
        <v>9479.7999999999993</v>
      </c>
      <c r="I1103" s="13">
        <v>8057.83</v>
      </c>
      <c r="J1103" s="13">
        <f>Orders[[#This Row],[Quantity]]*Orders[[#This Row],[Selling Price]]</f>
        <v>56878.799999999996</v>
      </c>
      <c r="K1103" s="13">
        <f>Orders[[#This Row],[Quantity]]*Orders[[#This Row],[Cost Price]]</f>
        <v>48346.979999999996</v>
      </c>
      <c r="L1103" s="13">
        <f>Orders[[#This Row],[Revenue]]-Orders[[#This Row],[Expenses]]</f>
        <v>8531.82</v>
      </c>
      <c r="M1103" t="s">
        <v>2220</v>
      </c>
      <c r="N1103" t="str">
        <f>_xlfn.XLOOKUP(Orders[[#This Row],[CustomerID]],Customers[CustomerID],Customers[CustomerName])</f>
        <v>Uche Abubakar</v>
      </c>
      <c r="O1103" t="str">
        <f>_xlfn.XLOOKUP(Orders[[#This Row],[CustomerID]],Customers[CustomerID],Customers[City])</f>
        <v>Illinois</v>
      </c>
      <c r="P1103" t="str">
        <f>_xlfn.XLOOKUP(Orders[[#This Row],[CustomerID]],Customers[CustomerID],Customers[Gender])</f>
        <v>Male</v>
      </c>
      <c r="Q1103">
        <f>_xlfn.XLOOKUP(Orders[[#This Row],[CustomerID]],Customers[CustomerID],Customers[CustomerAge])</f>
        <v>18</v>
      </c>
      <c r="R1103" t="str">
        <f>IF(Orders[[#This Row],[CustomerAge]]&gt;=35, "Older", "Young")</f>
        <v>Young</v>
      </c>
      <c r="S1103" t="str">
        <f>_xlfn.XLOOKUP(Orders[[#This Row],[ProductID]],Products[ProductID],Products[ProductName])</f>
        <v>Monopoly</v>
      </c>
      <c r="T1103" t="str">
        <f>_xlfn.XLOOKUP(Orders[[#This Row],[ProductID]],Products[ProductID],Products[Category])</f>
        <v>Games</v>
      </c>
    </row>
    <row r="1104" spans="1:20" x14ac:dyDescent="0.25">
      <c r="A1104" s="4" t="s">
        <v>1293</v>
      </c>
      <c r="B1104" s="5">
        <v>46021</v>
      </c>
      <c r="C1104" s="15">
        <f>WEEKNUM(Orders[[#This Row],[OrderDate]])</f>
        <v>53</v>
      </c>
      <c r="D1104" s="15" t="str">
        <f>TEXT(Orders[[#This Row],[OrderDate]],"mmmm")</f>
        <v>December</v>
      </c>
      <c r="E1104" s="4" t="s">
        <v>388</v>
      </c>
      <c r="F1104" s="4" t="s">
        <v>66</v>
      </c>
      <c r="G1104" s="4">
        <v>6</v>
      </c>
      <c r="H1104" s="12">
        <v>18847.400000000001</v>
      </c>
      <c r="I1104" s="13">
        <v>16020.29</v>
      </c>
      <c r="J1104" s="13">
        <f>Orders[[#This Row],[Quantity]]*Orders[[#This Row],[Selling Price]]</f>
        <v>113084.40000000001</v>
      </c>
      <c r="K1104" s="13">
        <f>Orders[[#This Row],[Quantity]]*Orders[[#This Row],[Cost Price]]</f>
        <v>96121.74</v>
      </c>
      <c r="L1104" s="13">
        <f>Orders[[#This Row],[Revenue]]-Orders[[#This Row],[Expenses]]</f>
        <v>16962.660000000003</v>
      </c>
      <c r="M1104" t="s">
        <v>2208</v>
      </c>
      <c r="N1104" t="str">
        <f>_xlfn.XLOOKUP(Orders[[#This Row],[CustomerID]],Customers[CustomerID],Customers[CustomerName])</f>
        <v>Folasade Okonkwo</v>
      </c>
      <c r="O1104" t="str">
        <f>_xlfn.XLOOKUP(Orders[[#This Row],[CustomerID]],Customers[CustomerID],Customers[City])</f>
        <v>Washington</v>
      </c>
      <c r="P1104" t="str">
        <f>_xlfn.XLOOKUP(Orders[[#This Row],[CustomerID]],Customers[CustomerID],Customers[Gender])</f>
        <v>Female</v>
      </c>
      <c r="Q1104">
        <f>_xlfn.XLOOKUP(Orders[[#This Row],[CustomerID]],Customers[CustomerID],Customers[CustomerAge])</f>
        <v>52</v>
      </c>
      <c r="R1104" t="str">
        <f>IF(Orders[[#This Row],[CustomerAge]]&gt;=35, "Older", "Young")</f>
        <v>Older</v>
      </c>
      <c r="S1104" t="str">
        <f>_xlfn.XLOOKUP(Orders[[#This Row],[ProductID]],Products[ProductID],Products[ProductName])</f>
        <v>Microwave</v>
      </c>
      <c r="T1104" t="str">
        <f>_xlfn.XLOOKUP(Orders[[#This Row],[ProductID]],Products[ProductID],Products[Category])</f>
        <v>Electronics</v>
      </c>
    </row>
    <row r="1105" spans="1:20" x14ac:dyDescent="0.25">
      <c r="A1105" s="4" t="s">
        <v>1294</v>
      </c>
      <c r="B1105" s="5">
        <v>46011</v>
      </c>
      <c r="C1105" s="15">
        <f>WEEKNUM(Orders[[#This Row],[OrderDate]])</f>
        <v>51</v>
      </c>
      <c r="D1105" s="15" t="str">
        <f>TEXT(Orders[[#This Row],[OrderDate]],"mmmm")</f>
        <v>December</v>
      </c>
      <c r="E1105" s="4" t="s">
        <v>324</v>
      </c>
      <c r="F1105" s="4" t="s">
        <v>111</v>
      </c>
      <c r="G1105" s="4">
        <v>10</v>
      </c>
      <c r="H1105" s="12">
        <v>10645.4</v>
      </c>
      <c r="I1105" s="13">
        <v>9048.59</v>
      </c>
      <c r="J1105" s="13">
        <f>Orders[[#This Row],[Quantity]]*Orders[[#This Row],[Selling Price]]</f>
        <v>106454</v>
      </c>
      <c r="K1105" s="13">
        <f>Orders[[#This Row],[Quantity]]*Orders[[#This Row],[Cost Price]]</f>
        <v>90485.9</v>
      </c>
      <c r="L1105" s="13">
        <f>Orders[[#This Row],[Revenue]]-Orders[[#This Row],[Expenses]]</f>
        <v>15968.100000000006</v>
      </c>
      <c r="M1105" t="s">
        <v>2209</v>
      </c>
      <c r="N1105" t="str">
        <f>_xlfn.XLOOKUP(Orders[[#This Row],[CustomerID]],Customers[CustomerID],Customers[CustomerName])</f>
        <v>Tunde Okonkwo</v>
      </c>
      <c r="O1105" t="str">
        <f>_xlfn.XLOOKUP(Orders[[#This Row],[CustomerID]],Customers[CustomerID],Customers[City])</f>
        <v>Texas</v>
      </c>
      <c r="P1105" t="str">
        <f>_xlfn.XLOOKUP(Orders[[#This Row],[CustomerID]],Customers[CustomerID],Customers[Gender])</f>
        <v>Male</v>
      </c>
      <c r="Q1105">
        <f>_xlfn.XLOOKUP(Orders[[#This Row],[CustomerID]],Customers[CustomerID],Customers[CustomerAge])</f>
        <v>25</v>
      </c>
      <c r="R1105" t="str">
        <f>IF(Orders[[#This Row],[CustomerAge]]&gt;=35, "Older", "Young")</f>
        <v>Young</v>
      </c>
      <c r="S1105" t="str">
        <f>_xlfn.XLOOKUP(Orders[[#This Row],[ProductID]],Products[ProductID],Products[ProductName])</f>
        <v>Refrigerator</v>
      </c>
      <c r="T1105" t="str">
        <f>_xlfn.XLOOKUP(Orders[[#This Row],[ProductID]],Products[ProductID],Products[Category])</f>
        <v>Electronics</v>
      </c>
    </row>
    <row r="1106" spans="1:20" x14ac:dyDescent="0.25">
      <c r="A1106" s="4" t="s">
        <v>1295</v>
      </c>
      <c r="B1106" s="5">
        <v>45963</v>
      </c>
      <c r="C1106" s="15">
        <f>WEEKNUM(Orders[[#This Row],[OrderDate]])</f>
        <v>45</v>
      </c>
      <c r="D1106" s="15" t="str">
        <f>TEXT(Orders[[#This Row],[OrderDate]],"mmmm")</f>
        <v>November</v>
      </c>
      <c r="E1106" s="4" t="s">
        <v>607</v>
      </c>
      <c r="F1106" s="4" t="s">
        <v>76</v>
      </c>
      <c r="G1106" s="4">
        <v>3</v>
      </c>
      <c r="H1106" s="12">
        <v>16447.400000000001</v>
      </c>
      <c r="I1106" s="13">
        <v>13980.29</v>
      </c>
      <c r="J1106" s="13">
        <f>Orders[[#This Row],[Quantity]]*Orders[[#This Row],[Selling Price]]</f>
        <v>49342.200000000004</v>
      </c>
      <c r="K1106" s="13">
        <f>Orders[[#This Row],[Quantity]]*Orders[[#This Row],[Cost Price]]</f>
        <v>41940.870000000003</v>
      </c>
      <c r="L1106" s="13">
        <f>Orders[[#This Row],[Revenue]]-Orders[[#This Row],[Expenses]]</f>
        <v>7401.3300000000017</v>
      </c>
      <c r="M1106" t="s">
        <v>2204</v>
      </c>
      <c r="N1106" t="str">
        <f>_xlfn.XLOOKUP(Orders[[#This Row],[CustomerID]],Customers[CustomerID],Customers[CustomerName])</f>
        <v>Folasade Ojo</v>
      </c>
      <c r="O1106" t="str">
        <f>_xlfn.XLOOKUP(Orders[[#This Row],[CustomerID]],Customers[CustomerID],Customers[City])</f>
        <v>Texas</v>
      </c>
      <c r="P1106" t="str">
        <f>_xlfn.XLOOKUP(Orders[[#This Row],[CustomerID]],Customers[CustomerID],Customers[Gender])</f>
        <v>Female</v>
      </c>
      <c r="Q1106">
        <f>_xlfn.XLOOKUP(Orders[[#This Row],[CustomerID]],Customers[CustomerID],Customers[CustomerAge])</f>
        <v>19</v>
      </c>
      <c r="R1106" t="str">
        <f>IF(Orders[[#This Row],[CustomerAge]]&gt;=35, "Older", "Young")</f>
        <v>Young</v>
      </c>
      <c r="S1106" t="str">
        <f>_xlfn.XLOOKUP(Orders[[#This Row],[ProductID]],Products[ProductID],Products[ProductName])</f>
        <v>Blender</v>
      </c>
      <c r="T1106" t="str">
        <f>_xlfn.XLOOKUP(Orders[[#This Row],[ProductID]],Products[ProductID],Products[Category])</f>
        <v>Electronics</v>
      </c>
    </row>
    <row r="1107" spans="1:20" x14ac:dyDescent="0.25">
      <c r="A1107" s="4" t="s">
        <v>1296</v>
      </c>
      <c r="B1107" s="5">
        <v>45936</v>
      </c>
      <c r="C1107" s="15">
        <f>WEEKNUM(Orders[[#This Row],[OrderDate]])</f>
        <v>41</v>
      </c>
      <c r="D1107" s="15" t="str">
        <f>TEXT(Orders[[#This Row],[OrderDate]],"mmmm")</f>
        <v>October</v>
      </c>
      <c r="E1107" s="4" t="s">
        <v>41</v>
      </c>
      <c r="F1107" s="4" t="s">
        <v>31</v>
      </c>
      <c r="G1107" s="4">
        <v>9</v>
      </c>
      <c r="H1107" s="12">
        <v>17865.2</v>
      </c>
      <c r="I1107" s="13">
        <v>15185.42</v>
      </c>
      <c r="J1107" s="13">
        <f>Orders[[#This Row],[Quantity]]*Orders[[#This Row],[Selling Price]]</f>
        <v>160786.80000000002</v>
      </c>
      <c r="K1107" s="13">
        <f>Orders[[#This Row],[Quantity]]*Orders[[#This Row],[Cost Price]]</f>
        <v>136668.78</v>
      </c>
      <c r="L1107" s="13">
        <f>Orders[[#This Row],[Revenue]]-Orders[[#This Row],[Expenses]]</f>
        <v>24118.020000000019</v>
      </c>
      <c r="M1107" t="s">
        <v>2199</v>
      </c>
      <c r="N1107" t="str">
        <f>_xlfn.XLOOKUP(Orders[[#This Row],[CustomerID]],Customers[CustomerID],Customers[CustomerName])</f>
        <v>Mustafa Balogun</v>
      </c>
      <c r="O1107" t="str">
        <f>_xlfn.XLOOKUP(Orders[[#This Row],[CustomerID]],Customers[CustomerID],Customers[City])</f>
        <v>Texas</v>
      </c>
      <c r="P1107" t="str">
        <f>_xlfn.XLOOKUP(Orders[[#This Row],[CustomerID]],Customers[CustomerID],Customers[Gender])</f>
        <v>Male</v>
      </c>
      <c r="Q1107">
        <f>_xlfn.XLOOKUP(Orders[[#This Row],[CustomerID]],Customers[CustomerID],Customers[CustomerAge])</f>
        <v>40</v>
      </c>
      <c r="R1107" t="str">
        <f>IF(Orders[[#This Row],[CustomerAge]]&gt;=35, "Older", "Young")</f>
        <v>Older</v>
      </c>
      <c r="S1107" t="str">
        <f>_xlfn.XLOOKUP(Orders[[#This Row],[ProductID]],Products[ProductID],Products[ProductName])</f>
        <v>Kids Games</v>
      </c>
      <c r="T1107" t="str">
        <f>_xlfn.XLOOKUP(Orders[[#This Row],[ProductID]],Products[ProductID],Products[Category])</f>
        <v>Games</v>
      </c>
    </row>
    <row r="1108" spans="1:20" x14ac:dyDescent="0.25">
      <c r="A1108" s="4" t="s">
        <v>1297</v>
      </c>
      <c r="B1108" s="5">
        <v>45943</v>
      </c>
      <c r="C1108" s="15">
        <f>WEEKNUM(Orders[[#This Row],[OrderDate]])</f>
        <v>42</v>
      </c>
      <c r="D1108" s="15" t="str">
        <f>TEXT(Orders[[#This Row],[OrderDate]],"mmmm")</f>
        <v>October</v>
      </c>
      <c r="E1108" s="4" t="s">
        <v>264</v>
      </c>
      <c r="F1108" s="4" t="s">
        <v>25</v>
      </c>
      <c r="G1108" s="4">
        <v>10</v>
      </c>
      <c r="H1108" s="12">
        <v>11020.8</v>
      </c>
      <c r="I1108" s="13">
        <v>9367.68</v>
      </c>
      <c r="J1108" s="13">
        <f>Orders[[#This Row],[Quantity]]*Orders[[#This Row],[Selling Price]]</f>
        <v>110208</v>
      </c>
      <c r="K1108" s="13">
        <f>Orders[[#This Row],[Quantity]]*Orders[[#This Row],[Cost Price]]</f>
        <v>93676.800000000003</v>
      </c>
      <c r="L1108" s="13">
        <f>Orders[[#This Row],[Revenue]]-Orders[[#This Row],[Expenses]]</f>
        <v>16531.199999999997</v>
      </c>
      <c r="M1108" t="s">
        <v>2217</v>
      </c>
      <c r="N1108" t="str">
        <f>_xlfn.XLOOKUP(Orders[[#This Row],[CustomerID]],Customers[CustomerID],Customers[CustomerName])</f>
        <v>Ronke Adeyemi</v>
      </c>
      <c r="O1108" t="str">
        <f>_xlfn.XLOOKUP(Orders[[#This Row],[CustomerID]],Customers[CustomerID],Customers[City])</f>
        <v>Georgia</v>
      </c>
      <c r="P1108" t="str">
        <f>_xlfn.XLOOKUP(Orders[[#This Row],[CustomerID]],Customers[CustomerID],Customers[Gender])</f>
        <v>Female</v>
      </c>
      <c r="Q1108">
        <f>_xlfn.XLOOKUP(Orders[[#This Row],[CustomerID]],Customers[CustomerID],Customers[CustomerAge])</f>
        <v>19</v>
      </c>
      <c r="R1108" t="str">
        <f>IF(Orders[[#This Row],[CustomerAge]]&gt;=35, "Older", "Young")</f>
        <v>Young</v>
      </c>
      <c r="S1108" t="str">
        <f>_xlfn.XLOOKUP(Orders[[#This Row],[ProductID]],Products[ProductID],Products[ProductName])</f>
        <v>Gold Rings</v>
      </c>
      <c r="T1108" t="str">
        <f>_xlfn.XLOOKUP(Orders[[#This Row],[ProductID]],Products[ProductID],Products[Category])</f>
        <v>Accessories</v>
      </c>
    </row>
    <row r="1109" spans="1:20" x14ac:dyDescent="0.25">
      <c r="A1109" s="4" t="s">
        <v>1298</v>
      </c>
      <c r="B1109" s="5">
        <v>45983</v>
      </c>
      <c r="C1109" s="15">
        <f>WEEKNUM(Orders[[#This Row],[OrderDate]])</f>
        <v>47</v>
      </c>
      <c r="D1109" s="15" t="str">
        <f>TEXT(Orders[[#This Row],[OrderDate]],"mmmm")</f>
        <v>November</v>
      </c>
      <c r="E1109" s="4" t="s">
        <v>352</v>
      </c>
      <c r="F1109" s="4" t="s">
        <v>151</v>
      </c>
      <c r="G1109" s="4">
        <v>6</v>
      </c>
      <c r="H1109" s="12">
        <v>15263.900000000001</v>
      </c>
      <c r="I1109" s="13">
        <v>12974.315000000002</v>
      </c>
      <c r="J1109" s="13">
        <f>Orders[[#This Row],[Quantity]]*Orders[[#This Row],[Selling Price]]</f>
        <v>91583.400000000009</v>
      </c>
      <c r="K1109" s="13">
        <f>Orders[[#This Row],[Quantity]]*Orders[[#This Row],[Cost Price]]</f>
        <v>77845.890000000014</v>
      </c>
      <c r="L1109" s="13">
        <f>Orders[[#This Row],[Revenue]]-Orders[[#This Row],[Expenses]]</f>
        <v>13737.509999999995</v>
      </c>
      <c r="M1109" t="s">
        <v>2212</v>
      </c>
      <c r="N1109" t="str">
        <f>_xlfn.XLOOKUP(Orders[[#This Row],[CustomerID]],Customers[CustomerID],Customers[CustomerName])</f>
        <v>Zainab Eze</v>
      </c>
      <c r="O1109" t="str">
        <f>_xlfn.XLOOKUP(Orders[[#This Row],[CustomerID]],Customers[CustomerID],Customers[City])</f>
        <v>Texas</v>
      </c>
      <c r="P1109" t="str">
        <f>_xlfn.XLOOKUP(Orders[[#This Row],[CustomerID]],Customers[CustomerID],Customers[Gender])</f>
        <v>Female</v>
      </c>
      <c r="Q1109">
        <f>_xlfn.XLOOKUP(Orders[[#This Row],[CustomerID]],Customers[CustomerID],Customers[CustomerAge])</f>
        <v>40</v>
      </c>
      <c r="R1109" t="str">
        <f>IF(Orders[[#This Row],[CustomerAge]]&gt;=35, "Older", "Young")</f>
        <v>Older</v>
      </c>
      <c r="S1109" t="str">
        <f>_xlfn.XLOOKUP(Orders[[#This Row],[ProductID]],Products[ProductID],Products[ProductName])</f>
        <v>Checkers</v>
      </c>
      <c r="T1109" t="str">
        <f>_xlfn.XLOOKUP(Orders[[#This Row],[ProductID]],Products[ProductID],Products[Category])</f>
        <v>Games</v>
      </c>
    </row>
    <row r="1110" spans="1:20" x14ac:dyDescent="0.25">
      <c r="A1110" s="4" t="s">
        <v>1299</v>
      </c>
      <c r="B1110" s="5">
        <v>45954</v>
      </c>
      <c r="C1110" s="15">
        <f>WEEKNUM(Orders[[#This Row],[OrderDate]])</f>
        <v>43</v>
      </c>
      <c r="D1110" s="15" t="str">
        <f>TEXT(Orders[[#This Row],[OrderDate]],"mmmm")</f>
        <v>October</v>
      </c>
      <c r="E1110" s="4" t="s">
        <v>142</v>
      </c>
      <c r="F1110" s="4" t="s">
        <v>189</v>
      </c>
      <c r="G1110" s="4">
        <v>10</v>
      </c>
      <c r="H1110" s="12">
        <v>659.80000000000007</v>
      </c>
      <c r="I1110" s="13">
        <v>560.83000000000004</v>
      </c>
      <c r="J1110" s="13">
        <f>Orders[[#This Row],[Quantity]]*Orders[[#This Row],[Selling Price]]</f>
        <v>6598.0000000000009</v>
      </c>
      <c r="K1110" s="13">
        <f>Orders[[#This Row],[Quantity]]*Orders[[#This Row],[Cost Price]]</f>
        <v>5608.3</v>
      </c>
      <c r="L1110" s="13">
        <f>Orders[[#This Row],[Revenue]]-Orders[[#This Row],[Expenses]]</f>
        <v>989.70000000000073</v>
      </c>
      <c r="M1110" t="s">
        <v>2201</v>
      </c>
      <c r="N1110" t="str">
        <f>_xlfn.XLOOKUP(Orders[[#This Row],[CustomerID]],Customers[CustomerID],Customers[CustomerName])</f>
        <v>Obi Adeyemi</v>
      </c>
      <c r="O1110" t="str">
        <f>_xlfn.XLOOKUP(Orders[[#This Row],[CustomerID]],Customers[CustomerID],Customers[City])</f>
        <v>Florida</v>
      </c>
      <c r="P1110" t="str">
        <f>_xlfn.XLOOKUP(Orders[[#This Row],[CustomerID]],Customers[CustomerID],Customers[Gender])</f>
        <v>Male</v>
      </c>
      <c r="Q1110">
        <f>_xlfn.XLOOKUP(Orders[[#This Row],[CustomerID]],Customers[CustomerID],Customers[CustomerAge])</f>
        <v>31</v>
      </c>
      <c r="R1110" t="str">
        <f>IF(Orders[[#This Row],[CustomerAge]]&gt;=35, "Older", "Young")</f>
        <v>Young</v>
      </c>
      <c r="S1110" t="str">
        <f>_xlfn.XLOOKUP(Orders[[#This Row],[ProductID]],Products[ProductID],Products[ProductName])</f>
        <v>Scrabble</v>
      </c>
      <c r="T1110" t="str">
        <f>_xlfn.XLOOKUP(Orders[[#This Row],[ProductID]],Products[ProductID],Products[Category])</f>
        <v>Games</v>
      </c>
    </row>
    <row r="1111" spans="1:20" x14ac:dyDescent="0.25">
      <c r="A1111" s="4" t="s">
        <v>1300</v>
      </c>
      <c r="B1111" s="5">
        <v>46011</v>
      </c>
      <c r="C1111" s="15">
        <f>WEEKNUM(Orders[[#This Row],[OrderDate]])</f>
        <v>51</v>
      </c>
      <c r="D1111" s="15" t="str">
        <f>TEXT(Orders[[#This Row],[OrderDate]],"mmmm")</f>
        <v>December</v>
      </c>
      <c r="E1111" s="4" t="s">
        <v>150</v>
      </c>
      <c r="F1111" s="4" t="s">
        <v>125</v>
      </c>
      <c r="G1111" s="4">
        <v>3</v>
      </c>
      <c r="H1111" s="12">
        <v>16199.300000000001</v>
      </c>
      <c r="I1111" s="13">
        <v>13769.405000000001</v>
      </c>
      <c r="J1111" s="13">
        <f>Orders[[#This Row],[Quantity]]*Orders[[#This Row],[Selling Price]]</f>
        <v>48597.9</v>
      </c>
      <c r="K1111" s="13">
        <f>Orders[[#This Row],[Quantity]]*Orders[[#This Row],[Cost Price]]</f>
        <v>41308.215000000004</v>
      </c>
      <c r="L1111" s="13">
        <f>Orders[[#This Row],[Revenue]]-Orders[[#This Row],[Expenses]]</f>
        <v>7289.6849999999977</v>
      </c>
      <c r="M1111" t="s">
        <v>2208</v>
      </c>
      <c r="N1111" t="str">
        <f>_xlfn.XLOOKUP(Orders[[#This Row],[CustomerID]],Customers[CustomerID],Customers[CustomerName])</f>
        <v>Ronke Eze</v>
      </c>
      <c r="O1111" t="str">
        <f>_xlfn.XLOOKUP(Orders[[#This Row],[CustomerID]],Customers[CustomerID],Customers[City])</f>
        <v>Georgia</v>
      </c>
      <c r="P1111" t="str">
        <f>_xlfn.XLOOKUP(Orders[[#This Row],[CustomerID]],Customers[CustomerID],Customers[Gender])</f>
        <v>Female</v>
      </c>
      <c r="Q1111">
        <f>_xlfn.XLOOKUP(Orders[[#This Row],[CustomerID]],Customers[CustomerID],Customers[CustomerAge])</f>
        <v>23</v>
      </c>
      <c r="R1111" t="str">
        <f>IF(Orders[[#This Row],[CustomerAge]]&gt;=35, "Older", "Young")</f>
        <v>Young</v>
      </c>
      <c r="S1111" t="str">
        <f>_xlfn.XLOOKUP(Orders[[#This Row],[ProductID]],Products[ProductID],Products[ProductName])</f>
        <v>Earrings</v>
      </c>
      <c r="T1111" t="str">
        <f>_xlfn.XLOOKUP(Orders[[#This Row],[ProductID]],Products[ProductID],Products[Category])</f>
        <v>Accessories</v>
      </c>
    </row>
    <row r="1112" spans="1:20" x14ac:dyDescent="0.25">
      <c r="A1112" s="4" t="s">
        <v>1301</v>
      </c>
      <c r="B1112" s="5">
        <v>45980</v>
      </c>
      <c r="C1112" s="15">
        <f>WEEKNUM(Orders[[#This Row],[OrderDate]])</f>
        <v>47</v>
      </c>
      <c r="D1112" s="15" t="str">
        <f>TEXT(Orders[[#This Row],[OrderDate]],"mmmm")</f>
        <v>November</v>
      </c>
      <c r="E1112" s="4" t="s">
        <v>468</v>
      </c>
      <c r="F1112" s="4" t="s">
        <v>37</v>
      </c>
      <c r="G1112" s="4">
        <v>8</v>
      </c>
      <c r="H1112" s="12">
        <v>9907.1</v>
      </c>
      <c r="I1112" s="13">
        <v>8421.0349999999999</v>
      </c>
      <c r="J1112" s="13">
        <f>Orders[[#This Row],[Quantity]]*Orders[[#This Row],[Selling Price]]</f>
        <v>79256.800000000003</v>
      </c>
      <c r="K1112" s="13">
        <f>Orders[[#This Row],[Quantity]]*Orders[[#This Row],[Cost Price]]</f>
        <v>67368.28</v>
      </c>
      <c r="L1112" s="13">
        <f>Orders[[#This Row],[Revenue]]-Orders[[#This Row],[Expenses]]</f>
        <v>11888.520000000004</v>
      </c>
      <c r="M1112" t="s">
        <v>2200</v>
      </c>
      <c r="N1112" t="str">
        <f>_xlfn.XLOOKUP(Orders[[#This Row],[CustomerID]],Customers[CustomerID],Customers[CustomerName])</f>
        <v>Chioma Adeyemi</v>
      </c>
      <c r="O1112" t="str">
        <f>_xlfn.XLOOKUP(Orders[[#This Row],[CustomerID]],Customers[CustomerID],Customers[City])</f>
        <v>California</v>
      </c>
      <c r="P1112" t="str">
        <f>_xlfn.XLOOKUP(Orders[[#This Row],[CustomerID]],Customers[CustomerID],Customers[Gender])</f>
        <v>Female</v>
      </c>
      <c r="Q1112">
        <f>_xlfn.XLOOKUP(Orders[[#This Row],[CustomerID]],Customers[CustomerID],Customers[CustomerAge])</f>
        <v>23</v>
      </c>
      <c r="R1112" t="str">
        <f>IF(Orders[[#This Row],[CustomerAge]]&gt;=35, "Older", "Young")</f>
        <v>Young</v>
      </c>
      <c r="S1112" t="str">
        <f>_xlfn.XLOOKUP(Orders[[#This Row],[ProductID]],Products[ProductID],Products[ProductName])</f>
        <v>Iron</v>
      </c>
      <c r="T1112" t="str">
        <f>_xlfn.XLOOKUP(Orders[[#This Row],[ProductID]],Products[ProductID],Products[Category])</f>
        <v>Electronics</v>
      </c>
    </row>
    <row r="1113" spans="1:20" x14ac:dyDescent="0.25">
      <c r="A1113" s="4" t="s">
        <v>1302</v>
      </c>
      <c r="B1113" s="5">
        <v>45948</v>
      </c>
      <c r="C1113" s="15">
        <f>WEEKNUM(Orders[[#This Row],[OrderDate]])</f>
        <v>42</v>
      </c>
      <c r="D1113" s="15" t="str">
        <f>TEXT(Orders[[#This Row],[OrderDate]],"mmmm")</f>
        <v>October</v>
      </c>
      <c r="E1113" s="4" t="s">
        <v>52</v>
      </c>
      <c r="F1113" s="4" t="s">
        <v>15</v>
      </c>
      <c r="G1113" s="4">
        <v>8</v>
      </c>
      <c r="H1113" s="12">
        <v>11873.4</v>
      </c>
      <c r="I1113" s="13">
        <v>10092.39</v>
      </c>
      <c r="J1113" s="13">
        <f>Orders[[#This Row],[Quantity]]*Orders[[#This Row],[Selling Price]]</f>
        <v>94987.199999999997</v>
      </c>
      <c r="K1113" s="13">
        <f>Orders[[#This Row],[Quantity]]*Orders[[#This Row],[Cost Price]]</f>
        <v>80739.12</v>
      </c>
      <c r="L1113" s="13">
        <f>Orders[[#This Row],[Revenue]]-Orders[[#This Row],[Expenses]]</f>
        <v>14248.080000000002</v>
      </c>
      <c r="M1113" t="s">
        <v>2198</v>
      </c>
      <c r="N1113" t="str">
        <f>_xlfn.XLOOKUP(Orders[[#This Row],[CustomerID]],Customers[CustomerID],Customers[CustomerName])</f>
        <v>Folasade Ojo</v>
      </c>
      <c r="O1113" t="str">
        <f>_xlfn.XLOOKUP(Orders[[#This Row],[CustomerID]],Customers[CustomerID],Customers[City])</f>
        <v>Texas</v>
      </c>
      <c r="P1113" t="str">
        <f>_xlfn.XLOOKUP(Orders[[#This Row],[CustomerID]],Customers[CustomerID],Customers[Gender])</f>
        <v>Female</v>
      </c>
      <c r="Q1113">
        <f>_xlfn.XLOOKUP(Orders[[#This Row],[CustomerID]],Customers[CustomerID],Customers[CustomerAge])</f>
        <v>29</v>
      </c>
      <c r="R1113" t="str">
        <f>IF(Orders[[#This Row],[CustomerAge]]&gt;=35, "Older", "Young")</f>
        <v>Young</v>
      </c>
      <c r="S1113" t="str">
        <f>_xlfn.XLOOKUP(Orders[[#This Row],[ProductID]],Products[ProductID],Products[ProductName])</f>
        <v>Monopoly</v>
      </c>
      <c r="T1113" t="str">
        <f>_xlfn.XLOOKUP(Orders[[#This Row],[ProductID]],Products[ProductID],Products[Category])</f>
        <v>Games</v>
      </c>
    </row>
    <row r="1114" spans="1:20" x14ac:dyDescent="0.25">
      <c r="A1114" s="4" t="s">
        <v>1303</v>
      </c>
      <c r="B1114" s="5">
        <v>45986</v>
      </c>
      <c r="C1114" s="15">
        <f>WEEKNUM(Orders[[#This Row],[OrderDate]])</f>
        <v>48</v>
      </c>
      <c r="D1114" s="15" t="str">
        <f>TEXT(Orders[[#This Row],[OrderDate]],"mmmm")</f>
        <v>November</v>
      </c>
      <c r="E1114" s="4" t="s">
        <v>118</v>
      </c>
      <c r="F1114" s="4" t="s">
        <v>31</v>
      </c>
      <c r="G1114" s="4">
        <v>2</v>
      </c>
      <c r="H1114" s="12">
        <v>5983.9</v>
      </c>
      <c r="I1114" s="13">
        <v>5086.3149999999996</v>
      </c>
      <c r="J1114" s="13">
        <f>Orders[[#This Row],[Quantity]]*Orders[[#This Row],[Selling Price]]</f>
        <v>11967.8</v>
      </c>
      <c r="K1114" s="13">
        <f>Orders[[#This Row],[Quantity]]*Orders[[#This Row],[Cost Price]]</f>
        <v>10172.629999999999</v>
      </c>
      <c r="L1114" s="13">
        <f>Orders[[#This Row],[Revenue]]-Orders[[#This Row],[Expenses]]</f>
        <v>1795.17</v>
      </c>
      <c r="M1114" t="s">
        <v>2202</v>
      </c>
      <c r="N1114" t="str">
        <f>_xlfn.XLOOKUP(Orders[[#This Row],[CustomerID]],Customers[CustomerID],Customers[CustomerName])</f>
        <v>Ibrahim Balogun</v>
      </c>
      <c r="O1114" t="str">
        <f>_xlfn.XLOOKUP(Orders[[#This Row],[CustomerID]],Customers[CustomerID],Customers[City])</f>
        <v>Georgia</v>
      </c>
      <c r="P1114" t="str">
        <f>_xlfn.XLOOKUP(Orders[[#This Row],[CustomerID]],Customers[CustomerID],Customers[Gender])</f>
        <v>Male</v>
      </c>
      <c r="Q1114">
        <f>_xlfn.XLOOKUP(Orders[[#This Row],[CustomerID]],Customers[CustomerID],Customers[CustomerAge])</f>
        <v>55</v>
      </c>
      <c r="R1114" t="str">
        <f>IF(Orders[[#This Row],[CustomerAge]]&gt;=35, "Older", "Young")</f>
        <v>Older</v>
      </c>
      <c r="S1114" t="str">
        <f>_xlfn.XLOOKUP(Orders[[#This Row],[ProductID]],Products[ProductID],Products[ProductName])</f>
        <v>Kids Games</v>
      </c>
      <c r="T1114" t="str">
        <f>_xlfn.XLOOKUP(Orders[[#This Row],[ProductID]],Products[ProductID],Products[Category])</f>
        <v>Games</v>
      </c>
    </row>
    <row r="1115" spans="1:20" x14ac:dyDescent="0.25">
      <c r="A1115" s="4" t="s">
        <v>1304</v>
      </c>
      <c r="B1115" s="5">
        <v>45956</v>
      </c>
      <c r="C1115" s="15">
        <f>WEEKNUM(Orders[[#This Row],[OrderDate]])</f>
        <v>44</v>
      </c>
      <c r="D1115" s="15" t="str">
        <f>TEXT(Orders[[#This Row],[OrderDate]],"mmmm")</f>
        <v>October</v>
      </c>
      <c r="E1115" s="4" t="s">
        <v>33</v>
      </c>
      <c r="F1115" s="4" t="s">
        <v>23</v>
      </c>
      <c r="G1115" s="4">
        <v>9</v>
      </c>
      <c r="H1115" s="12">
        <v>5398.4000000000005</v>
      </c>
      <c r="I1115" s="13">
        <v>4588.6400000000003</v>
      </c>
      <c r="J1115" s="13">
        <f>Orders[[#This Row],[Quantity]]*Orders[[#This Row],[Selling Price]]</f>
        <v>48585.600000000006</v>
      </c>
      <c r="K1115" s="13">
        <f>Orders[[#This Row],[Quantity]]*Orders[[#This Row],[Cost Price]]</f>
        <v>41297.760000000002</v>
      </c>
      <c r="L1115" s="13">
        <f>Orders[[#This Row],[Revenue]]-Orders[[#This Row],[Expenses]]</f>
        <v>7287.8400000000038</v>
      </c>
      <c r="M1115" t="s">
        <v>2202</v>
      </c>
      <c r="N1115" t="str">
        <f>_xlfn.XLOOKUP(Orders[[#This Row],[CustomerID]],Customers[CustomerID],Customers[CustomerName])</f>
        <v>Okon Balogun</v>
      </c>
      <c r="O1115" t="str">
        <f>_xlfn.XLOOKUP(Orders[[#This Row],[CustomerID]],Customers[CustomerID],Customers[City])</f>
        <v>Texas</v>
      </c>
      <c r="P1115" t="str">
        <f>_xlfn.XLOOKUP(Orders[[#This Row],[CustomerID]],Customers[CustomerID],Customers[Gender])</f>
        <v>Male</v>
      </c>
      <c r="Q1115">
        <f>_xlfn.XLOOKUP(Orders[[#This Row],[CustomerID]],Customers[CustomerID],Customers[CustomerAge])</f>
        <v>28</v>
      </c>
      <c r="R1115" t="str">
        <f>IF(Orders[[#This Row],[CustomerAge]]&gt;=35, "Older", "Young")</f>
        <v>Young</v>
      </c>
      <c r="S1115" t="str">
        <f>_xlfn.XLOOKUP(Orders[[#This Row],[ProductID]],Products[ProductID],Products[ProductName])</f>
        <v>Gym Gloves</v>
      </c>
      <c r="T1115" t="str">
        <f>_xlfn.XLOOKUP(Orders[[#This Row],[ProductID]],Products[ProductID],Products[Category])</f>
        <v>Gym</v>
      </c>
    </row>
    <row r="1116" spans="1:20" x14ac:dyDescent="0.25">
      <c r="A1116" s="4" t="s">
        <v>1305</v>
      </c>
      <c r="B1116" s="5">
        <v>45985</v>
      </c>
      <c r="C1116" s="15">
        <f>WEEKNUM(Orders[[#This Row],[OrderDate]])</f>
        <v>48</v>
      </c>
      <c r="D1116" s="15" t="str">
        <f>TEXT(Orders[[#This Row],[OrderDate]],"mmmm")</f>
        <v>November</v>
      </c>
      <c r="E1116" s="4" t="s">
        <v>43</v>
      </c>
      <c r="F1116" s="4" t="s">
        <v>84</v>
      </c>
      <c r="G1116" s="4">
        <v>3</v>
      </c>
      <c r="H1116" s="12">
        <v>6933.2000000000007</v>
      </c>
      <c r="I1116" s="13">
        <v>5893.2200000000012</v>
      </c>
      <c r="J1116" s="13">
        <f>Orders[[#This Row],[Quantity]]*Orders[[#This Row],[Selling Price]]</f>
        <v>20799.600000000002</v>
      </c>
      <c r="K1116" s="13">
        <f>Orders[[#This Row],[Quantity]]*Orders[[#This Row],[Cost Price]]</f>
        <v>17679.660000000003</v>
      </c>
      <c r="L1116" s="13">
        <f>Orders[[#This Row],[Revenue]]-Orders[[#This Row],[Expenses]]</f>
        <v>3119.9399999999987</v>
      </c>
      <c r="M1116" t="s">
        <v>2202</v>
      </c>
      <c r="N1116" t="str">
        <f>_xlfn.XLOOKUP(Orders[[#This Row],[CustomerID]],Customers[CustomerID],Customers[CustomerName])</f>
        <v>Mustafa Danladi</v>
      </c>
      <c r="O1116" t="str">
        <f>_xlfn.XLOOKUP(Orders[[#This Row],[CustomerID]],Customers[CustomerID],Customers[City])</f>
        <v>Georgia</v>
      </c>
      <c r="P1116" t="str">
        <f>_xlfn.XLOOKUP(Orders[[#This Row],[CustomerID]],Customers[CustomerID],Customers[Gender])</f>
        <v>Male</v>
      </c>
      <c r="Q1116">
        <f>_xlfn.XLOOKUP(Orders[[#This Row],[CustomerID]],Customers[CustomerID],Customers[CustomerAge])</f>
        <v>49</v>
      </c>
      <c r="R1116" t="str">
        <f>IF(Orders[[#This Row],[CustomerAge]]&gt;=35, "Older", "Young")</f>
        <v>Older</v>
      </c>
      <c r="S1116" t="str">
        <f>_xlfn.XLOOKUP(Orders[[#This Row],[ProductID]],Products[ProductID],Products[ProductName])</f>
        <v>Gym Wears</v>
      </c>
      <c r="T1116" t="str">
        <f>_xlfn.XLOOKUP(Orders[[#This Row],[ProductID]],Products[ProductID],Products[Category])</f>
        <v>Clothing</v>
      </c>
    </row>
    <row r="1117" spans="1:20" x14ac:dyDescent="0.25">
      <c r="A1117" s="4" t="s">
        <v>1306</v>
      </c>
      <c r="B1117" s="5">
        <v>45991</v>
      </c>
      <c r="C1117" s="15">
        <f>WEEKNUM(Orders[[#This Row],[OrderDate]])</f>
        <v>49</v>
      </c>
      <c r="D1117" s="15" t="str">
        <f>TEXT(Orders[[#This Row],[OrderDate]],"mmmm")</f>
        <v>November</v>
      </c>
      <c r="E1117" s="4" t="s">
        <v>176</v>
      </c>
      <c r="F1117" s="4" t="s">
        <v>168</v>
      </c>
      <c r="G1117" s="4">
        <v>3</v>
      </c>
      <c r="H1117" s="12">
        <v>18657.8</v>
      </c>
      <c r="I1117" s="13">
        <v>15859.13</v>
      </c>
      <c r="J1117" s="13">
        <f>Orders[[#This Row],[Quantity]]*Orders[[#This Row],[Selling Price]]</f>
        <v>55973.399999999994</v>
      </c>
      <c r="K1117" s="13">
        <f>Orders[[#This Row],[Quantity]]*Orders[[#This Row],[Cost Price]]</f>
        <v>47577.39</v>
      </c>
      <c r="L1117" s="13">
        <f>Orders[[#This Row],[Revenue]]-Orders[[#This Row],[Expenses]]</f>
        <v>8396.0099999999948</v>
      </c>
      <c r="M1117" t="s">
        <v>2203</v>
      </c>
      <c r="N1117" t="str">
        <f>_xlfn.XLOOKUP(Orders[[#This Row],[CustomerID]],Customers[CustomerID],Customers[CustomerName])</f>
        <v>Okon Eze</v>
      </c>
      <c r="O1117" t="str">
        <f>_xlfn.XLOOKUP(Orders[[#This Row],[CustomerID]],Customers[CustomerID],Customers[City])</f>
        <v>Florida</v>
      </c>
      <c r="P1117" t="str">
        <f>_xlfn.XLOOKUP(Orders[[#This Row],[CustomerID]],Customers[CustomerID],Customers[Gender])</f>
        <v>Male</v>
      </c>
      <c r="Q1117">
        <f>_xlfn.XLOOKUP(Orders[[#This Row],[CustomerID]],Customers[CustomerID],Customers[CustomerAge])</f>
        <v>26</v>
      </c>
      <c r="R1117" t="str">
        <f>IF(Orders[[#This Row],[CustomerAge]]&gt;=35, "Older", "Young")</f>
        <v>Young</v>
      </c>
      <c r="S1117" t="str">
        <f>_xlfn.XLOOKUP(Orders[[#This Row],[ProductID]],Products[ProductID],Products[ProductName])</f>
        <v>Dumb Bells</v>
      </c>
      <c r="T1117" t="str">
        <f>_xlfn.XLOOKUP(Orders[[#This Row],[ProductID]],Products[ProductID],Products[Category])</f>
        <v>Gym</v>
      </c>
    </row>
    <row r="1118" spans="1:20" x14ac:dyDescent="0.25">
      <c r="A1118" s="4" t="s">
        <v>1307</v>
      </c>
      <c r="B1118" s="5">
        <v>45940</v>
      </c>
      <c r="C1118" s="15">
        <f>WEEKNUM(Orders[[#This Row],[OrderDate]])</f>
        <v>41</v>
      </c>
      <c r="D1118" s="15" t="str">
        <f>TEXT(Orders[[#This Row],[OrderDate]],"mmmm")</f>
        <v>October</v>
      </c>
      <c r="E1118" s="4" t="s">
        <v>514</v>
      </c>
      <c r="F1118" s="4" t="s">
        <v>46</v>
      </c>
      <c r="G1118" s="4">
        <v>4</v>
      </c>
      <c r="H1118" s="12">
        <v>5685.5</v>
      </c>
      <c r="I1118" s="13">
        <v>4832.6750000000002</v>
      </c>
      <c r="J1118" s="13">
        <f>Orders[[#This Row],[Quantity]]*Orders[[#This Row],[Selling Price]]</f>
        <v>22742</v>
      </c>
      <c r="K1118" s="13">
        <f>Orders[[#This Row],[Quantity]]*Orders[[#This Row],[Cost Price]]</f>
        <v>19330.7</v>
      </c>
      <c r="L1118" s="13">
        <f>Orders[[#This Row],[Revenue]]-Orders[[#This Row],[Expenses]]</f>
        <v>3411.2999999999993</v>
      </c>
      <c r="M1118" t="s">
        <v>2210</v>
      </c>
      <c r="N1118" t="str">
        <f>_xlfn.XLOOKUP(Orders[[#This Row],[CustomerID]],Customers[CustomerID],Customers[CustomerName])</f>
        <v>Ibrahim Okonkwo</v>
      </c>
      <c r="O1118" t="str">
        <f>_xlfn.XLOOKUP(Orders[[#This Row],[CustomerID]],Customers[CustomerID],Customers[City])</f>
        <v>Florida</v>
      </c>
      <c r="P1118" t="str">
        <f>_xlfn.XLOOKUP(Orders[[#This Row],[CustomerID]],Customers[CustomerID],Customers[Gender])</f>
        <v>Male</v>
      </c>
      <c r="Q1118">
        <f>_xlfn.XLOOKUP(Orders[[#This Row],[CustomerID]],Customers[CustomerID],Customers[CustomerAge])</f>
        <v>28</v>
      </c>
      <c r="R1118" t="str">
        <f>IF(Orders[[#This Row],[CustomerAge]]&gt;=35, "Older", "Young")</f>
        <v>Young</v>
      </c>
      <c r="S1118" t="str">
        <f>_xlfn.XLOOKUP(Orders[[#This Row],[ProductID]],Products[ProductID],Products[ProductName])</f>
        <v>Turtle Neck</v>
      </c>
      <c r="T1118" t="str">
        <f>_xlfn.XLOOKUP(Orders[[#This Row],[ProductID]],Products[ProductID],Products[Category])</f>
        <v>Clothing</v>
      </c>
    </row>
    <row r="1119" spans="1:20" x14ac:dyDescent="0.25">
      <c r="A1119" s="4" t="s">
        <v>1308</v>
      </c>
      <c r="B1119" s="5">
        <v>45957</v>
      </c>
      <c r="C1119" s="15">
        <f>WEEKNUM(Orders[[#This Row],[OrderDate]])</f>
        <v>44</v>
      </c>
      <c r="D1119" s="15" t="str">
        <f>TEXT(Orders[[#This Row],[OrderDate]],"mmmm")</f>
        <v>October</v>
      </c>
      <c r="E1119" s="4" t="s">
        <v>203</v>
      </c>
      <c r="F1119" s="4" t="s">
        <v>151</v>
      </c>
      <c r="G1119" s="4">
        <v>9</v>
      </c>
      <c r="H1119" s="12">
        <v>7092.7999999999993</v>
      </c>
      <c r="I1119" s="13">
        <v>6028.8799999999992</v>
      </c>
      <c r="J1119" s="13">
        <f>Orders[[#This Row],[Quantity]]*Orders[[#This Row],[Selling Price]]</f>
        <v>63835.199999999997</v>
      </c>
      <c r="K1119" s="13">
        <f>Orders[[#This Row],[Quantity]]*Orders[[#This Row],[Cost Price]]</f>
        <v>54259.919999999991</v>
      </c>
      <c r="L1119" s="13">
        <f>Orders[[#This Row],[Revenue]]-Orders[[#This Row],[Expenses]]</f>
        <v>9575.2800000000061</v>
      </c>
      <c r="M1119" t="s">
        <v>2220</v>
      </c>
      <c r="N1119" t="str">
        <f>_xlfn.XLOOKUP(Orders[[#This Row],[CustomerID]],Customers[CustomerID],Customers[CustomerName])</f>
        <v>Okon Bello</v>
      </c>
      <c r="O1119" t="str">
        <f>_xlfn.XLOOKUP(Orders[[#This Row],[CustomerID]],Customers[CustomerID],Customers[City])</f>
        <v>Texas</v>
      </c>
      <c r="P1119" t="str">
        <f>_xlfn.XLOOKUP(Orders[[#This Row],[CustomerID]],Customers[CustomerID],Customers[Gender])</f>
        <v>Male</v>
      </c>
      <c r="Q1119">
        <f>_xlfn.XLOOKUP(Orders[[#This Row],[CustomerID]],Customers[CustomerID],Customers[CustomerAge])</f>
        <v>20</v>
      </c>
      <c r="R1119" t="str">
        <f>IF(Orders[[#This Row],[CustomerAge]]&gt;=35, "Older", "Young")</f>
        <v>Young</v>
      </c>
      <c r="S1119" t="str">
        <f>_xlfn.XLOOKUP(Orders[[#This Row],[ProductID]],Products[ProductID],Products[ProductName])</f>
        <v>Checkers</v>
      </c>
      <c r="T1119" t="str">
        <f>_xlfn.XLOOKUP(Orders[[#This Row],[ProductID]],Products[ProductID],Products[Category])</f>
        <v>Games</v>
      </c>
    </row>
    <row r="1120" spans="1:20" x14ac:dyDescent="0.25">
      <c r="A1120" s="4" t="s">
        <v>1309</v>
      </c>
      <c r="B1120" s="5">
        <v>45969</v>
      </c>
      <c r="C1120" s="15">
        <f>WEEKNUM(Orders[[#This Row],[OrderDate]])</f>
        <v>45</v>
      </c>
      <c r="D1120" s="15" t="str">
        <f>TEXT(Orders[[#This Row],[OrderDate]],"mmmm")</f>
        <v>November</v>
      </c>
      <c r="E1120" s="4" t="s">
        <v>163</v>
      </c>
      <c r="F1120" s="4" t="s">
        <v>28</v>
      </c>
      <c r="G1120" s="4">
        <v>7</v>
      </c>
      <c r="H1120" s="12">
        <v>10704</v>
      </c>
      <c r="I1120" s="13">
        <v>9098.4</v>
      </c>
      <c r="J1120" s="13">
        <f>Orders[[#This Row],[Quantity]]*Orders[[#This Row],[Selling Price]]</f>
        <v>74928</v>
      </c>
      <c r="K1120" s="13">
        <f>Orders[[#This Row],[Quantity]]*Orders[[#This Row],[Cost Price]]</f>
        <v>63688.799999999996</v>
      </c>
      <c r="L1120" s="13">
        <f>Orders[[#This Row],[Revenue]]-Orders[[#This Row],[Expenses]]</f>
        <v>11239.200000000004</v>
      </c>
      <c r="M1120" t="s">
        <v>2213</v>
      </c>
      <c r="N1120" t="str">
        <f>_xlfn.XLOOKUP(Orders[[#This Row],[CustomerID]],Customers[CustomerID],Customers[CustomerName])</f>
        <v>Folasade Danladi</v>
      </c>
      <c r="O1120" t="str">
        <f>_xlfn.XLOOKUP(Orders[[#This Row],[CustomerID]],Customers[CustomerID],Customers[City])</f>
        <v>Texas</v>
      </c>
      <c r="P1120" t="str">
        <f>_xlfn.XLOOKUP(Orders[[#This Row],[CustomerID]],Customers[CustomerID],Customers[Gender])</f>
        <v>Female</v>
      </c>
      <c r="Q1120">
        <f>_xlfn.XLOOKUP(Orders[[#This Row],[CustomerID]],Customers[CustomerID],Customers[CustomerAge])</f>
        <v>32</v>
      </c>
      <c r="R1120" t="str">
        <f>IF(Orders[[#This Row],[CustomerAge]]&gt;=35, "Older", "Young")</f>
        <v>Young</v>
      </c>
      <c r="S1120" t="str">
        <f>_xlfn.XLOOKUP(Orders[[#This Row],[ProductID]],Products[ProductID],Products[ProductName])</f>
        <v>Sneakers</v>
      </c>
      <c r="T1120" t="str">
        <f>_xlfn.XLOOKUP(Orders[[#This Row],[ProductID]],Products[ProductID],Products[Category])</f>
        <v>Sports</v>
      </c>
    </row>
    <row r="1121" spans="1:20" x14ac:dyDescent="0.25">
      <c r="A1121" s="4" t="s">
        <v>1310</v>
      </c>
      <c r="B1121" s="5">
        <v>45932</v>
      </c>
      <c r="C1121" s="15">
        <f>WEEKNUM(Orders[[#This Row],[OrderDate]])</f>
        <v>40</v>
      </c>
      <c r="D1121" s="15" t="str">
        <f>TEXT(Orders[[#This Row],[OrderDate]],"mmmm")</f>
        <v>October</v>
      </c>
      <c r="E1121" s="4" t="s">
        <v>291</v>
      </c>
      <c r="F1121" s="4" t="s">
        <v>57</v>
      </c>
      <c r="G1121" s="4">
        <v>4</v>
      </c>
      <c r="H1121" s="12">
        <v>1343.3000000000002</v>
      </c>
      <c r="I1121" s="13">
        <v>1141.8050000000001</v>
      </c>
      <c r="J1121" s="13">
        <f>Orders[[#This Row],[Quantity]]*Orders[[#This Row],[Selling Price]]</f>
        <v>5373.2000000000007</v>
      </c>
      <c r="K1121" s="13">
        <f>Orders[[#This Row],[Quantity]]*Orders[[#This Row],[Cost Price]]</f>
        <v>4567.22</v>
      </c>
      <c r="L1121" s="13">
        <f>Orders[[#This Row],[Revenue]]-Orders[[#This Row],[Expenses]]</f>
        <v>805.98000000000047</v>
      </c>
      <c r="M1121" t="s">
        <v>2211</v>
      </c>
      <c r="N1121" t="str">
        <f>_xlfn.XLOOKUP(Orders[[#This Row],[CustomerID]],Customers[CustomerID],Customers[CustomerName])</f>
        <v>Okon Igwe</v>
      </c>
      <c r="O1121" t="str">
        <f>_xlfn.XLOOKUP(Orders[[#This Row],[CustomerID]],Customers[CustomerID],Customers[City])</f>
        <v>Texas</v>
      </c>
      <c r="P1121" t="str">
        <f>_xlfn.XLOOKUP(Orders[[#This Row],[CustomerID]],Customers[CustomerID],Customers[Gender])</f>
        <v>Male</v>
      </c>
      <c r="Q1121">
        <f>_xlfn.XLOOKUP(Orders[[#This Row],[CustomerID]],Customers[CustomerID],Customers[CustomerAge])</f>
        <v>33</v>
      </c>
      <c r="R1121" t="str">
        <f>IF(Orders[[#This Row],[CustomerAge]]&gt;=35, "Older", "Young")</f>
        <v>Young</v>
      </c>
      <c r="S1121" t="str">
        <f>_xlfn.XLOOKUP(Orders[[#This Row],[ProductID]],Products[ProductID],Products[ProductName])</f>
        <v>Badminton Racket</v>
      </c>
      <c r="T1121" t="str">
        <f>_xlfn.XLOOKUP(Orders[[#This Row],[ProductID]],Products[ProductID],Products[Category])</f>
        <v>Sports</v>
      </c>
    </row>
    <row r="1122" spans="1:20" x14ac:dyDescent="0.25">
      <c r="A1122" s="4" t="s">
        <v>1311</v>
      </c>
      <c r="B1122" s="5">
        <v>45964</v>
      </c>
      <c r="C1122" s="15">
        <f>WEEKNUM(Orders[[#This Row],[OrderDate]])</f>
        <v>45</v>
      </c>
      <c r="D1122" s="15" t="str">
        <f>TEXT(Orders[[#This Row],[OrderDate]],"mmmm")</f>
        <v>November</v>
      </c>
      <c r="E1122" s="4" t="s">
        <v>468</v>
      </c>
      <c r="F1122" s="4" t="s">
        <v>9</v>
      </c>
      <c r="G1122" s="4">
        <v>9</v>
      </c>
      <c r="H1122" s="12">
        <v>19012.900000000001</v>
      </c>
      <c r="I1122" s="13">
        <v>16160.965000000002</v>
      </c>
      <c r="J1122" s="13">
        <f>Orders[[#This Row],[Quantity]]*Orders[[#This Row],[Selling Price]]</f>
        <v>171116.1</v>
      </c>
      <c r="K1122" s="13">
        <f>Orders[[#This Row],[Quantity]]*Orders[[#This Row],[Cost Price]]</f>
        <v>145448.68500000003</v>
      </c>
      <c r="L1122" s="13">
        <f>Orders[[#This Row],[Revenue]]-Orders[[#This Row],[Expenses]]</f>
        <v>25667.414999999979</v>
      </c>
      <c r="M1122" t="s">
        <v>2217</v>
      </c>
      <c r="N1122" t="str">
        <f>_xlfn.XLOOKUP(Orders[[#This Row],[CustomerID]],Customers[CustomerID],Customers[CustomerName])</f>
        <v>Chioma Adeyemi</v>
      </c>
      <c r="O1122" t="str">
        <f>_xlfn.XLOOKUP(Orders[[#This Row],[CustomerID]],Customers[CustomerID],Customers[City])</f>
        <v>California</v>
      </c>
      <c r="P1122" t="str">
        <f>_xlfn.XLOOKUP(Orders[[#This Row],[CustomerID]],Customers[CustomerID],Customers[Gender])</f>
        <v>Female</v>
      </c>
      <c r="Q1122">
        <f>_xlfn.XLOOKUP(Orders[[#This Row],[CustomerID]],Customers[CustomerID],Customers[CustomerAge])</f>
        <v>23</v>
      </c>
      <c r="R1122" t="str">
        <f>IF(Orders[[#This Row],[CustomerAge]]&gt;=35, "Older", "Young")</f>
        <v>Young</v>
      </c>
      <c r="S1122" t="str">
        <f>_xlfn.XLOOKUP(Orders[[#This Row],[ProductID]],Products[ProductID],Products[ProductName])</f>
        <v>Beaded Earrings And Necklaces</v>
      </c>
      <c r="T1122" t="str">
        <f>_xlfn.XLOOKUP(Orders[[#This Row],[ProductID]],Products[ProductID],Products[Category])</f>
        <v>Accessories</v>
      </c>
    </row>
    <row r="1123" spans="1:20" x14ac:dyDescent="0.25">
      <c r="A1123" s="4" t="s">
        <v>1312</v>
      </c>
      <c r="B1123" s="5">
        <v>45938</v>
      </c>
      <c r="C1123" s="15">
        <f>WEEKNUM(Orders[[#This Row],[OrderDate]])</f>
        <v>41</v>
      </c>
      <c r="D1123" s="15" t="str">
        <f>TEXT(Orders[[#This Row],[OrderDate]],"mmmm")</f>
        <v>October</v>
      </c>
      <c r="E1123" s="4" t="s">
        <v>103</v>
      </c>
      <c r="F1123" s="4" t="s">
        <v>46</v>
      </c>
      <c r="G1123" s="4">
        <v>10</v>
      </c>
      <c r="H1123" s="12">
        <v>7741.2</v>
      </c>
      <c r="I1123" s="13">
        <v>6580.02</v>
      </c>
      <c r="J1123" s="13">
        <f>Orders[[#This Row],[Quantity]]*Orders[[#This Row],[Selling Price]]</f>
        <v>77412</v>
      </c>
      <c r="K1123" s="13">
        <f>Orders[[#This Row],[Quantity]]*Orders[[#This Row],[Cost Price]]</f>
        <v>65800.200000000012</v>
      </c>
      <c r="L1123" s="13">
        <f>Orders[[#This Row],[Revenue]]-Orders[[#This Row],[Expenses]]</f>
        <v>11611.799999999988</v>
      </c>
      <c r="M1123" t="s">
        <v>2198</v>
      </c>
      <c r="N1123" t="str">
        <f>_xlfn.XLOOKUP(Orders[[#This Row],[CustomerID]],Customers[CustomerID],Customers[CustomerName])</f>
        <v>Chioma Adeyemi</v>
      </c>
      <c r="O1123" t="str">
        <f>_xlfn.XLOOKUP(Orders[[#This Row],[CustomerID]],Customers[CustomerID],Customers[City])</f>
        <v>Georgia</v>
      </c>
      <c r="P1123" t="str">
        <f>_xlfn.XLOOKUP(Orders[[#This Row],[CustomerID]],Customers[CustomerID],Customers[Gender])</f>
        <v>Female</v>
      </c>
      <c r="Q1123">
        <f>_xlfn.XLOOKUP(Orders[[#This Row],[CustomerID]],Customers[CustomerID],Customers[CustomerAge])</f>
        <v>31</v>
      </c>
      <c r="R1123" t="str">
        <f>IF(Orders[[#This Row],[CustomerAge]]&gt;=35, "Older", "Young")</f>
        <v>Young</v>
      </c>
      <c r="S1123" t="str">
        <f>_xlfn.XLOOKUP(Orders[[#This Row],[ProductID]],Products[ProductID],Products[ProductName])</f>
        <v>Turtle Neck</v>
      </c>
      <c r="T1123" t="str">
        <f>_xlfn.XLOOKUP(Orders[[#This Row],[ProductID]],Products[ProductID],Products[Category])</f>
        <v>Clothing</v>
      </c>
    </row>
    <row r="1124" spans="1:20" x14ac:dyDescent="0.25">
      <c r="A1124" s="4" t="s">
        <v>1313</v>
      </c>
      <c r="B1124" s="5">
        <v>45941</v>
      </c>
      <c r="C1124" s="15">
        <f>WEEKNUM(Orders[[#This Row],[OrderDate]])</f>
        <v>41</v>
      </c>
      <c r="D1124" s="15" t="str">
        <f>TEXT(Orders[[#This Row],[OrderDate]],"mmmm")</f>
        <v>October</v>
      </c>
      <c r="E1124" s="4" t="s">
        <v>110</v>
      </c>
      <c r="F1124" s="4" t="s">
        <v>66</v>
      </c>
      <c r="G1124" s="4">
        <v>4</v>
      </c>
      <c r="H1124" s="12">
        <v>17478.3</v>
      </c>
      <c r="I1124" s="13">
        <v>14856.555</v>
      </c>
      <c r="J1124" s="13">
        <f>Orders[[#This Row],[Quantity]]*Orders[[#This Row],[Selling Price]]</f>
        <v>69913.2</v>
      </c>
      <c r="K1124" s="13">
        <f>Orders[[#This Row],[Quantity]]*Orders[[#This Row],[Cost Price]]</f>
        <v>59426.22</v>
      </c>
      <c r="L1124" s="13">
        <f>Orders[[#This Row],[Revenue]]-Orders[[#This Row],[Expenses]]</f>
        <v>10486.979999999996</v>
      </c>
      <c r="M1124" t="s">
        <v>2205</v>
      </c>
      <c r="N1124" t="str">
        <f>_xlfn.XLOOKUP(Orders[[#This Row],[CustomerID]],Customers[CustomerID],Customers[CustomerName])</f>
        <v>Ngozi Danladi</v>
      </c>
      <c r="O1124" t="str">
        <f>_xlfn.XLOOKUP(Orders[[#This Row],[CustomerID]],Customers[CustomerID],Customers[City])</f>
        <v>Washington</v>
      </c>
      <c r="P1124" t="str">
        <f>_xlfn.XLOOKUP(Orders[[#This Row],[CustomerID]],Customers[CustomerID],Customers[Gender])</f>
        <v>Female</v>
      </c>
      <c r="Q1124">
        <f>_xlfn.XLOOKUP(Orders[[#This Row],[CustomerID]],Customers[CustomerID],Customers[CustomerAge])</f>
        <v>28</v>
      </c>
      <c r="R1124" t="str">
        <f>IF(Orders[[#This Row],[CustomerAge]]&gt;=35, "Older", "Young")</f>
        <v>Young</v>
      </c>
      <c r="S1124" t="str">
        <f>_xlfn.XLOOKUP(Orders[[#This Row],[ProductID]],Products[ProductID],Products[ProductName])</f>
        <v>Microwave</v>
      </c>
      <c r="T1124" t="str">
        <f>_xlfn.XLOOKUP(Orders[[#This Row],[ProductID]],Products[ProductID],Products[Category])</f>
        <v>Electronics</v>
      </c>
    </row>
    <row r="1125" spans="1:20" x14ac:dyDescent="0.25">
      <c r="A1125" s="4" t="s">
        <v>1314</v>
      </c>
      <c r="B1125" s="5">
        <v>46008</v>
      </c>
      <c r="C1125" s="15">
        <f>WEEKNUM(Orders[[#This Row],[OrderDate]])</f>
        <v>51</v>
      </c>
      <c r="D1125" s="15" t="str">
        <f>TEXT(Orders[[#This Row],[OrderDate]],"mmmm")</f>
        <v>December</v>
      </c>
      <c r="E1125" s="4" t="s">
        <v>210</v>
      </c>
      <c r="F1125" s="4" t="s">
        <v>232</v>
      </c>
      <c r="G1125" s="4">
        <v>4</v>
      </c>
      <c r="H1125" s="12">
        <v>10944.7</v>
      </c>
      <c r="I1125" s="13">
        <v>9302.9950000000008</v>
      </c>
      <c r="J1125" s="13">
        <f>Orders[[#This Row],[Quantity]]*Orders[[#This Row],[Selling Price]]</f>
        <v>43778.8</v>
      </c>
      <c r="K1125" s="13">
        <f>Orders[[#This Row],[Quantity]]*Orders[[#This Row],[Cost Price]]</f>
        <v>37211.980000000003</v>
      </c>
      <c r="L1125" s="13">
        <f>Orders[[#This Row],[Revenue]]-Orders[[#This Row],[Expenses]]</f>
        <v>6566.82</v>
      </c>
      <c r="M1125" t="s">
        <v>2208</v>
      </c>
      <c r="N1125" t="str">
        <f>_xlfn.XLOOKUP(Orders[[#This Row],[CustomerID]],Customers[CustomerID],Customers[CustomerName])</f>
        <v>Zainab Bello</v>
      </c>
      <c r="O1125" t="str">
        <f>_xlfn.XLOOKUP(Orders[[#This Row],[CustomerID]],Customers[CustomerID],Customers[City])</f>
        <v>Illinois</v>
      </c>
      <c r="P1125" t="str">
        <f>_xlfn.XLOOKUP(Orders[[#This Row],[CustomerID]],Customers[CustomerID],Customers[Gender])</f>
        <v>Female</v>
      </c>
      <c r="Q1125">
        <f>_xlfn.XLOOKUP(Orders[[#This Row],[CustomerID]],Customers[CustomerID],Customers[CustomerAge])</f>
        <v>27</v>
      </c>
      <c r="R1125" t="str">
        <f>IF(Orders[[#This Row],[CustomerAge]]&gt;=35, "Older", "Young")</f>
        <v>Young</v>
      </c>
      <c r="S1125" t="str">
        <f>_xlfn.XLOOKUP(Orders[[#This Row],[ProductID]],Products[ProductID],Products[ProductName])</f>
        <v>Ankara</v>
      </c>
      <c r="T1125" t="str">
        <f>_xlfn.XLOOKUP(Orders[[#This Row],[ProductID]],Products[ProductID],Products[Category])</f>
        <v>Clothing</v>
      </c>
    </row>
    <row r="1126" spans="1:20" x14ac:dyDescent="0.25">
      <c r="A1126" s="4" t="s">
        <v>1315</v>
      </c>
      <c r="B1126" s="5">
        <v>45935</v>
      </c>
      <c r="C1126" s="15">
        <f>WEEKNUM(Orders[[#This Row],[OrderDate]])</f>
        <v>41</v>
      </c>
      <c r="D1126" s="15" t="str">
        <f>TEXT(Orders[[#This Row],[OrderDate]],"mmmm")</f>
        <v>October</v>
      </c>
      <c r="E1126" s="4" t="s">
        <v>291</v>
      </c>
      <c r="F1126" s="4" t="s">
        <v>20</v>
      </c>
      <c r="G1126" s="4">
        <v>2</v>
      </c>
      <c r="H1126" s="12">
        <v>6458.7</v>
      </c>
      <c r="I1126" s="13">
        <v>5489.8949999999995</v>
      </c>
      <c r="J1126" s="13">
        <f>Orders[[#This Row],[Quantity]]*Orders[[#This Row],[Selling Price]]</f>
        <v>12917.4</v>
      </c>
      <c r="K1126" s="13">
        <f>Orders[[#This Row],[Quantity]]*Orders[[#This Row],[Cost Price]]</f>
        <v>10979.789999999999</v>
      </c>
      <c r="L1126" s="13">
        <f>Orders[[#This Row],[Revenue]]-Orders[[#This Row],[Expenses]]</f>
        <v>1937.6100000000006</v>
      </c>
      <c r="M1126" t="s">
        <v>2218</v>
      </c>
      <c r="N1126" t="str">
        <f>_xlfn.XLOOKUP(Orders[[#This Row],[CustomerID]],Customers[CustomerID],Customers[CustomerName])</f>
        <v>Okon Igwe</v>
      </c>
      <c r="O1126" t="str">
        <f>_xlfn.XLOOKUP(Orders[[#This Row],[CustomerID]],Customers[CustomerID],Customers[City])</f>
        <v>Texas</v>
      </c>
      <c r="P1126" t="str">
        <f>_xlfn.XLOOKUP(Orders[[#This Row],[CustomerID]],Customers[CustomerID],Customers[Gender])</f>
        <v>Male</v>
      </c>
      <c r="Q1126">
        <f>_xlfn.XLOOKUP(Orders[[#This Row],[CustomerID]],Customers[CustomerID],Customers[CustomerAge])</f>
        <v>33</v>
      </c>
      <c r="R1126" t="str">
        <f>IF(Orders[[#This Row],[CustomerAge]]&gt;=35, "Older", "Young")</f>
        <v>Young</v>
      </c>
      <c r="S1126" t="str">
        <f>_xlfn.XLOOKUP(Orders[[#This Row],[ProductID]],Products[ProductID],Products[ProductName])</f>
        <v>Gym Bag</v>
      </c>
      <c r="T1126" t="str">
        <f>_xlfn.XLOOKUP(Orders[[#This Row],[ProductID]],Products[ProductID],Products[Category])</f>
        <v>Gym</v>
      </c>
    </row>
    <row r="1127" spans="1:20" x14ac:dyDescent="0.25">
      <c r="A1127" s="4" t="s">
        <v>1316</v>
      </c>
      <c r="B1127" s="5">
        <v>45934</v>
      </c>
      <c r="C1127" s="15">
        <f>WEEKNUM(Orders[[#This Row],[OrderDate]])</f>
        <v>40</v>
      </c>
      <c r="D1127" s="15" t="str">
        <f>TEXT(Orders[[#This Row],[OrderDate]],"mmmm")</f>
        <v>October</v>
      </c>
      <c r="E1127" s="4" t="s">
        <v>138</v>
      </c>
      <c r="F1127" s="4" t="s">
        <v>208</v>
      </c>
      <c r="G1127" s="4">
        <v>4</v>
      </c>
      <c r="H1127" s="12">
        <v>10284.799999999999</v>
      </c>
      <c r="I1127" s="13">
        <v>8742.08</v>
      </c>
      <c r="J1127" s="13">
        <f>Orders[[#This Row],[Quantity]]*Orders[[#This Row],[Selling Price]]</f>
        <v>41139.199999999997</v>
      </c>
      <c r="K1127" s="13">
        <f>Orders[[#This Row],[Quantity]]*Orders[[#This Row],[Cost Price]]</f>
        <v>34968.32</v>
      </c>
      <c r="L1127" s="13">
        <f>Orders[[#This Row],[Revenue]]-Orders[[#This Row],[Expenses]]</f>
        <v>6170.8799999999974</v>
      </c>
      <c r="M1127" t="s">
        <v>2212</v>
      </c>
      <c r="N1127" t="str">
        <f>_xlfn.XLOOKUP(Orders[[#This Row],[CustomerID]],Customers[CustomerID],Customers[CustomerName])</f>
        <v>Efe Adeyemi</v>
      </c>
      <c r="O1127" t="str">
        <f>_xlfn.XLOOKUP(Orders[[#This Row],[CustomerID]],Customers[CustomerID],Customers[City])</f>
        <v>Washington</v>
      </c>
      <c r="P1127" t="str">
        <f>_xlfn.XLOOKUP(Orders[[#This Row],[CustomerID]],Customers[CustomerID],Customers[Gender])</f>
        <v>Female</v>
      </c>
      <c r="Q1127">
        <f>_xlfn.XLOOKUP(Orders[[#This Row],[CustomerID]],Customers[CustomerID],Customers[CustomerAge])</f>
        <v>22</v>
      </c>
      <c r="R1127" t="str">
        <f>IF(Orders[[#This Row],[CustomerAge]]&gt;=35, "Older", "Young")</f>
        <v>Young</v>
      </c>
      <c r="S1127" t="str">
        <f>_xlfn.XLOOKUP(Orders[[#This Row],[ProductID]],Products[ProductID],Products[ProductName])</f>
        <v>Skipping Rope</v>
      </c>
      <c r="T1127" t="str">
        <f>_xlfn.XLOOKUP(Orders[[#This Row],[ProductID]],Products[ProductID],Products[Category])</f>
        <v>Sports</v>
      </c>
    </row>
    <row r="1128" spans="1:20" x14ac:dyDescent="0.25">
      <c r="A1128" s="4" t="s">
        <v>1317</v>
      </c>
      <c r="B1128" s="5">
        <v>45966</v>
      </c>
      <c r="C1128" s="15">
        <f>WEEKNUM(Orders[[#This Row],[OrderDate]])</f>
        <v>45</v>
      </c>
      <c r="D1128" s="15" t="str">
        <f>TEXT(Orders[[#This Row],[OrderDate]],"mmmm")</f>
        <v>November</v>
      </c>
      <c r="E1128" s="4" t="s">
        <v>159</v>
      </c>
      <c r="F1128" s="4" t="s">
        <v>66</v>
      </c>
      <c r="G1128" s="4">
        <v>5</v>
      </c>
      <c r="H1128" s="12">
        <v>18526.8</v>
      </c>
      <c r="I1128" s="13">
        <v>15747.779999999999</v>
      </c>
      <c r="J1128" s="13">
        <f>Orders[[#This Row],[Quantity]]*Orders[[#This Row],[Selling Price]]</f>
        <v>92634</v>
      </c>
      <c r="K1128" s="13">
        <f>Orders[[#This Row],[Quantity]]*Orders[[#This Row],[Cost Price]]</f>
        <v>78738.899999999994</v>
      </c>
      <c r="L1128" s="13">
        <f>Orders[[#This Row],[Revenue]]-Orders[[#This Row],[Expenses]]</f>
        <v>13895.100000000006</v>
      </c>
      <c r="M1128" t="s">
        <v>2200</v>
      </c>
      <c r="N1128" t="str">
        <f>_xlfn.XLOOKUP(Orders[[#This Row],[CustomerID]],Customers[CustomerID],Customers[CustomerName])</f>
        <v>Ibrahim Okonkwo</v>
      </c>
      <c r="O1128" t="str">
        <f>_xlfn.XLOOKUP(Orders[[#This Row],[CustomerID]],Customers[CustomerID],Customers[City])</f>
        <v>Florida</v>
      </c>
      <c r="P1128" t="str">
        <f>_xlfn.XLOOKUP(Orders[[#This Row],[CustomerID]],Customers[CustomerID],Customers[Gender])</f>
        <v>Male</v>
      </c>
      <c r="Q1128">
        <f>_xlfn.XLOOKUP(Orders[[#This Row],[CustomerID]],Customers[CustomerID],Customers[CustomerAge])</f>
        <v>49</v>
      </c>
      <c r="R1128" t="str">
        <f>IF(Orders[[#This Row],[CustomerAge]]&gt;=35, "Older", "Young")</f>
        <v>Older</v>
      </c>
      <c r="S1128" t="str">
        <f>_xlfn.XLOOKUP(Orders[[#This Row],[ProductID]],Products[ProductID],Products[ProductName])</f>
        <v>Microwave</v>
      </c>
      <c r="T1128" t="str">
        <f>_xlfn.XLOOKUP(Orders[[#This Row],[ProductID]],Products[ProductID],Products[Category])</f>
        <v>Electronics</v>
      </c>
    </row>
    <row r="1129" spans="1:20" x14ac:dyDescent="0.25">
      <c r="A1129" s="4" t="s">
        <v>1318</v>
      </c>
      <c r="B1129" s="5">
        <v>45993</v>
      </c>
      <c r="C1129" s="15">
        <f>WEEKNUM(Orders[[#This Row],[OrderDate]])</f>
        <v>49</v>
      </c>
      <c r="D1129" s="15" t="str">
        <f>TEXT(Orders[[#This Row],[OrderDate]],"mmmm")</f>
        <v>December</v>
      </c>
      <c r="E1129" s="4" t="s">
        <v>388</v>
      </c>
      <c r="F1129" s="4" t="s">
        <v>253</v>
      </c>
      <c r="G1129" s="4">
        <v>8</v>
      </c>
      <c r="H1129" s="12">
        <v>3580.6</v>
      </c>
      <c r="I1129" s="13">
        <v>3043.51</v>
      </c>
      <c r="J1129" s="13">
        <f>Orders[[#This Row],[Quantity]]*Orders[[#This Row],[Selling Price]]</f>
        <v>28644.799999999999</v>
      </c>
      <c r="K1129" s="13">
        <f>Orders[[#This Row],[Quantity]]*Orders[[#This Row],[Cost Price]]</f>
        <v>24348.080000000002</v>
      </c>
      <c r="L1129" s="13">
        <f>Orders[[#This Row],[Revenue]]-Orders[[#This Row],[Expenses]]</f>
        <v>4296.7199999999975</v>
      </c>
      <c r="M1129" t="s">
        <v>2218</v>
      </c>
      <c r="N1129" t="str">
        <f>_xlfn.XLOOKUP(Orders[[#This Row],[CustomerID]],Customers[CustomerID],Customers[CustomerName])</f>
        <v>Folasade Okonkwo</v>
      </c>
      <c r="O1129" t="str">
        <f>_xlfn.XLOOKUP(Orders[[#This Row],[CustomerID]],Customers[CustomerID],Customers[City])</f>
        <v>Washington</v>
      </c>
      <c r="P1129" t="str">
        <f>_xlfn.XLOOKUP(Orders[[#This Row],[CustomerID]],Customers[CustomerID],Customers[Gender])</f>
        <v>Female</v>
      </c>
      <c r="Q1129">
        <f>_xlfn.XLOOKUP(Orders[[#This Row],[CustomerID]],Customers[CustomerID],Customers[CustomerAge])</f>
        <v>52</v>
      </c>
      <c r="R1129" t="str">
        <f>IF(Orders[[#This Row],[CustomerAge]]&gt;=35, "Older", "Young")</f>
        <v>Older</v>
      </c>
      <c r="S1129" t="str">
        <f>_xlfn.XLOOKUP(Orders[[#This Row],[ProductID]],Products[ProductID],Products[ProductName])</f>
        <v>Nose Rings</v>
      </c>
      <c r="T1129" t="str">
        <f>_xlfn.XLOOKUP(Orders[[#This Row],[ProductID]],Products[ProductID],Products[Category])</f>
        <v>Accessories</v>
      </c>
    </row>
    <row r="1130" spans="1:20" x14ac:dyDescent="0.25">
      <c r="A1130" s="4" t="s">
        <v>1319</v>
      </c>
      <c r="B1130" s="5">
        <v>45954</v>
      </c>
      <c r="C1130" s="15">
        <f>WEEKNUM(Orders[[#This Row],[OrderDate]])</f>
        <v>43</v>
      </c>
      <c r="D1130" s="15" t="str">
        <f>TEXT(Orders[[#This Row],[OrderDate]],"mmmm")</f>
        <v>October</v>
      </c>
      <c r="E1130" s="4" t="s">
        <v>322</v>
      </c>
      <c r="F1130" s="4" t="s">
        <v>151</v>
      </c>
      <c r="G1130" s="4">
        <v>2</v>
      </c>
      <c r="H1130" s="12">
        <v>9150.9</v>
      </c>
      <c r="I1130" s="13">
        <v>7778.2649999999994</v>
      </c>
      <c r="J1130" s="13">
        <f>Orders[[#This Row],[Quantity]]*Orders[[#This Row],[Selling Price]]</f>
        <v>18301.8</v>
      </c>
      <c r="K1130" s="13">
        <f>Orders[[#This Row],[Quantity]]*Orders[[#This Row],[Cost Price]]</f>
        <v>15556.529999999999</v>
      </c>
      <c r="L1130" s="13">
        <f>Orders[[#This Row],[Revenue]]-Orders[[#This Row],[Expenses]]</f>
        <v>2745.2700000000004</v>
      </c>
      <c r="M1130" t="s">
        <v>2193</v>
      </c>
      <c r="N1130" t="str">
        <f>_xlfn.XLOOKUP(Orders[[#This Row],[CustomerID]],Customers[CustomerID],Customers[CustomerName])</f>
        <v>Ngozi Bello</v>
      </c>
      <c r="O1130" t="str">
        <f>_xlfn.XLOOKUP(Orders[[#This Row],[CustomerID]],Customers[CustomerID],Customers[City])</f>
        <v>Washington</v>
      </c>
      <c r="P1130" t="str">
        <f>_xlfn.XLOOKUP(Orders[[#This Row],[CustomerID]],Customers[CustomerID],Customers[Gender])</f>
        <v>Female</v>
      </c>
      <c r="Q1130">
        <f>_xlfn.XLOOKUP(Orders[[#This Row],[CustomerID]],Customers[CustomerID],Customers[CustomerAge])</f>
        <v>32</v>
      </c>
      <c r="R1130" t="str">
        <f>IF(Orders[[#This Row],[CustomerAge]]&gt;=35, "Older", "Young")</f>
        <v>Young</v>
      </c>
      <c r="S1130" t="str">
        <f>_xlfn.XLOOKUP(Orders[[#This Row],[ProductID]],Products[ProductID],Products[ProductName])</f>
        <v>Checkers</v>
      </c>
      <c r="T1130" t="str">
        <f>_xlfn.XLOOKUP(Orders[[#This Row],[ProductID]],Products[ProductID],Products[Category])</f>
        <v>Games</v>
      </c>
    </row>
    <row r="1131" spans="1:20" x14ac:dyDescent="0.25">
      <c r="A1131" s="4" t="s">
        <v>1320</v>
      </c>
      <c r="B1131" s="5">
        <v>45961</v>
      </c>
      <c r="C1131" s="15">
        <f>WEEKNUM(Orders[[#This Row],[OrderDate]])</f>
        <v>44</v>
      </c>
      <c r="D1131" s="15" t="str">
        <f>TEXT(Orders[[#This Row],[OrderDate]],"mmmm")</f>
        <v>October</v>
      </c>
      <c r="E1131" s="4" t="s">
        <v>94</v>
      </c>
      <c r="F1131" s="4" t="s">
        <v>92</v>
      </c>
      <c r="G1131" s="4">
        <v>7</v>
      </c>
      <c r="H1131" s="12">
        <v>7770.4</v>
      </c>
      <c r="I1131" s="13">
        <v>6604.84</v>
      </c>
      <c r="J1131" s="13">
        <f>Orders[[#This Row],[Quantity]]*Orders[[#This Row],[Selling Price]]</f>
        <v>54392.799999999996</v>
      </c>
      <c r="K1131" s="13">
        <f>Orders[[#This Row],[Quantity]]*Orders[[#This Row],[Cost Price]]</f>
        <v>46233.880000000005</v>
      </c>
      <c r="L1131" s="13">
        <f>Orders[[#This Row],[Revenue]]-Orders[[#This Row],[Expenses]]</f>
        <v>8158.919999999991</v>
      </c>
      <c r="M1131" t="s">
        <v>2212</v>
      </c>
      <c r="N1131" t="str">
        <f>_xlfn.XLOOKUP(Orders[[#This Row],[CustomerID]],Customers[CustomerID],Customers[CustomerName])</f>
        <v>Uche Abubakar</v>
      </c>
      <c r="O1131" t="str">
        <f>_xlfn.XLOOKUP(Orders[[#This Row],[CustomerID]],Customers[CustomerID],Customers[City])</f>
        <v>Texas</v>
      </c>
      <c r="P1131" t="str">
        <f>_xlfn.XLOOKUP(Orders[[#This Row],[CustomerID]],Customers[CustomerID],Customers[Gender])</f>
        <v>Male</v>
      </c>
      <c r="Q1131">
        <f>_xlfn.XLOOKUP(Orders[[#This Row],[CustomerID]],Customers[CustomerID],Customers[CustomerAge])</f>
        <v>26</v>
      </c>
      <c r="R1131" t="str">
        <f>IF(Orders[[#This Row],[CustomerAge]]&gt;=35, "Older", "Young")</f>
        <v>Young</v>
      </c>
      <c r="S1131" t="str">
        <f>_xlfn.XLOOKUP(Orders[[#This Row],[ProductID]],Products[ProductID],Products[ProductName])</f>
        <v>Chest Expander</v>
      </c>
      <c r="T1131" t="str">
        <f>_xlfn.XLOOKUP(Orders[[#This Row],[ProductID]],Products[ProductID],Products[Category])</f>
        <v>Gym</v>
      </c>
    </row>
    <row r="1132" spans="1:20" x14ac:dyDescent="0.25">
      <c r="A1132" s="4" t="s">
        <v>1321</v>
      </c>
      <c r="B1132" s="5">
        <v>45948</v>
      </c>
      <c r="C1132" s="15">
        <f>WEEKNUM(Orders[[#This Row],[OrderDate]])</f>
        <v>42</v>
      </c>
      <c r="D1132" s="15" t="str">
        <f>TEXT(Orders[[#This Row],[OrderDate]],"mmmm")</f>
        <v>October</v>
      </c>
      <c r="E1132" s="4" t="s">
        <v>19</v>
      </c>
      <c r="F1132" s="4" t="s">
        <v>76</v>
      </c>
      <c r="G1132" s="4">
        <v>6</v>
      </c>
      <c r="H1132" s="12">
        <v>19619.8</v>
      </c>
      <c r="I1132" s="13">
        <v>16676.829999999998</v>
      </c>
      <c r="J1132" s="13">
        <f>Orders[[#This Row],[Quantity]]*Orders[[#This Row],[Selling Price]]</f>
        <v>117718.79999999999</v>
      </c>
      <c r="K1132" s="13">
        <f>Orders[[#This Row],[Quantity]]*Orders[[#This Row],[Cost Price]]</f>
        <v>100060.97999999998</v>
      </c>
      <c r="L1132" s="13">
        <f>Orders[[#This Row],[Revenue]]-Orders[[#This Row],[Expenses]]</f>
        <v>17657.820000000007</v>
      </c>
      <c r="M1132" t="s">
        <v>2216</v>
      </c>
      <c r="N1132" t="str">
        <f>_xlfn.XLOOKUP(Orders[[#This Row],[CustomerID]],Customers[CustomerID],Customers[CustomerName])</f>
        <v>Obi Adeyemi</v>
      </c>
      <c r="O1132" t="str">
        <f>_xlfn.XLOOKUP(Orders[[#This Row],[CustomerID]],Customers[CustomerID],Customers[City])</f>
        <v>California</v>
      </c>
      <c r="P1132" t="str">
        <f>_xlfn.XLOOKUP(Orders[[#This Row],[CustomerID]],Customers[CustomerID],Customers[Gender])</f>
        <v>Male</v>
      </c>
      <c r="Q1132">
        <f>_xlfn.XLOOKUP(Orders[[#This Row],[CustomerID]],Customers[CustomerID],Customers[CustomerAge])</f>
        <v>24</v>
      </c>
      <c r="R1132" t="str">
        <f>IF(Orders[[#This Row],[CustomerAge]]&gt;=35, "Older", "Young")</f>
        <v>Young</v>
      </c>
      <c r="S1132" t="str">
        <f>_xlfn.XLOOKUP(Orders[[#This Row],[ProductID]],Products[ProductID],Products[ProductName])</f>
        <v>Blender</v>
      </c>
      <c r="T1132" t="str">
        <f>_xlfn.XLOOKUP(Orders[[#This Row],[ProductID]],Products[ProductID],Products[Category])</f>
        <v>Electronics</v>
      </c>
    </row>
    <row r="1133" spans="1:20" x14ac:dyDescent="0.25">
      <c r="A1133" s="4" t="s">
        <v>1322</v>
      </c>
      <c r="B1133" s="5">
        <v>45935</v>
      </c>
      <c r="C1133" s="15">
        <f>WEEKNUM(Orders[[#This Row],[OrderDate]])</f>
        <v>41</v>
      </c>
      <c r="D1133" s="15" t="str">
        <f>TEXT(Orders[[#This Row],[OrderDate]],"mmmm")</f>
        <v>October</v>
      </c>
      <c r="E1133" s="4" t="s">
        <v>138</v>
      </c>
      <c r="F1133" s="4" t="s">
        <v>130</v>
      </c>
      <c r="G1133" s="4">
        <v>5</v>
      </c>
      <c r="H1133" s="12">
        <v>13376.7</v>
      </c>
      <c r="I1133" s="13">
        <v>11370.195</v>
      </c>
      <c r="J1133" s="13">
        <f>Orders[[#This Row],[Quantity]]*Orders[[#This Row],[Selling Price]]</f>
        <v>66883.5</v>
      </c>
      <c r="K1133" s="13">
        <f>Orders[[#This Row],[Quantity]]*Orders[[#This Row],[Cost Price]]</f>
        <v>56850.974999999999</v>
      </c>
      <c r="L1133" s="13">
        <f>Orders[[#This Row],[Revenue]]-Orders[[#This Row],[Expenses]]</f>
        <v>10032.525000000001</v>
      </c>
      <c r="M1133" t="s">
        <v>2199</v>
      </c>
      <c r="N1133" t="str">
        <f>_xlfn.XLOOKUP(Orders[[#This Row],[CustomerID]],Customers[CustomerID],Customers[CustomerName])</f>
        <v>Efe Adeyemi</v>
      </c>
      <c r="O1133" t="str">
        <f>_xlfn.XLOOKUP(Orders[[#This Row],[CustomerID]],Customers[CustomerID],Customers[City])</f>
        <v>Washington</v>
      </c>
      <c r="P1133" t="str">
        <f>_xlfn.XLOOKUP(Orders[[#This Row],[CustomerID]],Customers[CustomerID],Customers[Gender])</f>
        <v>Female</v>
      </c>
      <c r="Q1133">
        <f>_xlfn.XLOOKUP(Orders[[#This Row],[CustomerID]],Customers[CustomerID],Customers[CustomerAge])</f>
        <v>22</v>
      </c>
      <c r="R1133" t="str">
        <f>IF(Orders[[#This Row],[CustomerAge]]&gt;=35, "Older", "Young")</f>
        <v>Young</v>
      </c>
      <c r="S1133" t="str">
        <f>_xlfn.XLOOKUP(Orders[[#This Row],[ProductID]],Products[ProductID],Products[ProductName])</f>
        <v>Gold Earrings And Necklaces</v>
      </c>
      <c r="T1133" t="str">
        <f>_xlfn.XLOOKUP(Orders[[#This Row],[ProductID]],Products[ProductID],Products[Category])</f>
        <v>Accessories</v>
      </c>
    </row>
    <row r="1134" spans="1:20" x14ac:dyDescent="0.25">
      <c r="A1134" s="4" t="s">
        <v>1323</v>
      </c>
      <c r="B1134" s="5">
        <v>46002</v>
      </c>
      <c r="C1134" s="15">
        <f>WEEKNUM(Orders[[#This Row],[OrderDate]])</f>
        <v>50</v>
      </c>
      <c r="D1134" s="15" t="str">
        <f>TEXT(Orders[[#This Row],[OrderDate]],"mmmm")</f>
        <v>December</v>
      </c>
      <c r="E1134" s="4" t="s">
        <v>340</v>
      </c>
      <c r="F1134" s="4" t="s">
        <v>70</v>
      </c>
      <c r="G1134" s="4">
        <v>5</v>
      </c>
      <c r="H1134" s="12">
        <v>14719.400000000001</v>
      </c>
      <c r="I1134" s="13">
        <v>12511.490000000002</v>
      </c>
      <c r="J1134" s="13">
        <f>Orders[[#This Row],[Quantity]]*Orders[[#This Row],[Selling Price]]</f>
        <v>73597</v>
      </c>
      <c r="K1134" s="13">
        <f>Orders[[#This Row],[Quantity]]*Orders[[#This Row],[Cost Price]]</f>
        <v>62557.450000000012</v>
      </c>
      <c r="L1134" s="13">
        <f>Orders[[#This Row],[Revenue]]-Orders[[#This Row],[Expenses]]</f>
        <v>11039.549999999988</v>
      </c>
      <c r="M1134" t="s">
        <v>2208</v>
      </c>
      <c r="N1134" t="str">
        <f>_xlfn.XLOOKUP(Orders[[#This Row],[CustomerID]],Customers[CustomerID],Customers[CustomerName])</f>
        <v>Uche Abubakar</v>
      </c>
      <c r="O1134" t="str">
        <f>_xlfn.XLOOKUP(Orders[[#This Row],[CustomerID]],Customers[CustomerID],Customers[City])</f>
        <v>Illinois</v>
      </c>
      <c r="P1134" t="str">
        <f>_xlfn.XLOOKUP(Orders[[#This Row],[CustomerID]],Customers[CustomerID],Customers[Gender])</f>
        <v>Male</v>
      </c>
      <c r="Q1134">
        <f>_xlfn.XLOOKUP(Orders[[#This Row],[CustomerID]],Customers[CustomerID],Customers[CustomerAge])</f>
        <v>18</v>
      </c>
      <c r="R1134" t="str">
        <f>IF(Orders[[#This Row],[CustomerAge]]&gt;=35, "Older", "Young")</f>
        <v>Young</v>
      </c>
      <c r="S1134" t="str">
        <f>_xlfn.XLOOKUP(Orders[[#This Row],[ProductID]],Products[ProductID],Products[ProductName])</f>
        <v>Yoga Mat</v>
      </c>
      <c r="T1134" t="str">
        <f>_xlfn.XLOOKUP(Orders[[#This Row],[ProductID]],Products[ProductID],Products[Category])</f>
        <v>Gym</v>
      </c>
    </row>
    <row r="1135" spans="1:20" x14ac:dyDescent="0.25">
      <c r="A1135" s="4" t="s">
        <v>1324</v>
      </c>
      <c r="B1135" s="5">
        <v>45995</v>
      </c>
      <c r="C1135" s="15">
        <f>WEEKNUM(Orders[[#This Row],[OrderDate]])</f>
        <v>49</v>
      </c>
      <c r="D1135" s="15" t="str">
        <f>TEXT(Orders[[#This Row],[OrderDate]],"mmmm")</f>
        <v>December</v>
      </c>
      <c r="E1135" s="4" t="s">
        <v>272</v>
      </c>
      <c r="F1135" s="4" t="s">
        <v>232</v>
      </c>
      <c r="G1135" s="4">
        <v>5</v>
      </c>
      <c r="H1135" s="12">
        <v>12223.4</v>
      </c>
      <c r="I1135" s="13">
        <v>10389.89</v>
      </c>
      <c r="J1135" s="13">
        <f>Orders[[#This Row],[Quantity]]*Orders[[#This Row],[Selling Price]]</f>
        <v>61117</v>
      </c>
      <c r="K1135" s="13">
        <f>Orders[[#This Row],[Quantity]]*Orders[[#This Row],[Cost Price]]</f>
        <v>51949.45</v>
      </c>
      <c r="L1135" s="13">
        <f>Orders[[#This Row],[Revenue]]-Orders[[#This Row],[Expenses]]</f>
        <v>9167.5500000000029</v>
      </c>
      <c r="M1135" t="s">
        <v>2214</v>
      </c>
      <c r="N1135" t="str">
        <f>_xlfn.XLOOKUP(Orders[[#This Row],[CustomerID]],Customers[CustomerID],Customers[CustomerName])</f>
        <v>Blessing Bello</v>
      </c>
      <c r="O1135" t="str">
        <f>_xlfn.XLOOKUP(Orders[[#This Row],[CustomerID]],Customers[CustomerID],Customers[City])</f>
        <v>Florida</v>
      </c>
      <c r="P1135" t="str">
        <f>_xlfn.XLOOKUP(Orders[[#This Row],[CustomerID]],Customers[CustomerID],Customers[Gender])</f>
        <v>Female</v>
      </c>
      <c r="Q1135">
        <f>_xlfn.XLOOKUP(Orders[[#This Row],[CustomerID]],Customers[CustomerID],Customers[CustomerAge])</f>
        <v>38</v>
      </c>
      <c r="R1135" t="str">
        <f>IF(Orders[[#This Row],[CustomerAge]]&gt;=35, "Older", "Young")</f>
        <v>Older</v>
      </c>
      <c r="S1135" t="str">
        <f>_xlfn.XLOOKUP(Orders[[#This Row],[ProductID]],Products[ProductID],Products[ProductName])</f>
        <v>Ankara</v>
      </c>
      <c r="T1135" t="str">
        <f>_xlfn.XLOOKUP(Orders[[#This Row],[ProductID]],Products[ProductID],Products[Category])</f>
        <v>Clothing</v>
      </c>
    </row>
    <row r="1136" spans="1:20" x14ac:dyDescent="0.25">
      <c r="A1136" s="4" t="s">
        <v>1325</v>
      </c>
      <c r="B1136" s="5">
        <v>45964</v>
      </c>
      <c r="C1136" s="15">
        <f>WEEKNUM(Orders[[#This Row],[OrderDate]])</f>
        <v>45</v>
      </c>
      <c r="D1136" s="15" t="str">
        <f>TEXT(Orders[[#This Row],[OrderDate]],"mmmm")</f>
        <v>November</v>
      </c>
      <c r="E1136" s="4" t="s">
        <v>214</v>
      </c>
      <c r="F1136" s="4" t="s">
        <v>111</v>
      </c>
      <c r="G1136" s="4">
        <v>5</v>
      </c>
      <c r="H1136" s="12">
        <v>5277.7999999999993</v>
      </c>
      <c r="I1136" s="13">
        <v>4486.1299999999992</v>
      </c>
      <c r="J1136" s="13">
        <f>Orders[[#This Row],[Quantity]]*Orders[[#This Row],[Selling Price]]</f>
        <v>26388.999999999996</v>
      </c>
      <c r="K1136" s="13">
        <f>Orders[[#This Row],[Quantity]]*Orders[[#This Row],[Cost Price]]</f>
        <v>22430.649999999994</v>
      </c>
      <c r="L1136" s="13">
        <f>Orders[[#This Row],[Revenue]]-Orders[[#This Row],[Expenses]]</f>
        <v>3958.3500000000022</v>
      </c>
      <c r="M1136" t="s">
        <v>2219</v>
      </c>
      <c r="N1136" t="str">
        <f>_xlfn.XLOOKUP(Orders[[#This Row],[CustomerID]],Customers[CustomerID],Customers[CustomerName])</f>
        <v>Adanma Okonkwo</v>
      </c>
      <c r="O1136" t="str">
        <f>_xlfn.XLOOKUP(Orders[[#This Row],[CustomerID]],Customers[CustomerID],Customers[City])</f>
        <v>California</v>
      </c>
      <c r="P1136" t="str">
        <f>_xlfn.XLOOKUP(Orders[[#This Row],[CustomerID]],Customers[CustomerID],Customers[Gender])</f>
        <v>Female</v>
      </c>
      <c r="Q1136">
        <f>_xlfn.XLOOKUP(Orders[[#This Row],[CustomerID]],Customers[CustomerID],Customers[CustomerAge])</f>
        <v>20</v>
      </c>
      <c r="R1136" t="str">
        <f>IF(Orders[[#This Row],[CustomerAge]]&gt;=35, "Older", "Young")</f>
        <v>Young</v>
      </c>
      <c r="S1136" t="str">
        <f>_xlfn.XLOOKUP(Orders[[#This Row],[ProductID]],Products[ProductID],Products[ProductName])</f>
        <v>Refrigerator</v>
      </c>
      <c r="T1136" t="str">
        <f>_xlfn.XLOOKUP(Orders[[#This Row],[ProductID]],Products[ProductID],Products[Category])</f>
        <v>Electronics</v>
      </c>
    </row>
    <row r="1137" spans="1:20" x14ac:dyDescent="0.25">
      <c r="A1137" s="4" t="s">
        <v>1326</v>
      </c>
      <c r="B1137" s="5">
        <v>45997</v>
      </c>
      <c r="C1137" s="15">
        <f>WEEKNUM(Orders[[#This Row],[OrderDate]])</f>
        <v>49</v>
      </c>
      <c r="D1137" s="15" t="str">
        <f>TEXT(Orders[[#This Row],[OrderDate]],"mmmm")</f>
        <v>December</v>
      </c>
      <c r="E1137" s="4" t="s">
        <v>68</v>
      </c>
      <c r="F1137" s="4" t="s">
        <v>20</v>
      </c>
      <c r="G1137" s="4">
        <v>4</v>
      </c>
      <c r="H1137" s="12">
        <v>5904.2999999999993</v>
      </c>
      <c r="I1137" s="13">
        <v>5018.6549999999997</v>
      </c>
      <c r="J1137" s="13">
        <f>Orders[[#This Row],[Quantity]]*Orders[[#This Row],[Selling Price]]</f>
        <v>23617.199999999997</v>
      </c>
      <c r="K1137" s="13">
        <f>Orders[[#This Row],[Quantity]]*Orders[[#This Row],[Cost Price]]</f>
        <v>20074.62</v>
      </c>
      <c r="L1137" s="13">
        <f>Orders[[#This Row],[Revenue]]-Orders[[#This Row],[Expenses]]</f>
        <v>3542.5799999999981</v>
      </c>
      <c r="M1137" t="s">
        <v>2214</v>
      </c>
      <c r="N1137" t="str">
        <f>_xlfn.XLOOKUP(Orders[[#This Row],[CustomerID]],Customers[CustomerID],Customers[CustomerName])</f>
        <v>Abiola Balogun</v>
      </c>
      <c r="O1137" t="str">
        <f>_xlfn.XLOOKUP(Orders[[#This Row],[CustomerID]],Customers[CustomerID],Customers[City])</f>
        <v>Texas</v>
      </c>
      <c r="P1137" t="str">
        <f>_xlfn.XLOOKUP(Orders[[#This Row],[CustomerID]],Customers[CustomerID],Customers[Gender])</f>
        <v>Male</v>
      </c>
      <c r="Q1137">
        <f>_xlfn.XLOOKUP(Orders[[#This Row],[CustomerID]],Customers[CustomerID],Customers[CustomerAge])</f>
        <v>29</v>
      </c>
      <c r="R1137" t="str">
        <f>IF(Orders[[#This Row],[CustomerAge]]&gt;=35, "Older", "Young")</f>
        <v>Young</v>
      </c>
      <c r="S1137" t="str">
        <f>_xlfn.XLOOKUP(Orders[[#This Row],[ProductID]],Products[ProductID],Products[ProductName])</f>
        <v>Gym Bag</v>
      </c>
      <c r="T1137" t="str">
        <f>_xlfn.XLOOKUP(Orders[[#This Row],[ProductID]],Products[ProductID],Products[Category])</f>
        <v>Gym</v>
      </c>
    </row>
    <row r="1138" spans="1:20" x14ac:dyDescent="0.25">
      <c r="A1138" s="4" t="s">
        <v>1327</v>
      </c>
      <c r="B1138" s="5">
        <v>45931</v>
      </c>
      <c r="C1138" s="15">
        <f>WEEKNUM(Orders[[#This Row],[OrderDate]])</f>
        <v>40</v>
      </c>
      <c r="D1138" s="15" t="str">
        <f>TEXT(Orders[[#This Row],[OrderDate]],"mmmm")</f>
        <v>October</v>
      </c>
      <c r="E1138" s="4" t="s">
        <v>307</v>
      </c>
      <c r="F1138" s="4" t="s">
        <v>31</v>
      </c>
      <c r="G1138" s="4">
        <v>4</v>
      </c>
      <c r="H1138" s="12">
        <v>7458.6</v>
      </c>
      <c r="I1138" s="13">
        <v>6339.81</v>
      </c>
      <c r="J1138" s="13">
        <f>Orders[[#This Row],[Quantity]]*Orders[[#This Row],[Selling Price]]</f>
        <v>29834.400000000001</v>
      </c>
      <c r="K1138" s="13">
        <f>Orders[[#This Row],[Quantity]]*Orders[[#This Row],[Cost Price]]</f>
        <v>25359.24</v>
      </c>
      <c r="L1138" s="13">
        <f>Orders[[#This Row],[Revenue]]-Orders[[#This Row],[Expenses]]</f>
        <v>4475.16</v>
      </c>
      <c r="M1138" t="s">
        <v>2213</v>
      </c>
      <c r="N1138" t="str">
        <f>_xlfn.XLOOKUP(Orders[[#This Row],[CustomerID]],Customers[CustomerID],Customers[CustomerName])</f>
        <v>Adanma Bello</v>
      </c>
      <c r="O1138" t="str">
        <f>_xlfn.XLOOKUP(Orders[[#This Row],[CustomerID]],Customers[CustomerID],Customers[City])</f>
        <v>Illinois</v>
      </c>
      <c r="P1138" t="str">
        <f>_xlfn.XLOOKUP(Orders[[#This Row],[CustomerID]],Customers[CustomerID],Customers[Gender])</f>
        <v>Female</v>
      </c>
      <c r="Q1138">
        <f>_xlfn.XLOOKUP(Orders[[#This Row],[CustomerID]],Customers[CustomerID],Customers[CustomerAge])</f>
        <v>51</v>
      </c>
      <c r="R1138" t="str">
        <f>IF(Orders[[#This Row],[CustomerAge]]&gt;=35, "Older", "Young")</f>
        <v>Older</v>
      </c>
      <c r="S1138" t="str">
        <f>_xlfn.XLOOKUP(Orders[[#This Row],[ProductID]],Products[ProductID],Products[ProductName])</f>
        <v>Kids Games</v>
      </c>
      <c r="T1138" t="str">
        <f>_xlfn.XLOOKUP(Orders[[#This Row],[ProductID]],Products[ProductID],Products[Category])</f>
        <v>Games</v>
      </c>
    </row>
    <row r="1139" spans="1:20" x14ac:dyDescent="0.25">
      <c r="A1139" s="4" t="s">
        <v>1328</v>
      </c>
      <c r="B1139" s="5">
        <v>45997</v>
      </c>
      <c r="C1139" s="15">
        <f>WEEKNUM(Orders[[#This Row],[OrderDate]])</f>
        <v>49</v>
      </c>
      <c r="D1139" s="15" t="str">
        <f>TEXT(Orders[[#This Row],[OrderDate]],"mmmm")</f>
        <v>December</v>
      </c>
      <c r="E1139" s="4" t="s">
        <v>83</v>
      </c>
      <c r="F1139" s="4" t="s">
        <v>130</v>
      </c>
      <c r="G1139" s="4">
        <v>3</v>
      </c>
      <c r="H1139" s="12">
        <v>6832.6</v>
      </c>
      <c r="I1139" s="13">
        <v>5807.71</v>
      </c>
      <c r="J1139" s="13">
        <f>Orders[[#This Row],[Quantity]]*Orders[[#This Row],[Selling Price]]</f>
        <v>20497.800000000003</v>
      </c>
      <c r="K1139" s="13">
        <f>Orders[[#This Row],[Quantity]]*Orders[[#This Row],[Cost Price]]</f>
        <v>17423.13</v>
      </c>
      <c r="L1139" s="13">
        <f>Orders[[#This Row],[Revenue]]-Orders[[#This Row],[Expenses]]</f>
        <v>3074.6700000000019</v>
      </c>
      <c r="M1139" t="s">
        <v>2203</v>
      </c>
      <c r="N1139" t="str">
        <f>_xlfn.XLOOKUP(Orders[[#This Row],[CustomerID]],Customers[CustomerID],Customers[CustomerName])</f>
        <v>Funke Danladi</v>
      </c>
      <c r="O1139" t="str">
        <f>_xlfn.XLOOKUP(Orders[[#This Row],[CustomerID]],Customers[CustomerID],Customers[City])</f>
        <v>Florida</v>
      </c>
      <c r="P1139" t="str">
        <f>_xlfn.XLOOKUP(Orders[[#This Row],[CustomerID]],Customers[CustomerID],Customers[Gender])</f>
        <v>Female</v>
      </c>
      <c r="Q1139">
        <f>_xlfn.XLOOKUP(Orders[[#This Row],[CustomerID]],Customers[CustomerID],Customers[CustomerAge])</f>
        <v>26</v>
      </c>
      <c r="R1139" t="str">
        <f>IF(Orders[[#This Row],[CustomerAge]]&gt;=35, "Older", "Young")</f>
        <v>Young</v>
      </c>
      <c r="S1139" t="str">
        <f>_xlfn.XLOOKUP(Orders[[#This Row],[ProductID]],Products[ProductID],Products[ProductName])</f>
        <v>Gold Earrings And Necklaces</v>
      </c>
      <c r="T1139" t="str">
        <f>_xlfn.XLOOKUP(Orders[[#This Row],[ProductID]],Products[ProductID],Products[Category])</f>
        <v>Accessories</v>
      </c>
    </row>
    <row r="1140" spans="1:20" x14ac:dyDescent="0.25">
      <c r="A1140" s="4" t="s">
        <v>1329</v>
      </c>
      <c r="B1140" s="5">
        <v>45933</v>
      </c>
      <c r="C1140" s="15">
        <f>WEEKNUM(Orders[[#This Row],[OrderDate]])</f>
        <v>40</v>
      </c>
      <c r="D1140" s="15" t="str">
        <f>TEXT(Orders[[#This Row],[OrderDate]],"mmmm")</f>
        <v>October</v>
      </c>
      <c r="E1140" s="4" t="s">
        <v>203</v>
      </c>
      <c r="F1140" s="4" t="s">
        <v>189</v>
      </c>
      <c r="G1140" s="4">
        <v>3</v>
      </c>
      <c r="H1140" s="12">
        <v>6322.7999999999993</v>
      </c>
      <c r="I1140" s="13">
        <v>5374.3799999999992</v>
      </c>
      <c r="J1140" s="13">
        <f>Orders[[#This Row],[Quantity]]*Orders[[#This Row],[Selling Price]]</f>
        <v>18968.399999999998</v>
      </c>
      <c r="K1140" s="13">
        <f>Orders[[#This Row],[Quantity]]*Orders[[#This Row],[Cost Price]]</f>
        <v>16123.139999999998</v>
      </c>
      <c r="L1140" s="13">
        <f>Orders[[#This Row],[Revenue]]-Orders[[#This Row],[Expenses]]</f>
        <v>2845.26</v>
      </c>
      <c r="M1140" t="s">
        <v>2203</v>
      </c>
      <c r="N1140" t="str">
        <f>_xlfn.XLOOKUP(Orders[[#This Row],[CustomerID]],Customers[CustomerID],Customers[CustomerName])</f>
        <v>Okon Bello</v>
      </c>
      <c r="O1140" t="str">
        <f>_xlfn.XLOOKUP(Orders[[#This Row],[CustomerID]],Customers[CustomerID],Customers[City])</f>
        <v>Texas</v>
      </c>
      <c r="P1140" t="str">
        <f>_xlfn.XLOOKUP(Orders[[#This Row],[CustomerID]],Customers[CustomerID],Customers[Gender])</f>
        <v>Male</v>
      </c>
      <c r="Q1140">
        <f>_xlfn.XLOOKUP(Orders[[#This Row],[CustomerID]],Customers[CustomerID],Customers[CustomerAge])</f>
        <v>20</v>
      </c>
      <c r="R1140" t="str">
        <f>IF(Orders[[#This Row],[CustomerAge]]&gt;=35, "Older", "Young")</f>
        <v>Young</v>
      </c>
      <c r="S1140" t="str">
        <f>_xlfn.XLOOKUP(Orders[[#This Row],[ProductID]],Products[ProductID],Products[ProductName])</f>
        <v>Scrabble</v>
      </c>
      <c r="T1140" t="str">
        <f>_xlfn.XLOOKUP(Orders[[#This Row],[ProductID]],Products[ProductID],Products[Category])</f>
        <v>Games</v>
      </c>
    </row>
    <row r="1141" spans="1:20" x14ac:dyDescent="0.25">
      <c r="A1141" s="4" t="s">
        <v>1330</v>
      </c>
      <c r="B1141" s="5">
        <v>45982</v>
      </c>
      <c r="C1141" s="15">
        <f>WEEKNUM(Orders[[#This Row],[OrderDate]])</f>
        <v>47</v>
      </c>
      <c r="D1141" s="15" t="str">
        <f>TEXT(Orders[[#This Row],[OrderDate]],"mmmm")</f>
        <v>November</v>
      </c>
      <c r="E1141" s="4" t="s">
        <v>89</v>
      </c>
      <c r="F1141" s="4" t="s">
        <v>31</v>
      </c>
      <c r="G1141" s="4">
        <v>1</v>
      </c>
      <c r="H1141" s="12">
        <v>11524</v>
      </c>
      <c r="I1141" s="13">
        <v>9795.4</v>
      </c>
      <c r="J1141" s="13">
        <f>Orders[[#This Row],[Quantity]]*Orders[[#This Row],[Selling Price]]</f>
        <v>11524</v>
      </c>
      <c r="K1141" s="13">
        <f>Orders[[#This Row],[Quantity]]*Orders[[#This Row],[Cost Price]]</f>
        <v>9795.4</v>
      </c>
      <c r="L1141" s="13">
        <f>Orders[[#This Row],[Revenue]]-Orders[[#This Row],[Expenses]]</f>
        <v>1728.6000000000004</v>
      </c>
      <c r="M1141" t="s">
        <v>2192</v>
      </c>
      <c r="N1141" t="str">
        <f>_xlfn.XLOOKUP(Orders[[#This Row],[CustomerID]],Customers[CustomerID],Customers[CustomerName])</f>
        <v>Blessing Balogun</v>
      </c>
      <c r="O1141" t="str">
        <f>_xlfn.XLOOKUP(Orders[[#This Row],[CustomerID]],Customers[CustomerID],Customers[City])</f>
        <v>Washington</v>
      </c>
      <c r="P1141" t="str">
        <f>_xlfn.XLOOKUP(Orders[[#This Row],[CustomerID]],Customers[CustomerID],Customers[Gender])</f>
        <v>Female</v>
      </c>
      <c r="Q1141">
        <f>_xlfn.XLOOKUP(Orders[[#This Row],[CustomerID]],Customers[CustomerID],Customers[CustomerAge])</f>
        <v>19</v>
      </c>
      <c r="R1141" t="str">
        <f>IF(Orders[[#This Row],[CustomerAge]]&gt;=35, "Older", "Young")</f>
        <v>Young</v>
      </c>
      <c r="S1141" t="str">
        <f>_xlfn.XLOOKUP(Orders[[#This Row],[ProductID]],Products[ProductID],Products[ProductName])</f>
        <v>Kids Games</v>
      </c>
      <c r="T1141" t="str">
        <f>_xlfn.XLOOKUP(Orders[[#This Row],[ProductID]],Products[ProductID],Products[Category])</f>
        <v>Games</v>
      </c>
    </row>
    <row r="1142" spans="1:20" x14ac:dyDescent="0.25">
      <c r="A1142" s="4" t="s">
        <v>1331</v>
      </c>
      <c r="B1142" s="5">
        <v>45980</v>
      </c>
      <c r="C1142" s="15">
        <f>WEEKNUM(Orders[[#This Row],[OrderDate]])</f>
        <v>47</v>
      </c>
      <c r="D1142" s="15" t="str">
        <f>TEXT(Orders[[#This Row],[OrderDate]],"mmmm")</f>
        <v>November</v>
      </c>
      <c r="E1142" s="4" t="s">
        <v>207</v>
      </c>
      <c r="F1142" s="4" t="s">
        <v>63</v>
      </c>
      <c r="G1142" s="4">
        <v>5</v>
      </c>
      <c r="H1142" s="12">
        <v>10137.9</v>
      </c>
      <c r="I1142" s="13">
        <v>8617.2150000000001</v>
      </c>
      <c r="J1142" s="13">
        <f>Orders[[#This Row],[Quantity]]*Orders[[#This Row],[Selling Price]]</f>
        <v>50689.5</v>
      </c>
      <c r="K1142" s="13">
        <f>Orders[[#This Row],[Quantity]]*Orders[[#This Row],[Cost Price]]</f>
        <v>43086.074999999997</v>
      </c>
      <c r="L1142" s="13">
        <f>Orders[[#This Row],[Revenue]]-Orders[[#This Row],[Expenses]]</f>
        <v>7603.4250000000029</v>
      </c>
      <c r="M1142" t="s">
        <v>2211</v>
      </c>
      <c r="N1142" t="str">
        <f>_xlfn.XLOOKUP(Orders[[#This Row],[CustomerID]],Customers[CustomerID],Customers[CustomerName])</f>
        <v>Bisi Eze</v>
      </c>
      <c r="O1142" t="str">
        <f>_xlfn.XLOOKUP(Orders[[#This Row],[CustomerID]],Customers[CustomerID],Customers[City])</f>
        <v>Florida</v>
      </c>
      <c r="P1142" t="str">
        <f>_xlfn.XLOOKUP(Orders[[#This Row],[CustomerID]],Customers[CustomerID],Customers[Gender])</f>
        <v>Female</v>
      </c>
      <c r="Q1142">
        <f>_xlfn.XLOOKUP(Orders[[#This Row],[CustomerID]],Customers[CustomerID],Customers[CustomerAge])</f>
        <v>37</v>
      </c>
      <c r="R1142" t="str">
        <f>IF(Orders[[#This Row],[CustomerAge]]&gt;=35, "Older", "Young")</f>
        <v>Older</v>
      </c>
      <c r="S1142" t="str">
        <f>_xlfn.XLOOKUP(Orders[[#This Row],[ProductID]],Products[ProductID],Products[ProductName])</f>
        <v>Tennis Bat</v>
      </c>
      <c r="T1142" t="str">
        <f>_xlfn.XLOOKUP(Orders[[#This Row],[ProductID]],Products[ProductID],Products[Category])</f>
        <v>Sports</v>
      </c>
    </row>
    <row r="1143" spans="1:20" x14ac:dyDescent="0.25">
      <c r="A1143" s="4" t="s">
        <v>1332</v>
      </c>
      <c r="B1143" s="5">
        <v>45992</v>
      </c>
      <c r="C1143" s="15">
        <f>WEEKNUM(Orders[[#This Row],[OrderDate]])</f>
        <v>49</v>
      </c>
      <c r="D1143" s="15" t="str">
        <f>TEXT(Orders[[#This Row],[OrderDate]],"mmmm")</f>
        <v>December</v>
      </c>
      <c r="E1143" s="4" t="s">
        <v>227</v>
      </c>
      <c r="F1143" s="4" t="s">
        <v>28</v>
      </c>
      <c r="G1143" s="4">
        <v>7</v>
      </c>
      <c r="H1143" s="12">
        <v>18133.900000000001</v>
      </c>
      <c r="I1143" s="13">
        <v>15413.815000000002</v>
      </c>
      <c r="J1143" s="13">
        <f>Orders[[#This Row],[Quantity]]*Orders[[#This Row],[Selling Price]]</f>
        <v>126937.30000000002</v>
      </c>
      <c r="K1143" s="13">
        <f>Orders[[#This Row],[Quantity]]*Orders[[#This Row],[Cost Price]]</f>
        <v>107896.70500000002</v>
      </c>
      <c r="L1143" s="13">
        <f>Orders[[#This Row],[Revenue]]-Orders[[#This Row],[Expenses]]</f>
        <v>19040.595000000001</v>
      </c>
      <c r="M1143" t="s">
        <v>2198</v>
      </c>
      <c r="N1143" t="str">
        <f>_xlfn.XLOOKUP(Orders[[#This Row],[CustomerID]],Customers[CustomerID],Customers[CustomerName])</f>
        <v>Emmanuel Victor</v>
      </c>
      <c r="O1143" t="str">
        <f>_xlfn.XLOOKUP(Orders[[#This Row],[CustomerID]],Customers[CustomerID],Customers[City])</f>
        <v>Washington</v>
      </c>
      <c r="P1143" t="str">
        <f>_xlfn.XLOOKUP(Orders[[#This Row],[CustomerID]],Customers[CustomerID],Customers[Gender])</f>
        <v>Male</v>
      </c>
      <c r="Q1143">
        <f>_xlfn.XLOOKUP(Orders[[#This Row],[CustomerID]],Customers[CustomerID],Customers[CustomerAge])</f>
        <v>35</v>
      </c>
      <c r="R1143" t="str">
        <f>IF(Orders[[#This Row],[CustomerAge]]&gt;=35, "Older", "Young")</f>
        <v>Older</v>
      </c>
      <c r="S1143" t="str">
        <f>_xlfn.XLOOKUP(Orders[[#This Row],[ProductID]],Products[ProductID],Products[ProductName])</f>
        <v>Sneakers</v>
      </c>
      <c r="T1143" t="str">
        <f>_xlfn.XLOOKUP(Orders[[#This Row],[ProductID]],Products[ProductID],Products[Category])</f>
        <v>Sports</v>
      </c>
    </row>
    <row r="1144" spans="1:20" x14ac:dyDescent="0.25">
      <c r="A1144" s="4" t="s">
        <v>1333</v>
      </c>
      <c r="B1144" s="5">
        <v>45936</v>
      </c>
      <c r="C1144" s="15">
        <f>WEEKNUM(Orders[[#This Row],[OrderDate]])</f>
        <v>41</v>
      </c>
      <c r="D1144" s="15" t="str">
        <f>TEXT(Orders[[#This Row],[OrderDate]],"mmmm")</f>
        <v>October</v>
      </c>
      <c r="E1144" s="4" t="s">
        <v>103</v>
      </c>
      <c r="F1144" s="4" t="s">
        <v>63</v>
      </c>
      <c r="G1144" s="4">
        <v>10</v>
      </c>
      <c r="H1144" s="12">
        <v>13878.3</v>
      </c>
      <c r="I1144" s="13">
        <v>11796.555</v>
      </c>
      <c r="J1144" s="13">
        <f>Orders[[#This Row],[Quantity]]*Orders[[#This Row],[Selling Price]]</f>
        <v>138783</v>
      </c>
      <c r="K1144" s="13">
        <f>Orders[[#This Row],[Quantity]]*Orders[[#This Row],[Cost Price]]</f>
        <v>117965.55</v>
      </c>
      <c r="L1144" s="13">
        <f>Orders[[#This Row],[Revenue]]-Orders[[#This Row],[Expenses]]</f>
        <v>20817.449999999997</v>
      </c>
      <c r="M1144" t="s">
        <v>2211</v>
      </c>
      <c r="N1144" t="str">
        <f>_xlfn.XLOOKUP(Orders[[#This Row],[CustomerID]],Customers[CustomerID],Customers[CustomerName])</f>
        <v>Chioma Adeyemi</v>
      </c>
      <c r="O1144" t="str">
        <f>_xlfn.XLOOKUP(Orders[[#This Row],[CustomerID]],Customers[CustomerID],Customers[City])</f>
        <v>Georgia</v>
      </c>
      <c r="P1144" t="str">
        <f>_xlfn.XLOOKUP(Orders[[#This Row],[CustomerID]],Customers[CustomerID],Customers[Gender])</f>
        <v>Female</v>
      </c>
      <c r="Q1144">
        <f>_xlfn.XLOOKUP(Orders[[#This Row],[CustomerID]],Customers[CustomerID],Customers[CustomerAge])</f>
        <v>31</v>
      </c>
      <c r="R1144" t="str">
        <f>IF(Orders[[#This Row],[CustomerAge]]&gt;=35, "Older", "Young")</f>
        <v>Young</v>
      </c>
      <c r="S1144" t="str">
        <f>_xlfn.XLOOKUP(Orders[[#This Row],[ProductID]],Products[ProductID],Products[ProductName])</f>
        <v>Tennis Bat</v>
      </c>
      <c r="T1144" t="str">
        <f>_xlfn.XLOOKUP(Orders[[#This Row],[ProductID]],Products[ProductID],Products[Category])</f>
        <v>Sports</v>
      </c>
    </row>
    <row r="1145" spans="1:20" x14ac:dyDescent="0.25">
      <c r="A1145" s="4" t="s">
        <v>1334</v>
      </c>
      <c r="B1145" s="5">
        <v>45977</v>
      </c>
      <c r="C1145" s="15">
        <f>WEEKNUM(Orders[[#This Row],[OrderDate]])</f>
        <v>47</v>
      </c>
      <c r="D1145" s="15" t="str">
        <f>TEXT(Orders[[#This Row],[OrderDate]],"mmmm")</f>
        <v>November</v>
      </c>
      <c r="E1145" s="4" t="s">
        <v>264</v>
      </c>
      <c r="F1145" s="4" t="s">
        <v>76</v>
      </c>
      <c r="G1145" s="4">
        <v>3</v>
      </c>
      <c r="H1145" s="12">
        <v>15177.7</v>
      </c>
      <c r="I1145" s="13">
        <v>12901.045</v>
      </c>
      <c r="J1145" s="13">
        <f>Orders[[#This Row],[Quantity]]*Orders[[#This Row],[Selling Price]]</f>
        <v>45533.100000000006</v>
      </c>
      <c r="K1145" s="13">
        <f>Orders[[#This Row],[Quantity]]*Orders[[#This Row],[Cost Price]]</f>
        <v>38703.135000000002</v>
      </c>
      <c r="L1145" s="13">
        <f>Orders[[#This Row],[Revenue]]-Orders[[#This Row],[Expenses]]</f>
        <v>6829.9650000000038</v>
      </c>
      <c r="M1145" t="s">
        <v>2219</v>
      </c>
      <c r="N1145" t="str">
        <f>_xlfn.XLOOKUP(Orders[[#This Row],[CustomerID]],Customers[CustomerID],Customers[CustomerName])</f>
        <v>Ronke Adeyemi</v>
      </c>
      <c r="O1145" t="str">
        <f>_xlfn.XLOOKUP(Orders[[#This Row],[CustomerID]],Customers[CustomerID],Customers[City])</f>
        <v>Georgia</v>
      </c>
      <c r="P1145" t="str">
        <f>_xlfn.XLOOKUP(Orders[[#This Row],[CustomerID]],Customers[CustomerID],Customers[Gender])</f>
        <v>Female</v>
      </c>
      <c r="Q1145">
        <f>_xlfn.XLOOKUP(Orders[[#This Row],[CustomerID]],Customers[CustomerID],Customers[CustomerAge])</f>
        <v>19</v>
      </c>
      <c r="R1145" t="str">
        <f>IF(Orders[[#This Row],[CustomerAge]]&gt;=35, "Older", "Young")</f>
        <v>Young</v>
      </c>
      <c r="S1145" t="str">
        <f>_xlfn.XLOOKUP(Orders[[#This Row],[ProductID]],Products[ProductID],Products[ProductName])</f>
        <v>Blender</v>
      </c>
      <c r="T1145" t="str">
        <f>_xlfn.XLOOKUP(Orders[[#This Row],[ProductID]],Products[ProductID],Products[Category])</f>
        <v>Electronics</v>
      </c>
    </row>
    <row r="1146" spans="1:20" x14ac:dyDescent="0.25">
      <c r="A1146" s="4" t="s">
        <v>1335</v>
      </c>
      <c r="B1146" s="5">
        <v>45966</v>
      </c>
      <c r="C1146" s="15">
        <f>WEEKNUM(Orders[[#This Row],[OrderDate]])</f>
        <v>45</v>
      </c>
      <c r="D1146" s="15" t="str">
        <f>TEXT(Orders[[#This Row],[OrderDate]],"mmmm")</f>
        <v>November</v>
      </c>
      <c r="E1146" s="4" t="s">
        <v>98</v>
      </c>
      <c r="F1146" s="4" t="s">
        <v>70</v>
      </c>
      <c r="G1146" s="4">
        <v>9</v>
      </c>
      <c r="H1146" s="12">
        <v>8880.5999999999985</v>
      </c>
      <c r="I1146" s="13">
        <v>7548.5099999999984</v>
      </c>
      <c r="J1146" s="13">
        <f>Orders[[#This Row],[Quantity]]*Orders[[#This Row],[Selling Price]]</f>
        <v>79925.399999999994</v>
      </c>
      <c r="K1146" s="13">
        <f>Orders[[#This Row],[Quantity]]*Orders[[#This Row],[Cost Price]]</f>
        <v>67936.589999999982</v>
      </c>
      <c r="L1146" s="13">
        <f>Orders[[#This Row],[Revenue]]-Orders[[#This Row],[Expenses]]</f>
        <v>11988.810000000012</v>
      </c>
      <c r="M1146" t="s">
        <v>2201</v>
      </c>
      <c r="N1146" t="str">
        <f>_xlfn.XLOOKUP(Orders[[#This Row],[CustomerID]],Customers[CustomerID],Customers[CustomerName])</f>
        <v>Chioma Adeyemi</v>
      </c>
      <c r="O1146" t="str">
        <f>_xlfn.XLOOKUP(Orders[[#This Row],[CustomerID]],Customers[CustomerID],Customers[City])</f>
        <v>Illinois</v>
      </c>
      <c r="P1146" t="str">
        <f>_xlfn.XLOOKUP(Orders[[#This Row],[CustomerID]],Customers[CustomerID],Customers[Gender])</f>
        <v>Female</v>
      </c>
      <c r="Q1146">
        <f>_xlfn.XLOOKUP(Orders[[#This Row],[CustomerID]],Customers[CustomerID],Customers[CustomerAge])</f>
        <v>23</v>
      </c>
      <c r="R1146" t="str">
        <f>IF(Orders[[#This Row],[CustomerAge]]&gt;=35, "Older", "Young")</f>
        <v>Young</v>
      </c>
      <c r="S1146" t="str">
        <f>_xlfn.XLOOKUP(Orders[[#This Row],[ProductID]],Products[ProductID],Products[ProductName])</f>
        <v>Yoga Mat</v>
      </c>
      <c r="T1146" t="str">
        <f>_xlfn.XLOOKUP(Orders[[#This Row],[ProductID]],Products[ProductID],Products[Category])</f>
        <v>Gym</v>
      </c>
    </row>
    <row r="1147" spans="1:20" x14ac:dyDescent="0.25">
      <c r="A1147" s="4" t="s">
        <v>1336</v>
      </c>
      <c r="B1147" s="5">
        <v>46008</v>
      </c>
      <c r="C1147" s="15">
        <f>WEEKNUM(Orders[[#This Row],[OrderDate]])</f>
        <v>51</v>
      </c>
      <c r="D1147" s="15" t="str">
        <f>TEXT(Orders[[#This Row],[OrderDate]],"mmmm")</f>
        <v>December</v>
      </c>
      <c r="E1147" s="4" t="s">
        <v>239</v>
      </c>
      <c r="F1147" s="4" t="s">
        <v>31</v>
      </c>
      <c r="G1147" s="4">
        <v>6</v>
      </c>
      <c r="H1147" s="12">
        <v>7004.2</v>
      </c>
      <c r="I1147" s="13">
        <v>5953.57</v>
      </c>
      <c r="J1147" s="13">
        <f>Orders[[#This Row],[Quantity]]*Orders[[#This Row],[Selling Price]]</f>
        <v>42025.2</v>
      </c>
      <c r="K1147" s="13">
        <f>Orders[[#This Row],[Quantity]]*Orders[[#This Row],[Cost Price]]</f>
        <v>35721.42</v>
      </c>
      <c r="L1147" s="13">
        <f>Orders[[#This Row],[Revenue]]-Orders[[#This Row],[Expenses]]</f>
        <v>6303.7799999999988</v>
      </c>
      <c r="M1147" t="s">
        <v>2197</v>
      </c>
      <c r="N1147" t="str">
        <f>_xlfn.XLOOKUP(Orders[[#This Row],[CustomerID]],Customers[CustomerID],Customers[CustomerName])</f>
        <v>Emeka Danladi</v>
      </c>
      <c r="O1147" t="str">
        <f>_xlfn.XLOOKUP(Orders[[#This Row],[CustomerID]],Customers[CustomerID],Customers[City])</f>
        <v>Florida</v>
      </c>
      <c r="P1147" t="str">
        <f>_xlfn.XLOOKUP(Orders[[#This Row],[CustomerID]],Customers[CustomerID],Customers[Gender])</f>
        <v>Male</v>
      </c>
      <c r="Q1147">
        <f>_xlfn.XLOOKUP(Orders[[#This Row],[CustomerID]],Customers[CustomerID],Customers[CustomerAge])</f>
        <v>23</v>
      </c>
      <c r="R1147" t="str">
        <f>IF(Orders[[#This Row],[CustomerAge]]&gt;=35, "Older", "Young")</f>
        <v>Young</v>
      </c>
      <c r="S1147" t="str">
        <f>_xlfn.XLOOKUP(Orders[[#This Row],[ProductID]],Products[ProductID],Products[ProductName])</f>
        <v>Kids Games</v>
      </c>
      <c r="T1147" t="str">
        <f>_xlfn.XLOOKUP(Orders[[#This Row],[ProductID]],Products[ProductID],Products[Category])</f>
        <v>Games</v>
      </c>
    </row>
    <row r="1148" spans="1:20" x14ac:dyDescent="0.25">
      <c r="A1148" s="4" t="s">
        <v>1337</v>
      </c>
      <c r="B1148" s="5">
        <v>45952</v>
      </c>
      <c r="C1148" s="15">
        <f>WEEKNUM(Orders[[#This Row],[OrderDate]])</f>
        <v>43</v>
      </c>
      <c r="D1148" s="15" t="str">
        <f>TEXT(Orders[[#This Row],[OrderDate]],"mmmm")</f>
        <v>October</v>
      </c>
      <c r="E1148" s="4" t="s">
        <v>524</v>
      </c>
      <c r="F1148" s="4" t="s">
        <v>168</v>
      </c>
      <c r="G1148" s="4">
        <v>2</v>
      </c>
      <c r="H1148" s="12">
        <v>989.80000000000007</v>
      </c>
      <c r="I1148" s="13">
        <v>841.33</v>
      </c>
      <c r="J1148" s="13">
        <f>Orders[[#This Row],[Quantity]]*Orders[[#This Row],[Selling Price]]</f>
        <v>1979.6000000000001</v>
      </c>
      <c r="K1148" s="13">
        <f>Orders[[#This Row],[Quantity]]*Orders[[#This Row],[Cost Price]]</f>
        <v>1682.66</v>
      </c>
      <c r="L1148" s="13">
        <f>Orders[[#This Row],[Revenue]]-Orders[[#This Row],[Expenses]]</f>
        <v>296.94000000000005</v>
      </c>
      <c r="M1148" t="s">
        <v>2216</v>
      </c>
      <c r="N1148" t="str">
        <f>_xlfn.XLOOKUP(Orders[[#This Row],[CustomerID]],Customers[CustomerID],Customers[CustomerName])</f>
        <v>Chinedu Igwe</v>
      </c>
      <c r="O1148" t="str">
        <f>_xlfn.XLOOKUP(Orders[[#This Row],[CustomerID]],Customers[CustomerID],Customers[City])</f>
        <v>Florida</v>
      </c>
      <c r="P1148" t="str">
        <f>_xlfn.XLOOKUP(Orders[[#This Row],[CustomerID]],Customers[CustomerID],Customers[Gender])</f>
        <v>Male</v>
      </c>
      <c r="Q1148">
        <f>_xlfn.XLOOKUP(Orders[[#This Row],[CustomerID]],Customers[CustomerID],Customers[CustomerAge])</f>
        <v>21</v>
      </c>
      <c r="R1148" t="str">
        <f>IF(Orders[[#This Row],[CustomerAge]]&gt;=35, "Older", "Young")</f>
        <v>Young</v>
      </c>
      <c r="S1148" t="str">
        <f>_xlfn.XLOOKUP(Orders[[#This Row],[ProductID]],Products[ProductID],Products[ProductName])</f>
        <v>Dumb Bells</v>
      </c>
      <c r="T1148" t="str">
        <f>_xlfn.XLOOKUP(Orders[[#This Row],[ProductID]],Products[ProductID],Products[Category])</f>
        <v>Gym</v>
      </c>
    </row>
    <row r="1149" spans="1:20" x14ac:dyDescent="0.25">
      <c r="A1149" s="4" t="s">
        <v>1338</v>
      </c>
      <c r="B1149" s="5">
        <v>46017</v>
      </c>
      <c r="C1149" s="15">
        <f>WEEKNUM(Orders[[#This Row],[OrderDate]])</f>
        <v>52</v>
      </c>
      <c r="D1149" s="15" t="str">
        <f>TEXT(Orders[[#This Row],[OrderDate]],"mmmm")</f>
        <v>December</v>
      </c>
      <c r="E1149" s="4" t="s">
        <v>418</v>
      </c>
      <c r="F1149" s="4" t="s">
        <v>37</v>
      </c>
      <c r="G1149" s="4">
        <v>10</v>
      </c>
      <c r="H1149" s="12">
        <v>3604.5</v>
      </c>
      <c r="I1149" s="13">
        <v>3063.8249999999998</v>
      </c>
      <c r="J1149" s="13">
        <f>Orders[[#This Row],[Quantity]]*Orders[[#This Row],[Selling Price]]</f>
        <v>36045</v>
      </c>
      <c r="K1149" s="13">
        <f>Orders[[#This Row],[Quantity]]*Orders[[#This Row],[Cost Price]]</f>
        <v>30638.25</v>
      </c>
      <c r="L1149" s="13">
        <f>Orders[[#This Row],[Revenue]]-Orders[[#This Row],[Expenses]]</f>
        <v>5406.75</v>
      </c>
      <c r="M1149" t="s">
        <v>2217</v>
      </c>
      <c r="N1149" t="str">
        <f>_xlfn.XLOOKUP(Orders[[#This Row],[CustomerID]],Customers[CustomerID],Customers[CustomerName])</f>
        <v>Amina Danladi</v>
      </c>
      <c r="O1149" t="str">
        <f>_xlfn.XLOOKUP(Orders[[#This Row],[CustomerID]],Customers[CustomerID],Customers[City])</f>
        <v>Illinois</v>
      </c>
      <c r="P1149" t="str">
        <f>_xlfn.XLOOKUP(Orders[[#This Row],[CustomerID]],Customers[CustomerID],Customers[Gender])</f>
        <v>Female</v>
      </c>
      <c r="Q1149">
        <f>_xlfn.XLOOKUP(Orders[[#This Row],[CustomerID]],Customers[CustomerID],Customers[CustomerAge])</f>
        <v>20</v>
      </c>
      <c r="R1149" t="str">
        <f>IF(Orders[[#This Row],[CustomerAge]]&gt;=35, "Older", "Young")</f>
        <v>Young</v>
      </c>
      <c r="S1149" t="str">
        <f>_xlfn.XLOOKUP(Orders[[#This Row],[ProductID]],Products[ProductID],Products[ProductName])</f>
        <v>Iron</v>
      </c>
      <c r="T1149" t="str">
        <f>_xlfn.XLOOKUP(Orders[[#This Row],[ProductID]],Products[ProductID],Products[Category])</f>
        <v>Electronics</v>
      </c>
    </row>
    <row r="1150" spans="1:20" x14ac:dyDescent="0.25">
      <c r="A1150" s="4" t="s">
        <v>1339</v>
      </c>
      <c r="B1150" s="5">
        <v>45970</v>
      </c>
      <c r="C1150" s="15">
        <f>WEEKNUM(Orders[[#This Row],[OrderDate]])</f>
        <v>46</v>
      </c>
      <c r="D1150" s="15" t="str">
        <f>TEXT(Orders[[#This Row],[OrderDate]],"mmmm")</f>
        <v>November</v>
      </c>
      <c r="E1150" s="4" t="s">
        <v>201</v>
      </c>
      <c r="F1150" s="4" t="s">
        <v>92</v>
      </c>
      <c r="G1150" s="4">
        <v>1</v>
      </c>
      <c r="H1150" s="12">
        <v>8850.2999999999993</v>
      </c>
      <c r="I1150" s="13">
        <v>7522.7549999999992</v>
      </c>
      <c r="J1150" s="13">
        <f>Orders[[#This Row],[Quantity]]*Orders[[#This Row],[Selling Price]]</f>
        <v>8850.2999999999993</v>
      </c>
      <c r="K1150" s="13">
        <f>Orders[[#This Row],[Quantity]]*Orders[[#This Row],[Cost Price]]</f>
        <v>7522.7549999999992</v>
      </c>
      <c r="L1150" s="13">
        <f>Orders[[#This Row],[Revenue]]-Orders[[#This Row],[Expenses]]</f>
        <v>1327.5450000000001</v>
      </c>
      <c r="M1150" t="s">
        <v>2195</v>
      </c>
      <c r="N1150" t="str">
        <f>_xlfn.XLOOKUP(Orders[[#This Row],[CustomerID]],Customers[CustomerID],Customers[CustomerName])</f>
        <v>Sani Igwe</v>
      </c>
      <c r="O1150" t="str">
        <f>_xlfn.XLOOKUP(Orders[[#This Row],[CustomerID]],Customers[CustomerID],Customers[City])</f>
        <v>Georgia</v>
      </c>
      <c r="P1150" t="str">
        <f>_xlfn.XLOOKUP(Orders[[#This Row],[CustomerID]],Customers[CustomerID],Customers[Gender])</f>
        <v>Male</v>
      </c>
      <c r="Q1150">
        <f>_xlfn.XLOOKUP(Orders[[#This Row],[CustomerID]],Customers[CustomerID],Customers[CustomerAge])</f>
        <v>20</v>
      </c>
      <c r="R1150" t="str">
        <f>IF(Orders[[#This Row],[CustomerAge]]&gt;=35, "Older", "Young")</f>
        <v>Young</v>
      </c>
      <c r="S1150" t="str">
        <f>_xlfn.XLOOKUP(Orders[[#This Row],[ProductID]],Products[ProductID],Products[ProductName])</f>
        <v>Chest Expander</v>
      </c>
      <c r="T1150" t="str">
        <f>_xlfn.XLOOKUP(Orders[[#This Row],[ProductID]],Products[ProductID],Products[Category])</f>
        <v>Gym</v>
      </c>
    </row>
    <row r="1151" spans="1:20" x14ac:dyDescent="0.25">
      <c r="A1151" s="4" t="s">
        <v>1340</v>
      </c>
      <c r="B1151" s="5">
        <v>45956</v>
      </c>
      <c r="C1151" s="15">
        <f>WEEKNUM(Orders[[#This Row],[OrderDate]])</f>
        <v>44</v>
      </c>
      <c r="D1151" s="15" t="str">
        <f>TEXT(Orders[[#This Row],[OrderDate]],"mmmm")</f>
        <v>October</v>
      </c>
      <c r="E1151" s="4" t="s">
        <v>369</v>
      </c>
      <c r="F1151" s="4" t="s">
        <v>57</v>
      </c>
      <c r="G1151" s="4">
        <v>4</v>
      </c>
      <c r="H1151" s="12">
        <v>9586.5</v>
      </c>
      <c r="I1151" s="13">
        <v>8148.5249999999996</v>
      </c>
      <c r="J1151" s="13">
        <f>Orders[[#This Row],[Quantity]]*Orders[[#This Row],[Selling Price]]</f>
        <v>38346</v>
      </c>
      <c r="K1151" s="13">
        <f>Orders[[#This Row],[Quantity]]*Orders[[#This Row],[Cost Price]]</f>
        <v>32594.1</v>
      </c>
      <c r="L1151" s="13">
        <f>Orders[[#This Row],[Revenue]]-Orders[[#This Row],[Expenses]]</f>
        <v>5751.9000000000015</v>
      </c>
      <c r="M1151" t="s">
        <v>2198</v>
      </c>
      <c r="N1151" t="str">
        <f>_xlfn.XLOOKUP(Orders[[#This Row],[CustomerID]],Customers[CustomerID],Customers[CustomerName])</f>
        <v>Ibrahim Bello</v>
      </c>
      <c r="O1151" t="str">
        <f>_xlfn.XLOOKUP(Orders[[#This Row],[CustomerID]],Customers[CustomerID],Customers[City])</f>
        <v>Washington</v>
      </c>
      <c r="P1151" t="str">
        <f>_xlfn.XLOOKUP(Orders[[#This Row],[CustomerID]],Customers[CustomerID],Customers[Gender])</f>
        <v>Male</v>
      </c>
      <c r="Q1151">
        <f>_xlfn.XLOOKUP(Orders[[#This Row],[CustomerID]],Customers[CustomerID],Customers[CustomerAge])</f>
        <v>40</v>
      </c>
      <c r="R1151" t="str">
        <f>IF(Orders[[#This Row],[CustomerAge]]&gt;=35, "Older", "Young")</f>
        <v>Older</v>
      </c>
      <c r="S1151" t="str">
        <f>_xlfn.XLOOKUP(Orders[[#This Row],[ProductID]],Products[ProductID],Products[ProductName])</f>
        <v>Badminton Racket</v>
      </c>
      <c r="T1151" t="str">
        <f>_xlfn.XLOOKUP(Orders[[#This Row],[ProductID]],Products[ProductID],Products[Category])</f>
        <v>Sports</v>
      </c>
    </row>
    <row r="1152" spans="1:20" x14ac:dyDescent="0.25">
      <c r="A1152" s="4" t="s">
        <v>1341</v>
      </c>
      <c r="B1152" s="5">
        <v>45962</v>
      </c>
      <c r="C1152" s="15">
        <f>WEEKNUM(Orders[[#This Row],[OrderDate]])</f>
        <v>44</v>
      </c>
      <c r="D1152" s="15" t="str">
        <f>TEXT(Orders[[#This Row],[OrderDate]],"mmmm")</f>
        <v>November</v>
      </c>
      <c r="E1152" s="4" t="s">
        <v>305</v>
      </c>
      <c r="F1152" s="4" t="s">
        <v>111</v>
      </c>
      <c r="G1152" s="4">
        <v>5</v>
      </c>
      <c r="H1152" s="12">
        <v>2019.6000000000001</v>
      </c>
      <c r="I1152" s="13">
        <v>1716.66</v>
      </c>
      <c r="J1152" s="13">
        <f>Orders[[#This Row],[Quantity]]*Orders[[#This Row],[Selling Price]]</f>
        <v>10098</v>
      </c>
      <c r="K1152" s="13">
        <f>Orders[[#This Row],[Quantity]]*Orders[[#This Row],[Cost Price]]</f>
        <v>8583.3000000000011</v>
      </c>
      <c r="L1152" s="13">
        <f>Orders[[#This Row],[Revenue]]-Orders[[#This Row],[Expenses]]</f>
        <v>1514.6999999999989</v>
      </c>
      <c r="M1152" t="s">
        <v>2215</v>
      </c>
      <c r="N1152" t="str">
        <f>_xlfn.XLOOKUP(Orders[[#This Row],[CustomerID]],Customers[CustomerID],Customers[CustomerName])</f>
        <v>Tunde Danladi</v>
      </c>
      <c r="O1152" t="str">
        <f>_xlfn.XLOOKUP(Orders[[#This Row],[CustomerID]],Customers[CustomerID],Customers[City])</f>
        <v>California</v>
      </c>
      <c r="P1152" t="str">
        <f>_xlfn.XLOOKUP(Orders[[#This Row],[CustomerID]],Customers[CustomerID],Customers[Gender])</f>
        <v>Male</v>
      </c>
      <c r="Q1152">
        <f>_xlfn.XLOOKUP(Orders[[#This Row],[CustomerID]],Customers[CustomerID],Customers[CustomerAge])</f>
        <v>40</v>
      </c>
      <c r="R1152" t="str">
        <f>IF(Orders[[#This Row],[CustomerAge]]&gt;=35, "Older", "Young")</f>
        <v>Older</v>
      </c>
      <c r="S1152" t="str">
        <f>_xlfn.XLOOKUP(Orders[[#This Row],[ProductID]],Products[ProductID],Products[ProductName])</f>
        <v>Refrigerator</v>
      </c>
      <c r="T1152" t="str">
        <f>_xlfn.XLOOKUP(Orders[[#This Row],[ProductID]],Products[ProductID],Products[Category])</f>
        <v>Electronics</v>
      </c>
    </row>
    <row r="1153" spans="1:20" x14ac:dyDescent="0.25">
      <c r="A1153" s="4" t="s">
        <v>1342</v>
      </c>
      <c r="B1153" s="5">
        <v>45943</v>
      </c>
      <c r="C1153" s="15">
        <f>WEEKNUM(Orders[[#This Row],[OrderDate]])</f>
        <v>42</v>
      </c>
      <c r="D1153" s="15" t="str">
        <f>TEXT(Orders[[#This Row],[OrderDate]],"mmmm")</f>
        <v>October</v>
      </c>
      <c r="E1153" s="4" t="s">
        <v>96</v>
      </c>
      <c r="F1153" s="4" t="s">
        <v>120</v>
      </c>
      <c r="G1153" s="4">
        <v>1</v>
      </c>
      <c r="H1153" s="12">
        <v>16461.099999999999</v>
      </c>
      <c r="I1153" s="13">
        <v>13991.934999999999</v>
      </c>
      <c r="J1153" s="13">
        <f>Orders[[#This Row],[Quantity]]*Orders[[#This Row],[Selling Price]]</f>
        <v>16461.099999999999</v>
      </c>
      <c r="K1153" s="13">
        <f>Orders[[#This Row],[Quantity]]*Orders[[#This Row],[Cost Price]]</f>
        <v>13991.934999999999</v>
      </c>
      <c r="L1153" s="13">
        <f>Orders[[#This Row],[Revenue]]-Orders[[#This Row],[Expenses]]</f>
        <v>2469.1649999999991</v>
      </c>
      <c r="M1153" t="s">
        <v>2193</v>
      </c>
      <c r="N1153" t="str">
        <f>_xlfn.XLOOKUP(Orders[[#This Row],[CustomerID]],Customers[CustomerID],Customers[CustomerName])</f>
        <v>Amina Abubakar</v>
      </c>
      <c r="O1153" t="str">
        <f>_xlfn.XLOOKUP(Orders[[#This Row],[CustomerID]],Customers[CustomerID],Customers[City])</f>
        <v>Texas</v>
      </c>
      <c r="P1153" t="str">
        <f>_xlfn.XLOOKUP(Orders[[#This Row],[CustomerID]],Customers[CustomerID],Customers[Gender])</f>
        <v>Female</v>
      </c>
      <c r="Q1153">
        <f>_xlfn.XLOOKUP(Orders[[#This Row],[CustomerID]],Customers[CustomerID],Customers[CustomerAge])</f>
        <v>35</v>
      </c>
      <c r="R1153" t="str">
        <f>IF(Orders[[#This Row],[CustomerAge]]&gt;=35, "Older", "Young")</f>
        <v>Older</v>
      </c>
      <c r="S1153" t="str">
        <f>_xlfn.XLOOKUP(Orders[[#This Row],[ProductID]],Products[ProductID],Products[ProductName])</f>
        <v>Chess</v>
      </c>
      <c r="T1153" t="str">
        <f>_xlfn.XLOOKUP(Orders[[#This Row],[ProductID]],Products[ProductID],Products[Category])</f>
        <v>Games</v>
      </c>
    </row>
    <row r="1154" spans="1:20" x14ac:dyDescent="0.25">
      <c r="A1154" s="4" t="s">
        <v>1343</v>
      </c>
      <c r="B1154" s="5">
        <v>45969</v>
      </c>
      <c r="C1154" s="15">
        <f>WEEKNUM(Orders[[#This Row],[OrderDate]])</f>
        <v>45</v>
      </c>
      <c r="D1154" s="15" t="str">
        <f>TEXT(Orders[[#This Row],[OrderDate]],"mmmm")</f>
        <v>November</v>
      </c>
      <c r="E1154" s="4" t="s">
        <v>91</v>
      </c>
      <c r="F1154" s="4" t="s">
        <v>81</v>
      </c>
      <c r="G1154" s="4">
        <v>10</v>
      </c>
      <c r="H1154" s="12">
        <v>729.7</v>
      </c>
      <c r="I1154" s="13">
        <v>620.245</v>
      </c>
      <c r="J1154" s="13">
        <f>Orders[[#This Row],[Quantity]]*Orders[[#This Row],[Selling Price]]</f>
        <v>7297</v>
      </c>
      <c r="K1154" s="13">
        <f>Orders[[#This Row],[Quantity]]*Orders[[#This Row],[Cost Price]]</f>
        <v>6202.45</v>
      </c>
      <c r="L1154" s="13">
        <f>Orders[[#This Row],[Revenue]]-Orders[[#This Row],[Expenses]]</f>
        <v>1094.5500000000002</v>
      </c>
      <c r="M1154" t="s">
        <v>2195</v>
      </c>
      <c r="N1154" t="str">
        <f>_xlfn.XLOOKUP(Orders[[#This Row],[CustomerID]],Customers[CustomerID],Customers[CustomerName])</f>
        <v>Uche Abubakar</v>
      </c>
      <c r="O1154" t="str">
        <f>_xlfn.XLOOKUP(Orders[[#This Row],[CustomerID]],Customers[CustomerID],Customers[City])</f>
        <v>Florida</v>
      </c>
      <c r="P1154" t="str">
        <f>_xlfn.XLOOKUP(Orders[[#This Row],[CustomerID]],Customers[CustomerID],Customers[Gender])</f>
        <v>Male</v>
      </c>
      <c r="Q1154">
        <f>_xlfn.XLOOKUP(Orders[[#This Row],[CustomerID]],Customers[CustomerID],Customers[CustomerAge])</f>
        <v>28</v>
      </c>
      <c r="R1154" t="str">
        <f>IF(Orders[[#This Row],[CustomerAge]]&gt;=35, "Older", "Young")</f>
        <v>Young</v>
      </c>
      <c r="S1154" t="str">
        <f>_xlfn.XLOOKUP(Orders[[#This Row],[ProductID]],Products[ProductID],Products[ProductName])</f>
        <v>Trousers</v>
      </c>
      <c r="T1154" t="str">
        <f>_xlfn.XLOOKUP(Orders[[#This Row],[ProductID]],Products[ProductID],Products[Category])</f>
        <v>Clothing</v>
      </c>
    </row>
    <row r="1155" spans="1:20" x14ac:dyDescent="0.25">
      <c r="A1155" s="4" t="s">
        <v>1344</v>
      </c>
      <c r="B1155" s="5">
        <v>46001</v>
      </c>
      <c r="C1155" s="15">
        <f>WEEKNUM(Orders[[#This Row],[OrderDate]])</f>
        <v>50</v>
      </c>
      <c r="D1155" s="15" t="str">
        <f>TEXT(Orders[[#This Row],[OrderDate]],"mmmm")</f>
        <v>December</v>
      </c>
      <c r="E1155" s="4" t="s">
        <v>418</v>
      </c>
      <c r="F1155" s="4" t="s">
        <v>70</v>
      </c>
      <c r="G1155" s="4">
        <v>5</v>
      </c>
      <c r="H1155" s="12">
        <v>11739.1</v>
      </c>
      <c r="I1155" s="13">
        <v>9978.2350000000006</v>
      </c>
      <c r="J1155" s="13">
        <f>Orders[[#This Row],[Quantity]]*Orders[[#This Row],[Selling Price]]</f>
        <v>58695.5</v>
      </c>
      <c r="K1155" s="13">
        <f>Orders[[#This Row],[Quantity]]*Orders[[#This Row],[Cost Price]]</f>
        <v>49891.175000000003</v>
      </c>
      <c r="L1155" s="13">
        <f>Orders[[#This Row],[Revenue]]-Orders[[#This Row],[Expenses]]</f>
        <v>8804.3249999999971</v>
      </c>
      <c r="M1155" t="s">
        <v>2219</v>
      </c>
      <c r="N1155" t="str">
        <f>_xlfn.XLOOKUP(Orders[[#This Row],[CustomerID]],Customers[CustomerID],Customers[CustomerName])</f>
        <v>Amina Danladi</v>
      </c>
      <c r="O1155" t="str">
        <f>_xlfn.XLOOKUP(Orders[[#This Row],[CustomerID]],Customers[CustomerID],Customers[City])</f>
        <v>Illinois</v>
      </c>
      <c r="P1155" t="str">
        <f>_xlfn.XLOOKUP(Orders[[#This Row],[CustomerID]],Customers[CustomerID],Customers[Gender])</f>
        <v>Female</v>
      </c>
      <c r="Q1155">
        <f>_xlfn.XLOOKUP(Orders[[#This Row],[CustomerID]],Customers[CustomerID],Customers[CustomerAge])</f>
        <v>20</v>
      </c>
      <c r="R1155" t="str">
        <f>IF(Orders[[#This Row],[CustomerAge]]&gt;=35, "Older", "Young")</f>
        <v>Young</v>
      </c>
      <c r="S1155" t="str">
        <f>_xlfn.XLOOKUP(Orders[[#This Row],[ProductID]],Products[ProductID],Products[ProductName])</f>
        <v>Yoga Mat</v>
      </c>
      <c r="T1155" t="str">
        <f>_xlfn.XLOOKUP(Orders[[#This Row],[ProductID]],Products[ProductID],Products[Category])</f>
        <v>Gym</v>
      </c>
    </row>
    <row r="1156" spans="1:20" x14ac:dyDescent="0.25">
      <c r="A1156" s="4" t="s">
        <v>1345</v>
      </c>
      <c r="B1156" s="5">
        <v>46012</v>
      </c>
      <c r="C1156" s="15">
        <f>WEEKNUM(Orders[[#This Row],[OrderDate]])</f>
        <v>52</v>
      </c>
      <c r="D1156" s="15" t="str">
        <f>TEXT(Orders[[#This Row],[OrderDate]],"mmmm")</f>
        <v>December</v>
      </c>
      <c r="E1156" s="4" t="s">
        <v>201</v>
      </c>
      <c r="F1156" s="4" t="s">
        <v>37</v>
      </c>
      <c r="G1156" s="4">
        <v>8</v>
      </c>
      <c r="H1156" s="12">
        <v>15615.5</v>
      </c>
      <c r="I1156" s="13">
        <v>13273.174999999999</v>
      </c>
      <c r="J1156" s="13">
        <f>Orders[[#This Row],[Quantity]]*Orders[[#This Row],[Selling Price]]</f>
        <v>124924</v>
      </c>
      <c r="K1156" s="13">
        <f>Orders[[#This Row],[Quantity]]*Orders[[#This Row],[Cost Price]]</f>
        <v>106185.4</v>
      </c>
      <c r="L1156" s="13">
        <f>Orders[[#This Row],[Revenue]]-Orders[[#This Row],[Expenses]]</f>
        <v>18738.600000000006</v>
      </c>
      <c r="M1156" t="s">
        <v>2219</v>
      </c>
      <c r="N1156" t="str">
        <f>_xlfn.XLOOKUP(Orders[[#This Row],[CustomerID]],Customers[CustomerID],Customers[CustomerName])</f>
        <v>Sani Igwe</v>
      </c>
      <c r="O1156" t="str">
        <f>_xlfn.XLOOKUP(Orders[[#This Row],[CustomerID]],Customers[CustomerID],Customers[City])</f>
        <v>Georgia</v>
      </c>
      <c r="P1156" t="str">
        <f>_xlfn.XLOOKUP(Orders[[#This Row],[CustomerID]],Customers[CustomerID],Customers[Gender])</f>
        <v>Male</v>
      </c>
      <c r="Q1156">
        <f>_xlfn.XLOOKUP(Orders[[#This Row],[CustomerID]],Customers[CustomerID],Customers[CustomerAge])</f>
        <v>20</v>
      </c>
      <c r="R1156" t="str">
        <f>IF(Orders[[#This Row],[CustomerAge]]&gt;=35, "Older", "Young")</f>
        <v>Young</v>
      </c>
      <c r="S1156" t="str">
        <f>_xlfn.XLOOKUP(Orders[[#This Row],[ProductID]],Products[ProductID],Products[ProductName])</f>
        <v>Iron</v>
      </c>
      <c r="T1156" t="str">
        <f>_xlfn.XLOOKUP(Orders[[#This Row],[ProductID]],Products[ProductID],Products[Category])</f>
        <v>Electronics</v>
      </c>
    </row>
    <row r="1157" spans="1:20" x14ac:dyDescent="0.25">
      <c r="A1157" s="4" t="s">
        <v>1346</v>
      </c>
      <c r="B1157" s="5">
        <v>46000</v>
      </c>
      <c r="C1157" s="15">
        <f>WEEKNUM(Orders[[#This Row],[OrderDate]])</f>
        <v>50</v>
      </c>
      <c r="D1157" s="15" t="str">
        <f>TEXT(Orders[[#This Row],[OrderDate]],"mmmm")</f>
        <v>December</v>
      </c>
      <c r="E1157" s="4" t="s">
        <v>302</v>
      </c>
      <c r="F1157" s="4" t="s">
        <v>189</v>
      </c>
      <c r="G1157" s="4">
        <v>1</v>
      </c>
      <c r="H1157" s="12">
        <v>8218</v>
      </c>
      <c r="I1157" s="13">
        <v>6985.3</v>
      </c>
      <c r="J1157" s="13">
        <f>Orders[[#This Row],[Quantity]]*Orders[[#This Row],[Selling Price]]</f>
        <v>8218</v>
      </c>
      <c r="K1157" s="13">
        <f>Orders[[#This Row],[Quantity]]*Orders[[#This Row],[Cost Price]]</f>
        <v>6985.3</v>
      </c>
      <c r="L1157" s="13">
        <f>Orders[[#This Row],[Revenue]]-Orders[[#This Row],[Expenses]]</f>
        <v>1232.6999999999998</v>
      </c>
      <c r="M1157" t="s">
        <v>2214</v>
      </c>
      <c r="N1157" t="str">
        <f>_xlfn.XLOOKUP(Orders[[#This Row],[CustomerID]],Customers[CustomerID],Customers[CustomerName])</f>
        <v>Sani Bello</v>
      </c>
      <c r="O1157" t="str">
        <f>_xlfn.XLOOKUP(Orders[[#This Row],[CustomerID]],Customers[CustomerID],Customers[City])</f>
        <v>Washington</v>
      </c>
      <c r="P1157" t="str">
        <f>_xlfn.XLOOKUP(Orders[[#This Row],[CustomerID]],Customers[CustomerID],Customers[Gender])</f>
        <v>Male</v>
      </c>
      <c r="Q1157">
        <f>_xlfn.XLOOKUP(Orders[[#This Row],[CustomerID]],Customers[CustomerID],Customers[CustomerAge])</f>
        <v>23</v>
      </c>
      <c r="R1157" t="str">
        <f>IF(Orders[[#This Row],[CustomerAge]]&gt;=35, "Older", "Young")</f>
        <v>Young</v>
      </c>
      <c r="S1157" t="str">
        <f>_xlfn.XLOOKUP(Orders[[#This Row],[ProductID]],Products[ProductID],Products[ProductName])</f>
        <v>Scrabble</v>
      </c>
      <c r="T1157" t="str">
        <f>_xlfn.XLOOKUP(Orders[[#This Row],[ProductID]],Products[ProductID],Products[Category])</f>
        <v>Games</v>
      </c>
    </row>
    <row r="1158" spans="1:20" x14ac:dyDescent="0.25">
      <c r="A1158" s="4" t="s">
        <v>1347</v>
      </c>
      <c r="B1158" s="5">
        <v>45980</v>
      </c>
      <c r="C1158" s="15">
        <f>WEEKNUM(Orders[[#This Row],[OrderDate]])</f>
        <v>47</v>
      </c>
      <c r="D1158" s="15" t="str">
        <f>TEXT(Orders[[#This Row],[OrderDate]],"mmmm")</f>
        <v>November</v>
      </c>
      <c r="E1158" s="4" t="s">
        <v>244</v>
      </c>
      <c r="F1158" s="4" t="s">
        <v>130</v>
      </c>
      <c r="G1158" s="4">
        <v>9</v>
      </c>
      <c r="H1158" s="12">
        <v>18961</v>
      </c>
      <c r="I1158" s="13">
        <v>16116.85</v>
      </c>
      <c r="J1158" s="13">
        <f>Orders[[#This Row],[Quantity]]*Orders[[#This Row],[Selling Price]]</f>
        <v>170649</v>
      </c>
      <c r="K1158" s="13">
        <f>Orders[[#This Row],[Quantity]]*Orders[[#This Row],[Cost Price]]</f>
        <v>145051.65</v>
      </c>
      <c r="L1158" s="13">
        <f>Orders[[#This Row],[Revenue]]-Orders[[#This Row],[Expenses]]</f>
        <v>25597.350000000006</v>
      </c>
      <c r="M1158" t="s">
        <v>2212</v>
      </c>
      <c r="N1158" t="str">
        <f>_xlfn.XLOOKUP(Orders[[#This Row],[CustomerID]],Customers[CustomerID],Customers[CustomerName])</f>
        <v>Zainab Abubakar</v>
      </c>
      <c r="O1158" t="str">
        <f>_xlfn.XLOOKUP(Orders[[#This Row],[CustomerID]],Customers[CustomerID],Customers[City])</f>
        <v>Texas</v>
      </c>
      <c r="P1158" t="str">
        <f>_xlfn.XLOOKUP(Orders[[#This Row],[CustomerID]],Customers[CustomerID],Customers[Gender])</f>
        <v>Female</v>
      </c>
      <c r="Q1158">
        <f>_xlfn.XLOOKUP(Orders[[#This Row],[CustomerID]],Customers[CustomerID],Customers[CustomerAge])</f>
        <v>33</v>
      </c>
      <c r="R1158" t="str">
        <f>IF(Orders[[#This Row],[CustomerAge]]&gt;=35, "Older", "Young")</f>
        <v>Young</v>
      </c>
      <c r="S1158" t="str">
        <f>_xlfn.XLOOKUP(Orders[[#This Row],[ProductID]],Products[ProductID],Products[ProductName])</f>
        <v>Gold Earrings And Necklaces</v>
      </c>
      <c r="T1158" t="str">
        <f>_xlfn.XLOOKUP(Orders[[#This Row],[ProductID]],Products[ProductID],Products[Category])</f>
        <v>Accessories</v>
      </c>
    </row>
    <row r="1159" spans="1:20" x14ac:dyDescent="0.25">
      <c r="A1159" s="4" t="s">
        <v>1348</v>
      </c>
      <c r="B1159" s="5">
        <v>46011</v>
      </c>
      <c r="C1159" s="15">
        <f>WEEKNUM(Orders[[#This Row],[OrderDate]])</f>
        <v>51</v>
      </c>
      <c r="D1159" s="15" t="str">
        <f>TEXT(Orders[[#This Row],[OrderDate]],"mmmm")</f>
        <v>December</v>
      </c>
      <c r="E1159" s="4" t="s">
        <v>388</v>
      </c>
      <c r="F1159" s="4" t="s">
        <v>9</v>
      </c>
      <c r="G1159" s="4">
        <v>5</v>
      </c>
      <c r="H1159" s="12">
        <v>8474</v>
      </c>
      <c r="I1159" s="13">
        <v>7202.9</v>
      </c>
      <c r="J1159" s="13">
        <f>Orders[[#This Row],[Quantity]]*Orders[[#This Row],[Selling Price]]</f>
        <v>42370</v>
      </c>
      <c r="K1159" s="13">
        <f>Orders[[#This Row],[Quantity]]*Orders[[#This Row],[Cost Price]]</f>
        <v>36014.5</v>
      </c>
      <c r="L1159" s="13">
        <f>Orders[[#This Row],[Revenue]]-Orders[[#This Row],[Expenses]]</f>
        <v>6355.5</v>
      </c>
      <c r="M1159" t="s">
        <v>2208</v>
      </c>
      <c r="N1159" t="str">
        <f>_xlfn.XLOOKUP(Orders[[#This Row],[CustomerID]],Customers[CustomerID],Customers[CustomerName])</f>
        <v>Folasade Okonkwo</v>
      </c>
      <c r="O1159" t="str">
        <f>_xlfn.XLOOKUP(Orders[[#This Row],[CustomerID]],Customers[CustomerID],Customers[City])</f>
        <v>Washington</v>
      </c>
      <c r="P1159" t="str">
        <f>_xlfn.XLOOKUP(Orders[[#This Row],[CustomerID]],Customers[CustomerID],Customers[Gender])</f>
        <v>Female</v>
      </c>
      <c r="Q1159">
        <f>_xlfn.XLOOKUP(Orders[[#This Row],[CustomerID]],Customers[CustomerID],Customers[CustomerAge])</f>
        <v>52</v>
      </c>
      <c r="R1159" t="str">
        <f>IF(Orders[[#This Row],[CustomerAge]]&gt;=35, "Older", "Young")</f>
        <v>Older</v>
      </c>
      <c r="S1159" t="str">
        <f>_xlfn.XLOOKUP(Orders[[#This Row],[ProductID]],Products[ProductID],Products[ProductName])</f>
        <v>Beaded Earrings And Necklaces</v>
      </c>
      <c r="T1159" t="str">
        <f>_xlfn.XLOOKUP(Orders[[#This Row],[ProductID]],Products[ProductID],Products[Category])</f>
        <v>Accessories</v>
      </c>
    </row>
    <row r="1160" spans="1:20" x14ac:dyDescent="0.25">
      <c r="A1160" s="4" t="s">
        <v>1349</v>
      </c>
      <c r="B1160" s="5">
        <v>45949</v>
      </c>
      <c r="C1160" s="15">
        <f>WEEKNUM(Orders[[#This Row],[OrderDate]])</f>
        <v>43</v>
      </c>
      <c r="D1160" s="15" t="str">
        <f>TEXT(Orders[[#This Row],[OrderDate]],"mmmm")</f>
        <v>October</v>
      </c>
      <c r="E1160" s="4" t="s">
        <v>80</v>
      </c>
      <c r="F1160" s="4" t="s">
        <v>34</v>
      </c>
      <c r="G1160" s="4">
        <v>4</v>
      </c>
      <c r="H1160" s="12">
        <v>19666.099999999999</v>
      </c>
      <c r="I1160" s="13">
        <v>16716.184999999998</v>
      </c>
      <c r="J1160" s="13">
        <f>Orders[[#This Row],[Quantity]]*Orders[[#This Row],[Selling Price]]</f>
        <v>78664.399999999994</v>
      </c>
      <c r="K1160" s="13">
        <f>Orders[[#This Row],[Quantity]]*Orders[[#This Row],[Cost Price]]</f>
        <v>66864.739999999991</v>
      </c>
      <c r="L1160" s="13">
        <f>Orders[[#This Row],[Revenue]]-Orders[[#This Row],[Expenses]]</f>
        <v>11799.660000000003</v>
      </c>
      <c r="M1160" t="s">
        <v>2192</v>
      </c>
      <c r="N1160" t="str">
        <f>_xlfn.XLOOKUP(Orders[[#This Row],[CustomerID]],Customers[CustomerID],Customers[CustomerName])</f>
        <v>Sani Ojo</v>
      </c>
      <c r="O1160" t="str">
        <f>_xlfn.XLOOKUP(Orders[[#This Row],[CustomerID]],Customers[CustomerID],Customers[City])</f>
        <v>Texas</v>
      </c>
      <c r="P1160" t="str">
        <f>_xlfn.XLOOKUP(Orders[[#This Row],[CustomerID]],Customers[CustomerID],Customers[Gender])</f>
        <v>Male</v>
      </c>
      <c r="Q1160">
        <f>_xlfn.XLOOKUP(Orders[[#This Row],[CustomerID]],Customers[CustomerID],Customers[CustomerAge])</f>
        <v>35</v>
      </c>
      <c r="R1160" t="str">
        <f>IF(Orders[[#This Row],[CustomerAge]]&gt;=35, "Older", "Young")</f>
        <v>Older</v>
      </c>
      <c r="S1160" t="str">
        <f>_xlfn.XLOOKUP(Orders[[#This Row],[ProductID]],Products[ProductID],Products[ProductName])</f>
        <v>Gold Bracelets</v>
      </c>
      <c r="T1160" t="str">
        <f>_xlfn.XLOOKUP(Orders[[#This Row],[ProductID]],Products[ProductID],Products[Category])</f>
        <v>Accessories</v>
      </c>
    </row>
    <row r="1161" spans="1:20" x14ac:dyDescent="0.25">
      <c r="A1161" s="4" t="s">
        <v>1350</v>
      </c>
      <c r="B1161" s="5">
        <v>45995</v>
      </c>
      <c r="C1161" s="15">
        <f>WEEKNUM(Orders[[#This Row],[OrderDate]])</f>
        <v>49</v>
      </c>
      <c r="D1161" s="15" t="str">
        <f>TEXT(Orders[[#This Row],[OrderDate]],"mmmm")</f>
        <v>December</v>
      </c>
      <c r="E1161" s="4" t="s">
        <v>19</v>
      </c>
      <c r="F1161" s="4" t="s">
        <v>157</v>
      </c>
      <c r="G1161" s="4">
        <v>3</v>
      </c>
      <c r="H1161" s="12">
        <v>6736.7999999999993</v>
      </c>
      <c r="I1161" s="13">
        <v>5726.28</v>
      </c>
      <c r="J1161" s="13">
        <f>Orders[[#This Row],[Quantity]]*Orders[[#This Row],[Selling Price]]</f>
        <v>20210.399999999998</v>
      </c>
      <c r="K1161" s="13">
        <f>Orders[[#This Row],[Quantity]]*Orders[[#This Row],[Cost Price]]</f>
        <v>17178.84</v>
      </c>
      <c r="L1161" s="13">
        <f>Orders[[#This Row],[Revenue]]-Orders[[#This Row],[Expenses]]</f>
        <v>3031.5599999999977</v>
      </c>
      <c r="M1161" t="s">
        <v>2216</v>
      </c>
      <c r="N1161" t="str">
        <f>_xlfn.XLOOKUP(Orders[[#This Row],[CustomerID]],Customers[CustomerID],Customers[CustomerName])</f>
        <v>Obi Adeyemi</v>
      </c>
      <c r="O1161" t="str">
        <f>_xlfn.XLOOKUP(Orders[[#This Row],[CustomerID]],Customers[CustomerID],Customers[City])</f>
        <v>California</v>
      </c>
      <c r="P1161" t="str">
        <f>_xlfn.XLOOKUP(Orders[[#This Row],[CustomerID]],Customers[CustomerID],Customers[Gender])</f>
        <v>Male</v>
      </c>
      <c r="Q1161">
        <f>_xlfn.XLOOKUP(Orders[[#This Row],[CustomerID]],Customers[CustomerID],Customers[CustomerAge])</f>
        <v>24</v>
      </c>
      <c r="R1161" t="str">
        <f>IF(Orders[[#This Row],[CustomerAge]]&gt;=35, "Older", "Young")</f>
        <v>Young</v>
      </c>
      <c r="S1161" t="str">
        <f>_xlfn.XLOOKUP(Orders[[#This Row],[ProductID]],Products[ProductID],Products[ProductName])</f>
        <v>Football</v>
      </c>
      <c r="T1161" t="str">
        <f>_xlfn.XLOOKUP(Orders[[#This Row],[ProductID]],Products[ProductID],Products[Category])</f>
        <v>Sports</v>
      </c>
    </row>
    <row r="1162" spans="1:20" x14ac:dyDescent="0.25">
      <c r="A1162" s="4" t="s">
        <v>1351</v>
      </c>
      <c r="B1162" s="5">
        <v>45951</v>
      </c>
      <c r="C1162" s="15">
        <f>WEEKNUM(Orders[[#This Row],[OrderDate]])</f>
        <v>43</v>
      </c>
      <c r="D1162" s="15" t="str">
        <f>TEXT(Orders[[#This Row],[OrderDate]],"mmmm")</f>
        <v>October</v>
      </c>
      <c r="E1162" s="4" t="s">
        <v>596</v>
      </c>
      <c r="F1162" s="4" t="s">
        <v>353</v>
      </c>
      <c r="G1162" s="4">
        <v>10</v>
      </c>
      <c r="H1162" s="12">
        <v>1691.3</v>
      </c>
      <c r="I1162" s="13">
        <v>1437.605</v>
      </c>
      <c r="J1162" s="13">
        <f>Orders[[#This Row],[Quantity]]*Orders[[#This Row],[Selling Price]]</f>
        <v>16913</v>
      </c>
      <c r="K1162" s="13">
        <f>Orders[[#This Row],[Quantity]]*Orders[[#This Row],[Cost Price]]</f>
        <v>14376.05</v>
      </c>
      <c r="L1162" s="13">
        <f>Orders[[#This Row],[Revenue]]-Orders[[#This Row],[Expenses]]</f>
        <v>2536.9500000000007</v>
      </c>
      <c r="M1162" t="s">
        <v>2217</v>
      </c>
      <c r="N1162" t="str">
        <f>_xlfn.XLOOKUP(Orders[[#This Row],[CustomerID]],Customers[CustomerID],Customers[CustomerName])</f>
        <v>Blessing Balogun</v>
      </c>
      <c r="O1162" t="str">
        <f>_xlfn.XLOOKUP(Orders[[#This Row],[CustomerID]],Customers[CustomerID],Customers[City])</f>
        <v>Texas</v>
      </c>
      <c r="P1162" t="str">
        <f>_xlfn.XLOOKUP(Orders[[#This Row],[CustomerID]],Customers[CustomerID],Customers[Gender])</f>
        <v>Female</v>
      </c>
      <c r="Q1162">
        <f>_xlfn.XLOOKUP(Orders[[#This Row],[CustomerID]],Customers[CustomerID],Customers[CustomerAge])</f>
        <v>26</v>
      </c>
      <c r="R1162" t="str">
        <f>IF(Orders[[#This Row],[CustomerAge]]&gt;=35, "Older", "Young")</f>
        <v>Young</v>
      </c>
      <c r="S1162" t="str">
        <f>_xlfn.XLOOKUP(Orders[[#This Row],[ProductID]],Products[ProductID],Products[ProductName])</f>
        <v>Silver Earrings And Necklaces</v>
      </c>
      <c r="T1162" t="str">
        <f>_xlfn.XLOOKUP(Orders[[#This Row],[ProductID]],Products[ProductID],Products[Category])</f>
        <v>Accessories</v>
      </c>
    </row>
    <row r="1163" spans="1:20" x14ac:dyDescent="0.25">
      <c r="A1163" s="4" t="s">
        <v>1352</v>
      </c>
      <c r="B1163" s="5">
        <v>45936</v>
      </c>
      <c r="C1163" s="15">
        <f>WEEKNUM(Orders[[#This Row],[OrderDate]])</f>
        <v>41</v>
      </c>
      <c r="D1163" s="15" t="str">
        <f>TEXT(Orders[[#This Row],[OrderDate]],"mmmm")</f>
        <v>October</v>
      </c>
      <c r="E1163" s="4" t="s">
        <v>244</v>
      </c>
      <c r="F1163" s="4" t="s">
        <v>37</v>
      </c>
      <c r="G1163" s="4">
        <v>10</v>
      </c>
      <c r="H1163" s="12">
        <v>2726.3</v>
      </c>
      <c r="I1163" s="13">
        <v>2317.355</v>
      </c>
      <c r="J1163" s="13">
        <f>Orders[[#This Row],[Quantity]]*Orders[[#This Row],[Selling Price]]</f>
        <v>27263</v>
      </c>
      <c r="K1163" s="13">
        <f>Orders[[#This Row],[Quantity]]*Orders[[#This Row],[Cost Price]]</f>
        <v>23173.55</v>
      </c>
      <c r="L1163" s="13">
        <f>Orders[[#This Row],[Revenue]]-Orders[[#This Row],[Expenses]]</f>
        <v>4089.4500000000007</v>
      </c>
      <c r="M1163" t="s">
        <v>2219</v>
      </c>
      <c r="N1163" t="str">
        <f>_xlfn.XLOOKUP(Orders[[#This Row],[CustomerID]],Customers[CustomerID],Customers[CustomerName])</f>
        <v>Zainab Abubakar</v>
      </c>
      <c r="O1163" t="str">
        <f>_xlfn.XLOOKUP(Orders[[#This Row],[CustomerID]],Customers[CustomerID],Customers[City])</f>
        <v>Texas</v>
      </c>
      <c r="P1163" t="str">
        <f>_xlfn.XLOOKUP(Orders[[#This Row],[CustomerID]],Customers[CustomerID],Customers[Gender])</f>
        <v>Female</v>
      </c>
      <c r="Q1163">
        <f>_xlfn.XLOOKUP(Orders[[#This Row],[CustomerID]],Customers[CustomerID],Customers[CustomerAge])</f>
        <v>33</v>
      </c>
      <c r="R1163" t="str">
        <f>IF(Orders[[#This Row],[CustomerAge]]&gt;=35, "Older", "Young")</f>
        <v>Young</v>
      </c>
      <c r="S1163" t="str">
        <f>_xlfn.XLOOKUP(Orders[[#This Row],[ProductID]],Products[ProductID],Products[ProductName])</f>
        <v>Iron</v>
      </c>
      <c r="T1163" t="str">
        <f>_xlfn.XLOOKUP(Orders[[#This Row],[ProductID]],Products[ProductID],Products[Category])</f>
        <v>Electronics</v>
      </c>
    </row>
    <row r="1164" spans="1:20" x14ac:dyDescent="0.25">
      <c r="A1164" s="4" t="s">
        <v>1353</v>
      </c>
      <c r="B1164" s="5">
        <v>45981</v>
      </c>
      <c r="C1164" s="15">
        <f>WEEKNUM(Orders[[#This Row],[OrderDate]])</f>
        <v>47</v>
      </c>
      <c r="D1164" s="15" t="str">
        <f>TEXT(Orders[[#This Row],[OrderDate]],"mmmm")</f>
        <v>November</v>
      </c>
      <c r="E1164" s="4" t="s">
        <v>89</v>
      </c>
      <c r="F1164" s="4" t="s">
        <v>130</v>
      </c>
      <c r="G1164" s="4">
        <v>6</v>
      </c>
      <c r="H1164" s="12">
        <v>5874.6</v>
      </c>
      <c r="I1164" s="13">
        <v>4993.41</v>
      </c>
      <c r="J1164" s="13">
        <f>Orders[[#This Row],[Quantity]]*Orders[[#This Row],[Selling Price]]</f>
        <v>35247.600000000006</v>
      </c>
      <c r="K1164" s="13">
        <f>Orders[[#This Row],[Quantity]]*Orders[[#This Row],[Cost Price]]</f>
        <v>29960.46</v>
      </c>
      <c r="L1164" s="13">
        <f>Orders[[#This Row],[Revenue]]-Orders[[#This Row],[Expenses]]</f>
        <v>5287.1400000000067</v>
      </c>
      <c r="M1164" t="s">
        <v>2197</v>
      </c>
      <c r="N1164" t="str">
        <f>_xlfn.XLOOKUP(Orders[[#This Row],[CustomerID]],Customers[CustomerID],Customers[CustomerName])</f>
        <v>Blessing Balogun</v>
      </c>
      <c r="O1164" t="str">
        <f>_xlfn.XLOOKUP(Orders[[#This Row],[CustomerID]],Customers[CustomerID],Customers[City])</f>
        <v>Washington</v>
      </c>
      <c r="P1164" t="str">
        <f>_xlfn.XLOOKUP(Orders[[#This Row],[CustomerID]],Customers[CustomerID],Customers[Gender])</f>
        <v>Female</v>
      </c>
      <c r="Q1164">
        <f>_xlfn.XLOOKUP(Orders[[#This Row],[CustomerID]],Customers[CustomerID],Customers[CustomerAge])</f>
        <v>19</v>
      </c>
      <c r="R1164" t="str">
        <f>IF(Orders[[#This Row],[CustomerAge]]&gt;=35, "Older", "Young")</f>
        <v>Young</v>
      </c>
      <c r="S1164" t="str">
        <f>_xlfn.XLOOKUP(Orders[[#This Row],[ProductID]],Products[ProductID],Products[ProductName])</f>
        <v>Gold Earrings And Necklaces</v>
      </c>
      <c r="T1164" t="str">
        <f>_xlfn.XLOOKUP(Orders[[#This Row],[ProductID]],Products[ProductID],Products[Category])</f>
        <v>Accessories</v>
      </c>
    </row>
    <row r="1165" spans="1:20" x14ac:dyDescent="0.25">
      <c r="A1165" s="4" t="s">
        <v>1354</v>
      </c>
      <c r="B1165" s="5">
        <v>45932</v>
      </c>
      <c r="C1165" s="15">
        <f>WEEKNUM(Orders[[#This Row],[OrderDate]])</f>
        <v>40</v>
      </c>
      <c r="D1165" s="15" t="str">
        <f>TEXT(Orders[[#This Row],[OrderDate]],"mmmm")</f>
        <v>October</v>
      </c>
      <c r="E1165" s="4" t="s">
        <v>340</v>
      </c>
      <c r="F1165" s="4" t="s">
        <v>120</v>
      </c>
      <c r="G1165" s="4">
        <v>6</v>
      </c>
      <c r="H1165" s="12">
        <v>869.2</v>
      </c>
      <c r="I1165" s="13">
        <v>738.82</v>
      </c>
      <c r="J1165" s="13">
        <f>Orders[[#This Row],[Quantity]]*Orders[[#This Row],[Selling Price]]</f>
        <v>5215.2000000000007</v>
      </c>
      <c r="K1165" s="13">
        <f>Orders[[#This Row],[Quantity]]*Orders[[#This Row],[Cost Price]]</f>
        <v>4432.92</v>
      </c>
      <c r="L1165" s="13">
        <f>Orders[[#This Row],[Revenue]]-Orders[[#This Row],[Expenses]]</f>
        <v>782.28000000000065</v>
      </c>
      <c r="M1165" t="s">
        <v>2213</v>
      </c>
      <c r="N1165" t="str">
        <f>_xlfn.XLOOKUP(Orders[[#This Row],[CustomerID]],Customers[CustomerID],Customers[CustomerName])</f>
        <v>Uche Abubakar</v>
      </c>
      <c r="O1165" t="str">
        <f>_xlfn.XLOOKUP(Orders[[#This Row],[CustomerID]],Customers[CustomerID],Customers[City])</f>
        <v>Illinois</v>
      </c>
      <c r="P1165" t="str">
        <f>_xlfn.XLOOKUP(Orders[[#This Row],[CustomerID]],Customers[CustomerID],Customers[Gender])</f>
        <v>Male</v>
      </c>
      <c r="Q1165">
        <f>_xlfn.XLOOKUP(Orders[[#This Row],[CustomerID]],Customers[CustomerID],Customers[CustomerAge])</f>
        <v>18</v>
      </c>
      <c r="R1165" t="str">
        <f>IF(Orders[[#This Row],[CustomerAge]]&gt;=35, "Older", "Young")</f>
        <v>Young</v>
      </c>
      <c r="S1165" t="str">
        <f>_xlfn.XLOOKUP(Orders[[#This Row],[ProductID]],Products[ProductID],Products[ProductName])</f>
        <v>Chess</v>
      </c>
      <c r="T1165" t="str">
        <f>_xlfn.XLOOKUP(Orders[[#This Row],[ProductID]],Products[ProductID],Products[Category])</f>
        <v>Games</v>
      </c>
    </row>
    <row r="1166" spans="1:20" x14ac:dyDescent="0.25">
      <c r="A1166" s="4" t="s">
        <v>1355</v>
      </c>
      <c r="B1166" s="5">
        <v>45970</v>
      </c>
      <c r="C1166" s="15">
        <f>WEEKNUM(Orders[[#This Row],[OrderDate]])</f>
        <v>46</v>
      </c>
      <c r="D1166" s="15" t="str">
        <f>TEXT(Orders[[#This Row],[OrderDate]],"mmmm")</f>
        <v>November</v>
      </c>
      <c r="E1166" s="4" t="s">
        <v>260</v>
      </c>
      <c r="F1166" s="4" t="s">
        <v>12</v>
      </c>
      <c r="G1166" s="4">
        <v>10</v>
      </c>
      <c r="H1166" s="12">
        <v>3202.4</v>
      </c>
      <c r="I1166" s="13">
        <v>2722.04</v>
      </c>
      <c r="J1166" s="13">
        <f>Orders[[#This Row],[Quantity]]*Orders[[#This Row],[Selling Price]]</f>
        <v>32024</v>
      </c>
      <c r="K1166" s="13">
        <f>Orders[[#This Row],[Quantity]]*Orders[[#This Row],[Cost Price]]</f>
        <v>27220.400000000001</v>
      </c>
      <c r="L1166" s="13">
        <f>Orders[[#This Row],[Revenue]]-Orders[[#This Row],[Expenses]]</f>
        <v>4803.5999999999985</v>
      </c>
      <c r="M1166" t="s">
        <v>2213</v>
      </c>
      <c r="N1166" t="str">
        <f>_xlfn.XLOOKUP(Orders[[#This Row],[CustomerID]],Customers[CustomerID],Customers[CustomerName])</f>
        <v>Amina Obi</v>
      </c>
      <c r="O1166" t="str">
        <f>_xlfn.XLOOKUP(Orders[[#This Row],[CustomerID]],Customers[CustomerID],Customers[City])</f>
        <v>Florida</v>
      </c>
      <c r="P1166" t="str">
        <f>_xlfn.XLOOKUP(Orders[[#This Row],[CustomerID]],Customers[CustomerID],Customers[Gender])</f>
        <v>Female</v>
      </c>
      <c r="Q1166">
        <f>_xlfn.XLOOKUP(Orders[[#This Row],[CustomerID]],Customers[CustomerID],Customers[CustomerAge])</f>
        <v>29</v>
      </c>
      <c r="R1166" t="str">
        <f>IF(Orders[[#This Row],[CustomerAge]]&gt;=35, "Older", "Young")</f>
        <v>Young</v>
      </c>
      <c r="S1166" t="str">
        <f>_xlfn.XLOOKUP(Orders[[#This Row],[ProductID]],Products[ProductID],Products[ProductName])</f>
        <v>Boubou</v>
      </c>
      <c r="T1166" t="str">
        <f>_xlfn.XLOOKUP(Orders[[#This Row],[ProductID]],Products[ProductID],Products[Category])</f>
        <v>Clothing</v>
      </c>
    </row>
    <row r="1167" spans="1:20" x14ac:dyDescent="0.25">
      <c r="A1167" s="4" t="s">
        <v>1356</v>
      </c>
      <c r="B1167" s="5">
        <v>45934</v>
      </c>
      <c r="C1167" s="15">
        <f>WEEKNUM(Orders[[#This Row],[OrderDate]])</f>
        <v>40</v>
      </c>
      <c r="D1167" s="15" t="str">
        <f>TEXT(Orders[[#This Row],[OrderDate]],"mmmm")</f>
        <v>October</v>
      </c>
      <c r="E1167" s="4" t="s">
        <v>507</v>
      </c>
      <c r="F1167" s="4" t="s">
        <v>53</v>
      </c>
      <c r="G1167" s="4">
        <v>6</v>
      </c>
      <c r="H1167" s="12">
        <v>9666.5</v>
      </c>
      <c r="I1167" s="13">
        <v>8216.5249999999996</v>
      </c>
      <c r="J1167" s="13">
        <f>Orders[[#This Row],[Quantity]]*Orders[[#This Row],[Selling Price]]</f>
        <v>57999</v>
      </c>
      <c r="K1167" s="13">
        <f>Orders[[#This Row],[Quantity]]*Orders[[#This Row],[Cost Price]]</f>
        <v>49299.149999999994</v>
      </c>
      <c r="L1167" s="13">
        <f>Orders[[#This Row],[Revenue]]-Orders[[#This Row],[Expenses]]</f>
        <v>8699.8500000000058</v>
      </c>
      <c r="M1167" t="s">
        <v>2211</v>
      </c>
      <c r="N1167" t="str">
        <f>_xlfn.XLOOKUP(Orders[[#This Row],[CustomerID]],Customers[CustomerID],Customers[CustomerName])</f>
        <v>Temi Okonkwo</v>
      </c>
      <c r="O1167" t="str">
        <f>_xlfn.XLOOKUP(Orders[[#This Row],[CustomerID]],Customers[CustomerID],Customers[City])</f>
        <v>Washington</v>
      </c>
      <c r="P1167" t="str">
        <f>_xlfn.XLOOKUP(Orders[[#This Row],[CustomerID]],Customers[CustomerID],Customers[Gender])</f>
        <v>Female</v>
      </c>
      <c r="Q1167">
        <f>_xlfn.XLOOKUP(Orders[[#This Row],[CustomerID]],Customers[CustomerID],Customers[CustomerAge])</f>
        <v>35</v>
      </c>
      <c r="R1167" t="str">
        <f>IF(Orders[[#This Row],[CustomerAge]]&gt;=35, "Older", "Young")</f>
        <v>Older</v>
      </c>
      <c r="S1167" t="str">
        <f>_xlfn.XLOOKUP(Orders[[#This Row],[ProductID]],Products[ProductID],Products[ProductName])</f>
        <v>Silver Bangles</v>
      </c>
      <c r="T1167" t="str">
        <f>_xlfn.XLOOKUP(Orders[[#This Row],[ProductID]],Products[ProductID],Products[Category])</f>
        <v>Accessories</v>
      </c>
    </row>
    <row r="1168" spans="1:20" x14ac:dyDescent="0.25">
      <c r="A1168" s="4" t="s">
        <v>1357</v>
      </c>
      <c r="B1168" s="5">
        <v>46002</v>
      </c>
      <c r="C1168" s="15">
        <f>WEEKNUM(Orders[[#This Row],[OrderDate]])</f>
        <v>50</v>
      </c>
      <c r="D1168" s="15" t="str">
        <f>TEXT(Orders[[#This Row],[OrderDate]],"mmmm")</f>
        <v>December</v>
      </c>
      <c r="E1168" s="4" t="s">
        <v>607</v>
      </c>
      <c r="F1168" s="4" t="s">
        <v>66</v>
      </c>
      <c r="G1168" s="4">
        <v>1</v>
      </c>
      <c r="H1168" s="12">
        <v>3037.7</v>
      </c>
      <c r="I1168" s="13">
        <v>2582.0450000000001</v>
      </c>
      <c r="J1168" s="13">
        <f>Orders[[#This Row],[Quantity]]*Orders[[#This Row],[Selling Price]]</f>
        <v>3037.7</v>
      </c>
      <c r="K1168" s="13">
        <f>Orders[[#This Row],[Quantity]]*Orders[[#This Row],[Cost Price]]</f>
        <v>2582.0450000000001</v>
      </c>
      <c r="L1168" s="13">
        <f>Orders[[#This Row],[Revenue]]-Orders[[#This Row],[Expenses]]</f>
        <v>455.65499999999975</v>
      </c>
      <c r="M1168" t="s">
        <v>2199</v>
      </c>
      <c r="N1168" t="str">
        <f>_xlfn.XLOOKUP(Orders[[#This Row],[CustomerID]],Customers[CustomerID],Customers[CustomerName])</f>
        <v>Folasade Ojo</v>
      </c>
      <c r="O1168" t="str">
        <f>_xlfn.XLOOKUP(Orders[[#This Row],[CustomerID]],Customers[CustomerID],Customers[City])</f>
        <v>Texas</v>
      </c>
      <c r="P1168" t="str">
        <f>_xlfn.XLOOKUP(Orders[[#This Row],[CustomerID]],Customers[CustomerID],Customers[Gender])</f>
        <v>Female</v>
      </c>
      <c r="Q1168">
        <f>_xlfn.XLOOKUP(Orders[[#This Row],[CustomerID]],Customers[CustomerID],Customers[CustomerAge])</f>
        <v>19</v>
      </c>
      <c r="R1168" t="str">
        <f>IF(Orders[[#This Row],[CustomerAge]]&gt;=35, "Older", "Young")</f>
        <v>Young</v>
      </c>
      <c r="S1168" t="str">
        <f>_xlfn.XLOOKUP(Orders[[#This Row],[ProductID]],Products[ProductID],Products[ProductName])</f>
        <v>Microwave</v>
      </c>
      <c r="T1168" t="str">
        <f>_xlfn.XLOOKUP(Orders[[#This Row],[ProductID]],Products[ProductID],Products[Category])</f>
        <v>Electronics</v>
      </c>
    </row>
    <row r="1169" spans="1:20" x14ac:dyDescent="0.25">
      <c r="A1169" s="4" t="s">
        <v>1358</v>
      </c>
      <c r="B1169" s="5">
        <v>46005</v>
      </c>
      <c r="C1169" s="15">
        <f>WEEKNUM(Orders[[#This Row],[OrderDate]])</f>
        <v>51</v>
      </c>
      <c r="D1169" s="15" t="str">
        <f>TEXT(Orders[[#This Row],[OrderDate]],"mmmm")</f>
        <v>December</v>
      </c>
      <c r="E1169" s="4" t="s">
        <v>671</v>
      </c>
      <c r="F1169" s="4" t="s">
        <v>111</v>
      </c>
      <c r="G1169" s="4">
        <v>6</v>
      </c>
      <c r="H1169" s="12">
        <v>8364.1</v>
      </c>
      <c r="I1169" s="13">
        <v>7109.4850000000006</v>
      </c>
      <c r="J1169" s="13">
        <f>Orders[[#This Row],[Quantity]]*Orders[[#This Row],[Selling Price]]</f>
        <v>50184.600000000006</v>
      </c>
      <c r="K1169" s="13">
        <f>Orders[[#This Row],[Quantity]]*Orders[[#This Row],[Cost Price]]</f>
        <v>42656.91</v>
      </c>
      <c r="L1169" s="13">
        <f>Orders[[#This Row],[Revenue]]-Orders[[#This Row],[Expenses]]</f>
        <v>7527.6900000000023</v>
      </c>
      <c r="M1169" t="s">
        <v>2204</v>
      </c>
      <c r="N1169" t="str">
        <f>_xlfn.XLOOKUP(Orders[[#This Row],[CustomerID]],Customers[CustomerID],Customers[CustomerName])</f>
        <v>Tunde Abubakar</v>
      </c>
      <c r="O1169" t="str">
        <f>_xlfn.XLOOKUP(Orders[[#This Row],[CustomerID]],Customers[CustomerID],Customers[City])</f>
        <v>Texas</v>
      </c>
      <c r="P1169" t="str">
        <f>_xlfn.XLOOKUP(Orders[[#This Row],[CustomerID]],Customers[CustomerID],Customers[Gender])</f>
        <v>Male</v>
      </c>
      <c r="Q1169">
        <f>_xlfn.XLOOKUP(Orders[[#This Row],[CustomerID]],Customers[CustomerID],Customers[CustomerAge])</f>
        <v>26</v>
      </c>
      <c r="R1169" t="str">
        <f>IF(Orders[[#This Row],[CustomerAge]]&gt;=35, "Older", "Young")</f>
        <v>Young</v>
      </c>
      <c r="S1169" t="str">
        <f>_xlfn.XLOOKUP(Orders[[#This Row],[ProductID]],Products[ProductID],Products[ProductName])</f>
        <v>Refrigerator</v>
      </c>
      <c r="T1169" t="str">
        <f>_xlfn.XLOOKUP(Orders[[#This Row],[ProductID]],Products[ProductID],Products[Category])</f>
        <v>Electronics</v>
      </c>
    </row>
    <row r="1170" spans="1:20" x14ac:dyDescent="0.25">
      <c r="A1170" s="4" t="s">
        <v>1359</v>
      </c>
      <c r="B1170" s="5">
        <v>45959</v>
      </c>
      <c r="C1170" s="15">
        <f>WEEKNUM(Orders[[#This Row],[OrderDate]])</f>
        <v>44</v>
      </c>
      <c r="D1170" s="15" t="str">
        <f>TEXT(Orders[[#This Row],[OrderDate]],"mmmm")</f>
        <v>October</v>
      </c>
      <c r="E1170" s="4" t="s">
        <v>757</v>
      </c>
      <c r="F1170" s="4" t="s">
        <v>46</v>
      </c>
      <c r="G1170" s="4">
        <v>1</v>
      </c>
      <c r="H1170" s="12">
        <v>8080.1</v>
      </c>
      <c r="I1170" s="13">
        <v>6868.085</v>
      </c>
      <c r="J1170" s="13">
        <f>Orders[[#This Row],[Quantity]]*Orders[[#This Row],[Selling Price]]</f>
        <v>8080.1</v>
      </c>
      <c r="K1170" s="13">
        <f>Orders[[#This Row],[Quantity]]*Orders[[#This Row],[Cost Price]]</f>
        <v>6868.085</v>
      </c>
      <c r="L1170" s="13">
        <f>Orders[[#This Row],[Revenue]]-Orders[[#This Row],[Expenses]]</f>
        <v>1212.0150000000003</v>
      </c>
      <c r="M1170" t="s">
        <v>2206</v>
      </c>
      <c r="N1170" t="str">
        <f>_xlfn.XLOOKUP(Orders[[#This Row],[CustomerID]],Customers[CustomerID],Customers[CustomerName])</f>
        <v>Okon Balogun</v>
      </c>
      <c r="O1170" t="str">
        <f>_xlfn.XLOOKUP(Orders[[#This Row],[CustomerID]],Customers[CustomerID],Customers[City])</f>
        <v>Texas</v>
      </c>
      <c r="P1170" t="str">
        <f>_xlfn.XLOOKUP(Orders[[#This Row],[CustomerID]],Customers[CustomerID],Customers[Gender])</f>
        <v>Male</v>
      </c>
      <c r="Q1170">
        <f>_xlfn.XLOOKUP(Orders[[#This Row],[CustomerID]],Customers[CustomerID],Customers[CustomerAge])</f>
        <v>20</v>
      </c>
      <c r="R1170" t="str">
        <f>IF(Orders[[#This Row],[CustomerAge]]&gt;=35, "Older", "Young")</f>
        <v>Young</v>
      </c>
      <c r="S1170" t="str">
        <f>_xlfn.XLOOKUP(Orders[[#This Row],[ProductID]],Products[ProductID],Products[ProductName])</f>
        <v>Turtle Neck</v>
      </c>
      <c r="T1170" t="str">
        <f>_xlfn.XLOOKUP(Orders[[#This Row],[ProductID]],Products[ProductID],Products[Category])</f>
        <v>Clothing</v>
      </c>
    </row>
    <row r="1171" spans="1:20" x14ac:dyDescent="0.25">
      <c r="A1171" s="4" t="s">
        <v>1360</v>
      </c>
      <c r="B1171" s="5">
        <v>45993</v>
      </c>
      <c r="C1171" s="15">
        <f>WEEKNUM(Orders[[#This Row],[OrderDate]])</f>
        <v>49</v>
      </c>
      <c r="D1171" s="15" t="str">
        <f>TEXT(Orders[[#This Row],[OrderDate]],"mmmm")</f>
        <v>December</v>
      </c>
      <c r="E1171" s="4" t="s">
        <v>280</v>
      </c>
      <c r="F1171" s="4" t="s">
        <v>120</v>
      </c>
      <c r="G1171" s="4">
        <v>4</v>
      </c>
      <c r="H1171" s="12">
        <v>4594.3</v>
      </c>
      <c r="I1171" s="13">
        <v>3905.1550000000002</v>
      </c>
      <c r="J1171" s="13">
        <f>Orders[[#This Row],[Quantity]]*Orders[[#This Row],[Selling Price]]</f>
        <v>18377.2</v>
      </c>
      <c r="K1171" s="13">
        <f>Orders[[#This Row],[Quantity]]*Orders[[#This Row],[Cost Price]]</f>
        <v>15620.62</v>
      </c>
      <c r="L1171" s="13">
        <f>Orders[[#This Row],[Revenue]]-Orders[[#This Row],[Expenses]]</f>
        <v>2756.58</v>
      </c>
      <c r="M1171" t="s">
        <v>2201</v>
      </c>
      <c r="N1171" t="str">
        <f>_xlfn.XLOOKUP(Orders[[#This Row],[CustomerID]],Customers[CustomerID],Customers[CustomerName])</f>
        <v>Folasade Okonkwo</v>
      </c>
      <c r="O1171" t="str">
        <f>_xlfn.XLOOKUP(Orders[[#This Row],[CustomerID]],Customers[CustomerID],Customers[City])</f>
        <v>Texas</v>
      </c>
      <c r="P1171" t="str">
        <f>_xlfn.XLOOKUP(Orders[[#This Row],[CustomerID]],Customers[CustomerID],Customers[Gender])</f>
        <v>Female</v>
      </c>
      <c r="Q1171">
        <f>_xlfn.XLOOKUP(Orders[[#This Row],[CustomerID]],Customers[CustomerID],Customers[CustomerAge])</f>
        <v>21</v>
      </c>
      <c r="R1171" t="str">
        <f>IF(Orders[[#This Row],[CustomerAge]]&gt;=35, "Older", "Young")</f>
        <v>Young</v>
      </c>
      <c r="S1171" t="str">
        <f>_xlfn.XLOOKUP(Orders[[#This Row],[ProductID]],Products[ProductID],Products[ProductName])</f>
        <v>Chess</v>
      </c>
      <c r="T1171" t="str">
        <f>_xlfn.XLOOKUP(Orders[[#This Row],[ProductID]],Products[ProductID],Products[Category])</f>
        <v>Games</v>
      </c>
    </row>
    <row r="1172" spans="1:20" x14ac:dyDescent="0.25">
      <c r="A1172" s="4" t="s">
        <v>1361</v>
      </c>
      <c r="B1172" s="5">
        <v>45997</v>
      </c>
      <c r="C1172" s="15">
        <f>WEEKNUM(Orders[[#This Row],[OrderDate]])</f>
        <v>49</v>
      </c>
      <c r="D1172" s="15" t="str">
        <f>TEXT(Orders[[#This Row],[OrderDate]],"mmmm")</f>
        <v>December</v>
      </c>
      <c r="E1172" s="4" t="s">
        <v>524</v>
      </c>
      <c r="F1172" s="4" t="s">
        <v>28</v>
      </c>
      <c r="G1172" s="4">
        <v>10</v>
      </c>
      <c r="H1172" s="12">
        <v>17627.3</v>
      </c>
      <c r="I1172" s="13">
        <v>14983.205</v>
      </c>
      <c r="J1172" s="13">
        <f>Orders[[#This Row],[Quantity]]*Orders[[#This Row],[Selling Price]]</f>
        <v>176273</v>
      </c>
      <c r="K1172" s="13">
        <f>Orders[[#This Row],[Quantity]]*Orders[[#This Row],[Cost Price]]</f>
        <v>149832.04999999999</v>
      </c>
      <c r="L1172" s="13">
        <f>Orders[[#This Row],[Revenue]]-Orders[[#This Row],[Expenses]]</f>
        <v>26440.950000000012</v>
      </c>
      <c r="M1172" t="s">
        <v>2215</v>
      </c>
      <c r="N1172" t="str">
        <f>_xlfn.XLOOKUP(Orders[[#This Row],[CustomerID]],Customers[CustomerID],Customers[CustomerName])</f>
        <v>Chinedu Igwe</v>
      </c>
      <c r="O1172" t="str">
        <f>_xlfn.XLOOKUP(Orders[[#This Row],[CustomerID]],Customers[CustomerID],Customers[City])</f>
        <v>Florida</v>
      </c>
      <c r="P1172" t="str">
        <f>_xlfn.XLOOKUP(Orders[[#This Row],[CustomerID]],Customers[CustomerID],Customers[Gender])</f>
        <v>Male</v>
      </c>
      <c r="Q1172">
        <f>_xlfn.XLOOKUP(Orders[[#This Row],[CustomerID]],Customers[CustomerID],Customers[CustomerAge])</f>
        <v>21</v>
      </c>
      <c r="R1172" t="str">
        <f>IF(Orders[[#This Row],[CustomerAge]]&gt;=35, "Older", "Young")</f>
        <v>Young</v>
      </c>
      <c r="S1172" t="str">
        <f>_xlfn.XLOOKUP(Orders[[#This Row],[ProductID]],Products[ProductID],Products[ProductName])</f>
        <v>Sneakers</v>
      </c>
      <c r="T1172" t="str">
        <f>_xlfn.XLOOKUP(Orders[[#This Row],[ProductID]],Products[ProductID],Products[Category])</f>
        <v>Sports</v>
      </c>
    </row>
    <row r="1173" spans="1:20" x14ac:dyDescent="0.25">
      <c r="A1173" s="4" t="s">
        <v>1362</v>
      </c>
      <c r="B1173" s="5">
        <v>45957</v>
      </c>
      <c r="C1173" s="15">
        <f>WEEKNUM(Orders[[#This Row],[OrderDate]])</f>
        <v>44</v>
      </c>
      <c r="D1173" s="15" t="str">
        <f>TEXT(Orders[[#This Row],[OrderDate]],"mmmm")</f>
        <v>October</v>
      </c>
      <c r="E1173" s="4" t="s">
        <v>314</v>
      </c>
      <c r="F1173" s="4" t="s">
        <v>28</v>
      </c>
      <c r="G1173" s="4">
        <v>1</v>
      </c>
      <c r="H1173" s="12">
        <v>15860.699999999999</v>
      </c>
      <c r="I1173" s="13">
        <v>13481.594999999999</v>
      </c>
      <c r="J1173" s="13">
        <f>Orders[[#This Row],[Quantity]]*Orders[[#This Row],[Selling Price]]</f>
        <v>15860.699999999999</v>
      </c>
      <c r="K1173" s="13">
        <f>Orders[[#This Row],[Quantity]]*Orders[[#This Row],[Cost Price]]</f>
        <v>13481.594999999999</v>
      </c>
      <c r="L1173" s="13">
        <f>Orders[[#This Row],[Revenue]]-Orders[[#This Row],[Expenses]]</f>
        <v>2379.1049999999996</v>
      </c>
      <c r="M1173" t="s">
        <v>2218</v>
      </c>
      <c r="N1173" t="str">
        <f>_xlfn.XLOOKUP(Orders[[#This Row],[CustomerID]],Customers[CustomerID],Customers[CustomerName])</f>
        <v>Bisi Ojo</v>
      </c>
      <c r="O1173" t="str">
        <f>_xlfn.XLOOKUP(Orders[[#This Row],[CustomerID]],Customers[CustomerID],Customers[City])</f>
        <v>Washington</v>
      </c>
      <c r="P1173" t="str">
        <f>_xlfn.XLOOKUP(Orders[[#This Row],[CustomerID]],Customers[CustomerID],Customers[Gender])</f>
        <v>Female</v>
      </c>
      <c r="Q1173">
        <f>_xlfn.XLOOKUP(Orders[[#This Row],[CustomerID]],Customers[CustomerID],Customers[CustomerAge])</f>
        <v>18</v>
      </c>
      <c r="R1173" t="str">
        <f>IF(Orders[[#This Row],[CustomerAge]]&gt;=35, "Older", "Young")</f>
        <v>Young</v>
      </c>
      <c r="S1173" t="str">
        <f>_xlfn.XLOOKUP(Orders[[#This Row],[ProductID]],Products[ProductID],Products[ProductName])</f>
        <v>Sneakers</v>
      </c>
      <c r="T1173" t="str">
        <f>_xlfn.XLOOKUP(Orders[[#This Row],[ProductID]],Products[ProductID],Products[Category])</f>
        <v>Sports</v>
      </c>
    </row>
    <row r="1174" spans="1:20" x14ac:dyDescent="0.25">
      <c r="A1174" s="4" t="s">
        <v>1363</v>
      </c>
      <c r="B1174" s="5">
        <v>45964</v>
      </c>
      <c r="C1174" s="15">
        <f>WEEKNUM(Orders[[#This Row],[OrderDate]])</f>
        <v>45</v>
      </c>
      <c r="D1174" s="15" t="str">
        <f>TEXT(Orders[[#This Row],[OrderDate]],"mmmm")</f>
        <v>November</v>
      </c>
      <c r="E1174" s="4" t="s">
        <v>103</v>
      </c>
      <c r="F1174" s="4" t="s">
        <v>12</v>
      </c>
      <c r="G1174" s="4">
        <v>2</v>
      </c>
      <c r="H1174" s="12">
        <v>2831.1000000000004</v>
      </c>
      <c r="I1174" s="13">
        <v>2406.4350000000004</v>
      </c>
      <c r="J1174" s="13">
        <f>Orders[[#This Row],[Quantity]]*Orders[[#This Row],[Selling Price]]</f>
        <v>5662.2000000000007</v>
      </c>
      <c r="K1174" s="13">
        <f>Orders[[#This Row],[Quantity]]*Orders[[#This Row],[Cost Price]]</f>
        <v>4812.8700000000008</v>
      </c>
      <c r="L1174" s="13">
        <f>Orders[[#This Row],[Revenue]]-Orders[[#This Row],[Expenses]]</f>
        <v>849.32999999999993</v>
      </c>
      <c r="M1174" t="s">
        <v>2210</v>
      </c>
      <c r="N1174" t="str">
        <f>_xlfn.XLOOKUP(Orders[[#This Row],[CustomerID]],Customers[CustomerID],Customers[CustomerName])</f>
        <v>Chioma Adeyemi</v>
      </c>
      <c r="O1174" t="str">
        <f>_xlfn.XLOOKUP(Orders[[#This Row],[CustomerID]],Customers[CustomerID],Customers[City])</f>
        <v>Georgia</v>
      </c>
      <c r="P1174" t="str">
        <f>_xlfn.XLOOKUP(Orders[[#This Row],[CustomerID]],Customers[CustomerID],Customers[Gender])</f>
        <v>Female</v>
      </c>
      <c r="Q1174">
        <f>_xlfn.XLOOKUP(Orders[[#This Row],[CustomerID]],Customers[CustomerID],Customers[CustomerAge])</f>
        <v>31</v>
      </c>
      <c r="R1174" t="str">
        <f>IF(Orders[[#This Row],[CustomerAge]]&gt;=35, "Older", "Young")</f>
        <v>Young</v>
      </c>
      <c r="S1174" t="str">
        <f>_xlfn.XLOOKUP(Orders[[#This Row],[ProductID]],Products[ProductID],Products[ProductName])</f>
        <v>Boubou</v>
      </c>
      <c r="T1174" t="str">
        <f>_xlfn.XLOOKUP(Orders[[#This Row],[ProductID]],Products[ProductID],Products[Category])</f>
        <v>Clothing</v>
      </c>
    </row>
    <row r="1175" spans="1:20" x14ac:dyDescent="0.25">
      <c r="A1175" s="4" t="s">
        <v>1364</v>
      </c>
      <c r="B1175" s="5">
        <v>45946</v>
      </c>
      <c r="C1175" s="15">
        <f>WEEKNUM(Orders[[#This Row],[OrderDate]])</f>
        <v>42</v>
      </c>
      <c r="D1175" s="15" t="str">
        <f>TEXT(Orders[[#This Row],[OrderDate]],"mmmm")</f>
        <v>October</v>
      </c>
      <c r="E1175" s="4" t="s">
        <v>757</v>
      </c>
      <c r="F1175" s="4" t="s">
        <v>84</v>
      </c>
      <c r="G1175" s="4">
        <v>7</v>
      </c>
      <c r="H1175" s="12">
        <v>16730.899999999998</v>
      </c>
      <c r="I1175" s="13">
        <v>14221.264999999998</v>
      </c>
      <c r="J1175" s="13">
        <f>Orders[[#This Row],[Quantity]]*Orders[[#This Row],[Selling Price]]</f>
        <v>117116.29999999999</v>
      </c>
      <c r="K1175" s="13">
        <f>Orders[[#This Row],[Quantity]]*Orders[[#This Row],[Cost Price]]</f>
        <v>99548.854999999981</v>
      </c>
      <c r="L1175" s="13">
        <f>Orders[[#This Row],[Revenue]]-Orders[[#This Row],[Expenses]]</f>
        <v>17567.445000000007</v>
      </c>
      <c r="M1175" t="s">
        <v>2197</v>
      </c>
      <c r="N1175" t="str">
        <f>_xlfn.XLOOKUP(Orders[[#This Row],[CustomerID]],Customers[CustomerID],Customers[CustomerName])</f>
        <v>Okon Balogun</v>
      </c>
      <c r="O1175" t="str">
        <f>_xlfn.XLOOKUP(Orders[[#This Row],[CustomerID]],Customers[CustomerID],Customers[City])</f>
        <v>Texas</v>
      </c>
      <c r="P1175" t="str">
        <f>_xlfn.XLOOKUP(Orders[[#This Row],[CustomerID]],Customers[CustomerID],Customers[Gender])</f>
        <v>Male</v>
      </c>
      <c r="Q1175">
        <f>_xlfn.XLOOKUP(Orders[[#This Row],[CustomerID]],Customers[CustomerID],Customers[CustomerAge])</f>
        <v>20</v>
      </c>
      <c r="R1175" t="str">
        <f>IF(Orders[[#This Row],[CustomerAge]]&gt;=35, "Older", "Young")</f>
        <v>Young</v>
      </c>
      <c r="S1175" t="str">
        <f>_xlfn.XLOOKUP(Orders[[#This Row],[ProductID]],Products[ProductID],Products[ProductName])</f>
        <v>Gym Wears</v>
      </c>
      <c r="T1175" t="str">
        <f>_xlfn.XLOOKUP(Orders[[#This Row],[ProductID]],Products[ProductID],Products[Category])</f>
        <v>Clothing</v>
      </c>
    </row>
    <row r="1176" spans="1:20" x14ac:dyDescent="0.25">
      <c r="A1176" s="4" t="s">
        <v>1365</v>
      </c>
      <c r="B1176" s="5">
        <v>45979</v>
      </c>
      <c r="C1176" s="15">
        <f>WEEKNUM(Orders[[#This Row],[OrderDate]])</f>
        <v>47</v>
      </c>
      <c r="D1176" s="15" t="str">
        <f>TEXT(Orders[[#This Row],[OrderDate]],"mmmm")</f>
        <v>November</v>
      </c>
      <c r="E1176" s="4" t="s">
        <v>33</v>
      </c>
      <c r="F1176" s="4" t="s">
        <v>28</v>
      </c>
      <c r="G1176" s="4">
        <v>6</v>
      </c>
      <c r="H1176" s="12">
        <v>15694.400000000001</v>
      </c>
      <c r="I1176" s="13">
        <v>13340.240000000002</v>
      </c>
      <c r="J1176" s="13">
        <f>Orders[[#This Row],[Quantity]]*Orders[[#This Row],[Selling Price]]</f>
        <v>94166.400000000009</v>
      </c>
      <c r="K1176" s="13">
        <f>Orders[[#This Row],[Quantity]]*Orders[[#This Row],[Cost Price]]</f>
        <v>80041.440000000002</v>
      </c>
      <c r="L1176" s="13">
        <f>Orders[[#This Row],[Revenue]]-Orders[[#This Row],[Expenses]]</f>
        <v>14124.960000000006</v>
      </c>
      <c r="M1176" t="s">
        <v>2202</v>
      </c>
      <c r="N1176" t="str">
        <f>_xlfn.XLOOKUP(Orders[[#This Row],[CustomerID]],Customers[CustomerID],Customers[CustomerName])</f>
        <v>Okon Balogun</v>
      </c>
      <c r="O1176" t="str">
        <f>_xlfn.XLOOKUP(Orders[[#This Row],[CustomerID]],Customers[CustomerID],Customers[City])</f>
        <v>Texas</v>
      </c>
      <c r="P1176" t="str">
        <f>_xlfn.XLOOKUP(Orders[[#This Row],[CustomerID]],Customers[CustomerID],Customers[Gender])</f>
        <v>Male</v>
      </c>
      <c r="Q1176">
        <f>_xlfn.XLOOKUP(Orders[[#This Row],[CustomerID]],Customers[CustomerID],Customers[CustomerAge])</f>
        <v>28</v>
      </c>
      <c r="R1176" t="str">
        <f>IF(Orders[[#This Row],[CustomerAge]]&gt;=35, "Older", "Young")</f>
        <v>Young</v>
      </c>
      <c r="S1176" t="str">
        <f>_xlfn.XLOOKUP(Orders[[#This Row],[ProductID]],Products[ProductID],Products[ProductName])</f>
        <v>Sneakers</v>
      </c>
      <c r="T1176" t="str">
        <f>_xlfn.XLOOKUP(Orders[[#This Row],[ProductID]],Products[ProductID],Products[Category])</f>
        <v>Sports</v>
      </c>
    </row>
    <row r="1177" spans="1:20" x14ac:dyDescent="0.25">
      <c r="A1177" s="4" t="s">
        <v>1366</v>
      </c>
      <c r="B1177" s="5">
        <v>45971</v>
      </c>
      <c r="C1177" s="15">
        <f>WEEKNUM(Orders[[#This Row],[OrderDate]])</f>
        <v>46</v>
      </c>
      <c r="D1177" s="15" t="str">
        <f>TEXT(Orders[[#This Row],[OrderDate]],"mmmm")</f>
        <v>November</v>
      </c>
      <c r="E1177" s="4" t="s">
        <v>212</v>
      </c>
      <c r="F1177" s="4" t="s">
        <v>353</v>
      </c>
      <c r="G1177" s="4">
        <v>8</v>
      </c>
      <c r="H1177" s="12">
        <v>600.6</v>
      </c>
      <c r="I1177" s="13">
        <v>510.51</v>
      </c>
      <c r="J1177" s="13">
        <f>Orders[[#This Row],[Quantity]]*Orders[[#This Row],[Selling Price]]</f>
        <v>4804.8</v>
      </c>
      <c r="K1177" s="13">
        <f>Orders[[#This Row],[Quantity]]*Orders[[#This Row],[Cost Price]]</f>
        <v>4084.08</v>
      </c>
      <c r="L1177" s="13">
        <f>Orders[[#This Row],[Revenue]]-Orders[[#This Row],[Expenses]]</f>
        <v>720.72000000000025</v>
      </c>
      <c r="M1177" t="s">
        <v>2193</v>
      </c>
      <c r="N1177" t="str">
        <f>_xlfn.XLOOKUP(Orders[[#This Row],[CustomerID]],Customers[CustomerID],Customers[CustomerName])</f>
        <v>Ngozi Ojo</v>
      </c>
      <c r="O1177" t="str">
        <f>_xlfn.XLOOKUP(Orders[[#This Row],[CustomerID]],Customers[CustomerID],Customers[City])</f>
        <v>Illinois</v>
      </c>
      <c r="P1177" t="str">
        <f>_xlfn.XLOOKUP(Orders[[#This Row],[CustomerID]],Customers[CustomerID],Customers[Gender])</f>
        <v>Female</v>
      </c>
      <c r="Q1177">
        <f>_xlfn.XLOOKUP(Orders[[#This Row],[CustomerID]],Customers[CustomerID],Customers[CustomerAge])</f>
        <v>53</v>
      </c>
      <c r="R1177" t="str">
        <f>IF(Orders[[#This Row],[CustomerAge]]&gt;=35, "Older", "Young")</f>
        <v>Older</v>
      </c>
      <c r="S1177" t="str">
        <f>_xlfn.XLOOKUP(Orders[[#This Row],[ProductID]],Products[ProductID],Products[ProductName])</f>
        <v>Silver Earrings And Necklaces</v>
      </c>
      <c r="T1177" t="str">
        <f>_xlfn.XLOOKUP(Orders[[#This Row],[ProductID]],Products[ProductID],Products[Category])</f>
        <v>Accessories</v>
      </c>
    </row>
    <row r="1178" spans="1:20" x14ac:dyDescent="0.25">
      <c r="A1178" s="4" t="s">
        <v>1367</v>
      </c>
      <c r="B1178" s="5">
        <v>45968</v>
      </c>
      <c r="C1178" s="15">
        <f>WEEKNUM(Orders[[#This Row],[OrderDate]])</f>
        <v>45</v>
      </c>
      <c r="D1178" s="15" t="str">
        <f>TEXT(Orders[[#This Row],[OrderDate]],"mmmm")</f>
        <v>November</v>
      </c>
      <c r="E1178" s="4" t="s">
        <v>118</v>
      </c>
      <c r="F1178" s="4" t="s">
        <v>70</v>
      </c>
      <c r="G1178" s="4">
        <v>5</v>
      </c>
      <c r="H1178" s="12">
        <v>1441.6999999999998</v>
      </c>
      <c r="I1178" s="13">
        <v>1225.4449999999999</v>
      </c>
      <c r="J1178" s="13">
        <f>Orders[[#This Row],[Quantity]]*Orders[[#This Row],[Selling Price]]</f>
        <v>7208.4999999999991</v>
      </c>
      <c r="K1178" s="13">
        <f>Orders[[#This Row],[Quantity]]*Orders[[#This Row],[Cost Price]]</f>
        <v>6127.2249999999995</v>
      </c>
      <c r="L1178" s="13">
        <f>Orders[[#This Row],[Revenue]]-Orders[[#This Row],[Expenses]]</f>
        <v>1081.2749999999996</v>
      </c>
      <c r="M1178" t="s">
        <v>2217</v>
      </c>
      <c r="N1178" t="str">
        <f>_xlfn.XLOOKUP(Orders[[#This Row],[CustomerID]],Customers[CustomerID],Customers[CustomerName])</f>
        <v>Ibrahim Balogun</v>
      </c>
      <c r="O1178" t="str">
        <f>_xlfn.XLOOKUP(Orders[[#This Row],[CustomerID]],Customers[CustomerID],Customers[City])</f>
        <v>Georgia</v>
      </c>
      <c r="P1178" t="str">
        <f>_xlfn.XLOOKUP(Orders[[#This Row],[CustomerID]],Customers[CustomerID],Customers[Gender])</f>
        <v>Male</v>
      </c>
      <c r="Q1178">
        <f>_xlfn.XLOOKUP(Orders[[#This Row],[CustomerID]],Customers[CustomerID],Customers[CustomerAge])</f>
        <v>55</v>
      </c>
      <c r="R1178" t="str">
        <f>IF(Orders[[#This Row],[CustomerAge]]&gt;=35, "Older", "Young")</f>
        <v>Older</v>
      </c>
      <c r="S1178" t="str">
        <f>_xlfn.XLOOKUP(Orders[[#This Row],[ProductID]],Products[ProductID],Products[ProductName])</f>
        <v>Yoga Mat</v>
      </c>
      <c r="T1178" t="str">
        <f>_xlfn.XLOOKUP(Orders[[#This Row],[ProductID]],Products[ProductID],Products[Category])</f>
        <v>Gym</v>
      </c>
    </row>
    <row r="1179" spans="1:20" x14ac:dyDescent="0.25">
      <c r="A1179" s="4" t="s">
        <v>1368</v>
      </c>
      <c r="B1179" s="5">
        <v>46010</v>
      </c>
      <c r="C1179" s="15">
        <f>WEEKNUM(Orders[[#This Row],[OrderDate]])</f>
        <v>51</v>
      </c>
      <c r="D1179" s="15" t="str">
        <f>TEXT(Orders[[#This Row],[OrderDate]],"mmmm")</f>
        <v>December</v>
      </c>
      <c r="E1179" s="4" t="s">
        <v>103</v>
      </c>
      <c r="F1179" s="4" t="s">
        <v>232</v>
      </c>
      <c r="G1179" s="4">
        <v>10</v>
      </c>
      <c r="H1179" s="12">
        <v>17867.599999999999</v>
      </c>
      <c r="I1179" s="13">
        <v>15187.46</v>
      </c>
      <c r="J1179" s="13">
        <f>Orders[[#This Row],[Quantity]]*Orders[[#This Row],[Selling Price]]</f>
        <v>178676</v>
      </c>
      <c r="K1179" s="13">
        <f>Orders[[#This Row],[Quantity]]*Orders[[#This Row],[Cost Price]]</f>
        <v>151874.59999999998</v>
      </c>
      <c r="L1179" s="13">
        <f>Orders[[#This Row],[Revenue]]-Orders[[#This Row],[Expenses]]</f>
        <v>26801.400000000023</v>
      </c>
      <c r="M1179" t="s">
        <v>2210</v>
      </c>
      <c r="N1179" t="str">
        <f>_xlfn.XLOOKUP(Orders[[#This Row],[CustomerID]],Customers[CustomerID],Customers[CustomerName])</f>
        <v>Chioma Adeyemi</v>
      </c>
      <c r="O1179" t="str">
        <f>_xlfn.XLOOKUP(Orders[[#This Row],[CustomerID]],Customers[CustomerID],Customers[City])</f>
        <v>Georgia</v>
      </c>
      <c r="P1179" t="str">
        <f>_xlfn.XLOOKUP(Orders[[#This Row],[CustomerID]],Customers[CustomerID],Customers[Gender])</f>
        <v>Female</v>
      </c>
      <c r="Q1179">
        <f>_xlfn.XLOOKUP(Orders[[#This Row],[CustomerID]],Customers[CustomerID],Customers[CustomerAge])</f>
        <v>31</v>
      </c>
      <c r="R1179" t="str">
        <f>IF(Orders[[#This Row],[CustomerAge]]&gt;=35, "Older", "Young")</f>
        <v>Young</v>
      </c>
      <c r="S1179" t="str">
        <f>_xlfn.XLOOKUP(Orders[[#This Row],[ProductID]],Products[ProductID],Products[ProductName])</f>
        <v>Ankara</v>
      </c>
      <c r="T1179" t="str">
        <f>_xlfn.XLOOKUP(Orders[[#This Row],[ProductID]],Products[ProductID],Products[Category])</f>
        <v>Clothing</v>
      </c>
    </row>
    <row r="1180" spans="1:20" x14ac:dyDescent="0.25">
      <c r="A1180" s="4" t="s">
        <v>1369</v>
      </c>
      <c r="B1180" s="5">
        <v>45983</v>
      </c>
      <c r="C1180" s="15">
        <f>WEEKNUM(Orders[[#This Row],[OrderDate]])</f>
        <v>47</v>
      </c>
      <c r="D1180" s="15" t="str">
        <f>TEXT(Orders[[#This Row],[OrderDate]],"mmmm")</f>
        <v>November</v>
      </c>
      <c r="E1180" s="4" t="s">
        <v>435</v>
      </c>
      <c r="F1180" s="4" t="s">
        <v>84</v>
      </c>
      <c r="G1180" s="4">
        <v>6</v>
      </c>
      <c r="H1180" s="12">
        <v>19840.5</v>
      </c>
      <c r="I1180" s="13">
        <v>16864.424999999999</v>
      </c>
      <c r="J1180" s="13">
        <f>Orders[[#This Row],[Quantity]]*Orders[[#This Row],[Selling Price]]</f>
        <v>119043</v>
      </c>
      <c r="K1180" s="13">
        <f>Orders[[#This Row],[Quantity]]*Orders[[#This Row],[Cost Price]]</f>
        <v>101186.54999999999</v>
      </c>
      <c r="L1180" s="13">
        <f>Orders[[#This Row],[Revenue]]-Orders[[#This Row],[Expenses]]</f>
        <v>17856.450000000012</v>
      </c>
      <c r="M1180" t="s">
        <v>2208</v>
      </c>
      <c r="N1180" t="str">
        <f>_xlfn.XLOOKUP(Orders[[#This Row],[CustomerID]],Customers[CustomerID],Customers[CustomerName])</f>
        <v>Amina Balogun</v>
      </c>
      <c r="O1180" t="str">
        <f>_xlfn.XLOOKUP(Orders[[#This Row],[CustomerID]],Customers[CustomerID],Customers[City])</f>
        <v>Texas</v>
      </c>
      <c r="P1180" t="str">
        <f>_xlfn.XLOOKUP(Orders[[#This Row],[CustomerID]],Customers[CustomerID],Customers[Gender])</f>
        <v>Female</v>
      </c>
      <c r="Q1180">
        <f>_xlfn.XLOOKUP(Orders[[#This Row],[CustomerID]],Customers[CustomerID],Customers[CustomerAge])</f>
        <v>32</v>
      </c>
      <c r="R1180" t="str">
        <f>IF(Orders[[#This Row],[CustomerAge]]&gt;=35, "Older", "Young")</f>
        <v>Young</v>
      </c>
      <c r="S1180" t="str">
        <f>_xlfn.XLOOKUP(Orders[[#This Row],[ProductID]],Products[ProductID],Products[ProductName])</f>
        <v>Gym Wears</v>
      </c>
      <c r="T1180" t="str">
        <f>_xlfn.XLOOKUP(Orders[[#This Row],[ProductID]],Products[ProductID],Products[Category])</f>
        <v>Clothing</v>
      </c>
    </row>
    <row r="1181" spans="1:20" x14ac:dyDescent="0.25">
      <c r="A1181" s="4" t="s">
        <v>1370</v>
      </c>
      <c r="B1181" s="5">
        <v>45964</v>
      </c>
      <c r="C1181" s="15">
        <f>WEEKNUM(Orders[[#This Row],[OrderDate]])</f>
        <v>45</v>
      </c>
      <c r="D1181" s="15" t="str">
        <f>TEXT(Orders[[#This Row],[OrderDate]],"mmmm")</f>
        <v>November</v>
      </c>
      <c r="E1181" s="4" t="s">
        <v>252</v>
      </c>
      <c r="F1181" s="4" t="s">
        <v>353</v>
      </c>
      <c r="G1181" s="4">
        <v>3</v>
      </c>
      <c r="H1181" s="12">
        <v>3640.4</v>
      </c>
      <c r="I1181" s="13">
        <v>3094.34</v>
      </c>
      <c r="J1181" s="13">
        <f>Orders[[#This Row],[Quantity]]*Orders[[#This Row],[Selling Price]]</f>
        <v>10921.2</v>
      </c>
      <c r="K1181" s="13">
        <f>Orders[[#This Row],[Quantity]]*Orders[[#This Row],[Cost Price]]</f>
        <v>9283.02</v>
      </c>
      <c r="L1181" s="13">
        <f>Orders[[#This Row],[Revenue]]-Orders[[#This Row],[Expenses]]</f>
        <v>1638.1800000000003</v>
      </c>
      <c r="M1181" t="s">
        <v>2209</v>
      </c>
      <c r="N1181" t="str">
        <f>_xlfn.XLOOKUP(Orders[[#This Row],[CustomerID]],Customers[CustomerID],Customers[CustomerName])</f>
        <v>Chioma Adeyemi</v>
      </c>
      <c r="O1181" t="str">
        <f>_xlfn.XLOOKUP(Orders[[#This Row],[CustomerID]],Customers[CustomerID],Customers[City])</f>
        <v>Texas</v>
      </c>
      <c r="P1181" t="str">
        <f>_xlfn.XLOOKUP(Orders[[#This Row],[CustomerID]],Customers[CustomerID],Customers[Gender])</f>
        <v>Female</v>
      </c>
      <c r="Q1181">
        <f>_xlfn.XLOOKUP(Orders[[#This Row],[CustomerID]],Customers[CustomerID],Customers[CustomerAge])</f>
        <v>20</v>
      </c>
      <c r="R1181" t="str">
        <f>IF(Orders[[#This Row],[CustomerAge]]&gt;=35, "Older", "Young")</f>
        <v>Young</v>
      </c>
      <c r="S1181" t="str">
        <f>_xlfn.XLOOKUP(Orders[[#This Row],[ProductID]],Products[ProductID],Products[ProductName])</f>
        <v>Silver Earrings And Necklaces</v>
      </c>
      <c r="T1181" t="str">
        <f>_xlfn.XLOOKUP(Orders[[#This Row],[ProductID]],Products[ProductID],Products[Category])</f>
        <v>Accessories</v>
      </c>
    </row>
    <row r="1182" spans="1:20" x14ac:dyDescent="0.25">
      <c r="A1182" s="4" t="s">
        <v>1371</v>
      </c>
      <c r="B1182" s="5">
        <v>45931</v>
      </c>
      <c r="C1182" s="15">
        <f>WEEKNUM(Orders[[#This Row],[OrderDate]])</f>
        <v>40</v>
      </c>
      <c r="D1182" s="15" t="str">
        <f>TEXT(Orders[[#This Row],[OrderDate]],"mmmm")</f>
        <v>October</v>
      </c>
      <c r="E1182" s="4" t="s">
        <v>468</v>
      </c>
      <c r="F1182" s="4" t="s">
        <v>28</v>
      </c>
      <c r="G1182" s="4">
        <v>1</v>
      </c>
      <c r="H1182" s="12">
        <v>6111.3</v>
      </c>
      <c r="I1182" s="13">
        <v>5194.6050000000005</v>
      </c>
      <c r="J1182" s="13">
        <f>Orders[[#This Row],[Quantity]]*Orders[[#This Row],[Selling Price]]</f>
        <v>6111.3</v>
      </c>
      <c r="K1182" s="13">
        <f>Orders[[#This Row],[Quantity]]*Orders[[#This Row],[Cost Price]]</f>
        <v>5194.6050000000005</v>
      </c>
      <c r="L1182" s="13">
        <f>Orders[[#This Row],[Revenue]]-Orders[[#This Row],[Expenses]]</f>
        <v>916.69499999999971</v>
      </c>
      <c r="M1182" t="s">
        <v>2216</v>
      </c>
      <c r="N1182" t="str">
        <f>_xlfn.XLOOKUP(Orders[[#This Row],[CustomerID]],Customers[CustomerID],Customers[CustomerName])</f>
        <v>Chioma Adeyemi</v>
      </c>
      <c r="O1182" t="str">
        <f>_xlfn.XLOOKUP(Orders[[#This Row],[CustomerID]],Customers[CustomerID],Customers[City])</f>
        <v>California</v>
      </c>
      <c r="P1182" t="str">
        <f>_xlfn.XLOOKUP(Orders[[#This Row],[CustomerID]],Customers[CustomerID],Customers[Gender])</f>
        <v>Female</v>
      </c>
      <c r="Q1182">
        <f>_xlfn.XLOOKUP(Orders[[#This Row],[CustomerID]],Customers[CustomerID],Customers[CustomerAge])</f>
        <v>23</v>
      </c>
      <c r="R1182" t="str">
        <f>IF(Orders[[#This Row],[CustomerAge]]&gt;=35, "Older", "Young")</f>
        <v>Young</v>
      </c>
      <c r="S1182" t="str">
        <f>_xlfn.XLOOKUP(Orders[[#This Row],[ProductID]],Products[ProductID],Products[ProductName])</f>
        <v>Sneakers</v>
      </c>
      <c r="T1182" t="str">
        <f>_xlfn.XLOOKUP(Orders[[#This Row],[ProductID]],Products[ProductID],Products[Category])</f>
        <v>Sports</v>
      </c>
    </row>
    <row r="1183" spans="1:20" x14ac:dyDescent="0.25">
      <c r="A1183" s="4" t="s">
        <v>1372</v>
      </c>
      <c r="B1183" s="5">
        <v>45938</v>
      </c>
      <c r="C1183" s="15">
        <f>WEEKNUM(Orders[[#This Row],[OrderDate]])</f>
        <v>41</v>
      </c>
      <c r="D1183" s="15" t="str">
        <f>TEXT(Orders[[#This Row],[OrderDate]],"mmmm")</f>
        <v>October</v>
      </c>
      <c r="E1183" s="4" t="s">
        <v>416</v>
      </c>
      <c r="F1183" s="4" t="s">
        <v>66</v>
      </c>
      <c r="G1183" s="4">
        <v>10</v>
      </c>
      <c r="H1183" s="12">
        <v>11395.4</v>
      </c>
      <c r="I1183" s="13">
        <v>9686.09</v>
      </c>
      <c r="J1183" s="13">
        <f>Orders[[#This Row],[Quantity]]*Orders[[#This Row],[Selling Price]]</f>
        <v>113954</v>
      </c>
      <c r="K1183" s="13">
        <f>Orders[[#This Row],[Quantity]]*Orders[[#This Row],[Cost Price]]</f>
        <v>96860.9</v>
      </c>
      <c r="L1183" s="13">
        <f>Orders[[#This Row],[Revenue]]-Orders[[#This Row],[Expenses]]</f>
        <v>17093.100000000006</v>
      </c>
      <c r="M1183" t="s">
        <v>2214</v>
      </c>
      <c r="N1183" t="str">
        <f>_xlfn.XLOOKUP(Orders[[#This Row],[CustomerID]],Customers[CustomerID],Customers[CustomerName])</f>
        <v>Chinedu Igwe</v>
      </c>
      <c r="O1183" t="str">
        <f>_xlfn.XLOOKUP(Orders[[#This Row],[CustomerID]],Customers[CustomerID],Customers[City])</f>
        <v>Texas</v>
      </c>
      <c r="P1183" t="str">
        <f>_xlfn.XLOOKUP(Orders[[#This Row],[CustomerID]],Customers[CustomerID],Customers[Gender])</f>
        <v>Male</v>
      </c>
      <c r="Q1183">
        <f>_xlfn.XLOOKUP(Orders[[#This Row],[CustomerID]],Customers[CustomerID],Customers[CustomerAge])</f>
        <v>26</v>
      </c>
      <c r="R1183" t="str">
        <f>IF(Orders[[#This Row],[CustomerAge]]&gt;=35, "Older", "Young")</f>
        <v>Young</v>
      </c>
      <c r="S1183" t="str">
        <f>_xlfn.XLOOKUP(Orders[[#This Row],[ProductID]],Products[ProductID],Products[ProductName])</f>
        <v>Microwave</v>
      </c>
      <c r="T1183" t="str">
        <f>_xlfn.XLOOKUP(Orders[[#This Row],[ProductID]],Products[ProductID],Products[Category])</f>
        <v>Electronics</v>
      </c>
    </row>
    <row r="1184" spans="1:20" x14ac:dyDescent="0.25">
      <c r="A1184" s="4" t="s">
        <v>1373</v>
      </c>
      <c r="B1184" s="5">
        <v>45941</v>
      </c>
      <c r="C1184" s="15">
        <f>WEEKNUM(Orders[[#This Row],[OrderDate]])</f>
        <v>41</v>
      </c>
      <c r="D1184" s="15" t="str">
        <f>TEXT(Orders[[#This Row],[OrderDate]],"mmmm")</f>
        <v>October</v>
      </c>
      <c r="E1184" s="4" t="s">
        <v>314</v>
      </c>
      <c r="F1184" s="4" t="s">
        <v>15</v>
      </c>
      <c r="G1184" s="4">
        <v>10</v>
      </c>
      <c r="H1184" s="12">
        <v>5703.0999999999995</v>
      </c>
      <c r="I1184" s="13">
        <v>4847.6349999999993</v>
      </c>
      <c r="J1184" s="13">
        <f>Orders[[#This Row],[Quantity]]*Orders[[#This Row],[Selling Price]]</f>
        <v>57030.999999999993</v>
      </c>
      <c r="K1184" s="13">
        <f>Orders[[#This Row],[Quantity]]*Orders[[#This Row],[Cost Price]]</f>
        <v>48476.349999999991</v>
      </c>
      <c r="L1184" s="13">
        <f>Orders[[#This Row],[Revenue]]-Orders[[#This Row],[Expenses]]</f>
        <v>8554.6500000000015</v>
      </c>
      <c r="M1184" t="s">
        <v>2194</v>
      </c>
      <c r="N1184" t="str">
        <f>_xlfn.XLOOKUP(Orders[[#This Row],[CustomerID]],Customers[CustomerID],Customers[CustomerName])</f>
        <v>Bisi Ojo</v>
      </c>
      <c r="O1184" t="str">
        <f>_xlfn.XLOOKUP(Orders[[#This Row],[CustomerID]],Customers[CustomerID],Customers[City])</f>
        <v>Washington</v>
      </c>
      <c r="P1184" t="str">
        <f>_xlfn.XLOOKUP(Orders[[#This Row],[CustomerID]],Customers[CustomerID],Customers[Gender])</f>
        <v>Female</v>
      </c>
      <c r="Q1184">
        <f>_xlfn.XLOOKUP(Orders[[#This Row],[CustomerID]],Customers[CustomerID],Customers[CustomerAge])</f>
        <v>18</v>
      </c>
      <c r="R1184" t="str">
        <f>IF(Orders[[#This Row],[CustomerAge]]&gt;=35, "Older", "Young")</f>
        <v>Young</v>
      </c>
      <c r="S1184" t="str">
        <f>_xlfn.XLOOKUP(Orders[[#This Row],[ProductID]],Products[ProductID],Products[ProductName])</f>
        <v>Monopoly</v>
      </c>
      <c r="T1184" t="str">
        <f>_xlfn.XLOOKUP(Orders[[#This Row],[ProductID]],Products[ProductID],Products[Category])</f>
        <v>Games</v>
      </c>
    </row>
    <row r="1185" spans="1:20" x14ac:dyDescent="0.25">
      <c r="A1185" s="4" t="s">
        <v>1374</v>
      </c>
      <c r="B1185" s="5">
        <v>46005</v>
      </c>
      <c r="C1185" s="15">
        <f>WEEKNUM(Orders[[#This Row],[OrderDate]])</f>
        <v>51</v>
      </c>
      <c r="D1185" s="15" t="str">
        <f>TEXT(Orders[[#This Row],[OrderDate]],"mmmm")</f>
        <v>December</v>
      </c>
      <c r="E1185" s="4" t="s">
        <v>19</v>
      </c>
      <c r="F1185" s="4" t="s">
        <v>57</v>
      </c>
      <c r="G1185" s="4">
        <v>2</v>
      </c>
      <c r="H1185" s="12">
        <v>1841.1000000000001</v>
      </c>
      <c r="I1185" s="13">
        <v>1564.9350000000002</v>
      </c>
      <c r="J1185" s="13">
        <f>Orders[[#This Row],[Quantity]]*Orders[[#This Row],[Selling Price]]</f>
        <v>3682.2000000000003</v>
      </c>
      <c r="K1185" s="13">
        <f>Orders[[#This Row],[Quantity]]*Orders[[#This Row],[Cost Price]]</f>
        <v>3129.8700000000003</v>
      </c>
      <c r="L1185" s="13">
        <f>Orders[[#This Row],[Revenue]]-Orders[[#This Row],[Expenses]]</f>
        <v>552.32999999999993</v>
      </c>
      <c r="M1185" t="s">
        <v>2210</v>
      </c>
      <c r="N1185" t="str">
        <f>_xlfn.XLOOKUP(Orders[[#This Row],[CustomerID]],Customers[CustomerID],Customers[CustomerName])</f>
        <v>Obi Adeyemi</v>
      </c>
      <c r="O1185" t="str">
        <f>_xlfn.XLOOKUP(Orders[[#This Row],[CustomerID]],Customers[CustomerID],Customers[City])</f>
        <v>California</v>
      </c>
      <c r="P1185" t="str">
        <f>_xlfn.XLOOKUP(Orders[[#This Row],[CustomerID]],Customers[CustomerID],Customers[Gender])</f>
        <v>Male</v>
      </c>
      <c r="Q1185">
        <f>_xlfn.XLOOKUP(Orders[[#This Row],[CustomerID]],Customers[CustomerID],Customers[CustomerAge])</f>
        <v>24</v>
      </c>
      <c r="R1185" t="str">
        <f>IF(Orders[[#This Row],[CustomerAge]]&gt;=35, "Older", "Young")</f>
        <v>Young</v>
      </c>
      <c r="S1185" t="str">
        <f>_xlfn.XLOOKUP(Orders[[#This Row],[ProductID]],Products[ProductID],Products[ProductName])</f>
        <v>Badminton Racket</v>
      </c>
      <c r="T1185" t="str">
        <f>_xlfn.XLOOKUP(Orders[[#This Row],[ProductID]],Products[ProductID],Products[Category])</f>
        <v>Sports</v>
      </c>
    </row>
    <row r="1186" spans="1:20" x14ac:dyDescent="0.25">
      <c r="A1186" s="4" t="s">
        <v>1375</v>
      </c>
      <c r="B1186" s="5">
        <v>45991</v>
      </c>
      <c r="C1186" s="15">
        <f>WEEKNUM(Orders[[#This Row],[OrderDate]])</f>
        <v>49</v>
      </c>
      <c r="D1186" s="15" t="str">
        <f>TEXT(Orders[[#This Row],[OrderDate]],"mmmm")</f>
        <v>November</v>
      </c>
      <c r="E1186" s="4" t="s">
        <v>50</v>
      </c>
      <c r="F1186" s="4" t="s">
        <v>57</v>
      </c>
      <c r="G1186" s="4">
        <v>1</v>
      </c>
      <c r="H1186" s="12">
        <v>4006</v>
      </c>
      <c r="I1186" s="13">
        <v>3405.1</v>
      </c>
      <c r="J1186" s="13">
        <f>Orders[[#This Row],[Quantity]]*Orders[[#This Row],[Selling Price]]</f>
        <v>4006</v>
      </c>
      <c r="K1186" s="13">
        <f>Orders[[#This Row],[Quantity]]*Orders[[#This Row],[Cost Price]]</f>
        <v>3405.1</v>
      </c>
      <c r="L1186" s="13">
        <f>Orders[[#This Row],[Revenue]]-Orders[[#This Row],[Expenses]]</f>
        <v>600.90000000000009</v>
      </c>
      <c r="M1186" t="s">
        <v>2195</v>
      </c>
      <c r="N1186" t="str">
        <f>_xlfn.XLOOKUP(Orders[[#This Row],[CustomerID]],Customers[CustomerID],Customers[CustomerName])</f>
        <v>Funke Danladi</v>
      </c>
      <c r="O1186" t="str">
        <f>_xlfn.XLOOKUP(Orders[[#This Row],[CustomerID]],Customers[CustomerID],Customers[City])</f>
        <v>California</v>
      </c>
      <c r="P1186" t="str">
        <f>_xlfn.XLOOKUP(Orders[[#This Row],[CustomerID]],Customers[CustomerID],Customers[Gender])</f>
        <v>Female</v>
      </c>
      <c r="Q1186">
        <f>_xlfn.XLOOKUP(Orders[[#This Row],[CustomerID]],Customers[CustomerID],Customers[CustomerAge])</f>
        <v>31</v>
      </c>
      <c r="R1186" t="str">
        <f>IF(Orders[[#This Row],[CustomerAge]]&gt;=35, "Older", "Young")</f>
        <v>Young</v>
      </c>
      <c r="S1186" t="str">
        <f>_xlfn.XLOOKUP(Orders[[#This Row],[ProductID]],Products[ProductID],Products[ProductName])</f>
        <v>Badminton Racket</v>
      </c>
      <c r="T1186" t="str">
        <f>_xlfn.XLOOKUP(Orders[[#This Row],[ProductID]],Products[ProductID],Products[Category])</f>
        <v>Sports</v>
      </c>
    </row>
    <row r="1187" spans="1:20" x14ac:dyDescent="0.25">
      <c r="A1187" s="4" t="s">
        <v>1376</v>
      </c>
      <c r="B1187" s="5">
        <v>45987</v>
      </c>
      <c r="C1187" s="15">
        <f>WEEKNUM(Orders[[#This Row],[OrderDate]])</f>
        <v>48</v>
      </c>
      <c r="D1187" s="15" t="str">
        <f>TEXT(Orders[[#This Row],[OrderDate]],"mmmm")</f>
        <v>November</v>
      </c>
      <c r="E1187" s="4" t="s">
        <v>258</v>
      </c>
      <c r="F1187" s="4" t="s">
        <v>46</v>
      </c>
      <c r="G1187" s="4">
        <v>1</v>
      </c>
      <c r="H1187" s="12">
        <v>7881.5</v>
      </c>
      <c r="I1187" s="13">
        <v>6699.2749999999996</v>
      </c>
      <c r="J1187" s="13">
        <f>Orders[[#This Row],[Quantity]]*Orders[[#This Row],[Selling Price]]</f>
        <v>7881.5</v>
      </c>
      <c r="K1187" s="13">
        <f>Orders[[#This Row],[Quantity]]*Orders[[#This Row],[Cost Price]]</f>
        <v>6699.2749999999996</v>
      </c>
      <c r="L1187" s="13">
        <f>Orders[[#This Row],[Revenue]]-Orders[[#This Row],[Expenses]]</f>
        <v>1182.2250000000004</v>
      </c>
      <c r="M1187" t="s">
        <v>2199</v>
      </c>
      <c r="N1187" t="str">
        <f>_xlfn.XLOOKUP(Orders[[#This Row],[CustomerID]],Customers[CustomerID],Customers[CustomerName])</f>
        <v>Sani Abubakar</v>
      </c>
      <c r="O1187" t="str">
        <f>_xlfn.XLOOKUP(Orders[[#This Row],[CustomerID]],Customers[CustomerID],Customers[City])</f>
        <v>Washington</v>
      </c>
      <c r="P1187" t="str">
        <f>_xlfn.XLOOKUP(Orders[[#This Row],[CustomerID]],Customers[CustomerID],Customers[Gender])</f>
        <v>Male</v>
      </c>
      <c r="Q1187">
        <f>_xlfn.XLOOKUP(Orders[[#This Row],[CustomerID]],Customers[CustomerID],Customers[CustomerAge])</f>
        <v>37</v>
      </c>
      <c r="R1187" t="str">
        <f>IF(Orders[[#This Row],[CustomerAge]]&gt;=35, "Older", "Young")</f>
        <v>Older</v>
      </c>
      <c r="S1187" t="str">
        <f>_xlfn.XLOOKUP(Orders[[#This Row],[ProductID]],Products[ProductID],Products[ProductName])</f>
        <v>Turtle Neck</v>
      </c>
      <c r="T1187" t="str">
        <f>_xlfn.XLOOKUP(Orders[[#This Row],[ProductID]],Products[ProductID],Products[Category])</f>
        <v>Clothing</v>
      </c>
    </row>
    <row r="1188" spans="1:20" x14ac:dyDescent="0.25">
      <c r="A1188" s="4" t="s">
        <v>1377</v>
      </c>
      <c r="B1188" s="5">
        <v>45981</v>
      </c>
      <c r="C1188" s="15">
        <f>WEEKNUM(Orders[[#This Row],[OrderDate]])</f>
        <v>47</v>
      </c>
      <c r="D1188" s="15" t="str">
        <f>TEXT(Orders[[#This Row],[OrderDate]],"mmmm")</f>
        <v>November</v>
      </c>
      <c r="E1188" s="4" t="s">
        <v>237</v>
      </c>
      <c r="F1188" s="4" t="s">
        <v>208</v>
      </c>
      <c r="G1188" s="4">
        <v>2</v>
      </c>
      <c r="H1188" s="12">
        <v>14928.900000000001</v>
      </c>
      <c r="I1188" s="13">
        <v>12689.565000000002</v>
      </c>
      <c r="J1188" s="13">
        <f>Orders[[#This Row],[Quantity]]*Orders[[#This Row],[Selling Price]]</f>
        <v>29857.800000000003</v>
      </c>
      <c r="K1188" s="13">
        <f>Orders[[#This Row],[Quantity]]*Orders[[#This Row],[Cost Price]]</f>
        <v>25379.130000000005</v>
      </c>
      <c r="L1188" s="13">
        <f>Orders[[#This Row],[Revenue]]-Orders[[#This Row],[Expenses]]</f>
        <v>4478.6699999999983</v>
      </c>
      <c r="M1188" t="s">
        <v>2192</v>
      </c>
      <c r="N1188" t="str">
        <f>_xlfn.XLOOKUP(Orders[[#This Row],[CustomerID]],Customers[CustomerID],Customers[CustomerName])</f>
        <v>Ronke Danladi</v>
      </c>
      <c r="O1188" t="str">
        <f>_xlfn.XLOOKUP(Orders[[#This Row],[CustomerID]],Customers[CustomerID],Customers[City])</f>
        <v>Florida</v>
      </c>
      <c r="P1188" t="str">
        <f>_xlfn.XLOOKUP(Orders[[#This Row],[CustomerID]],Customers[CustomerID],Customers[Gender])</f>
        <v>Female</v>
      </c>
      <c r="Q1188">
        <f>_xlfn.XLOOKUP(Orders[[#This Row],[CustomerID]],Customers[CustomerID],Customers[CustomerAge])</f>
        <v>25</v>
      </c>
      <c r="R1188" t="str">
        <f>IF(Orders[[#This Row],[CustomerAge]]&gt;=35, "Older", "Young")</f>
        <v>Young</v>
      </c>
      <c r="S1188" t="str">
        <f>_xlfn.XLOOKUP(Orders[[#This Row],[ProductID]],Products[ProductID],Products[ProductName])</f>
        <v>Skipping Rope</v>
      </c>
      <c r="T1188" t="str">
        <f>_xlfn.XLOOKUP(Orders[[#This Row],[ProductID]],Products[ProductID],Products[Category])</f>
        <v>Sports</v>
      </c>
    </row>
    <row r="1189" spans="1:20" x14ac:dyDescent="0.25">
      <c r="A1189" s="4" t="s">
        <v>1378</v>
      </c>
      <c r="B1189" s="5">
        <v>46015</v>
      </c>
      <c r="C1189" s="15">
        <f>WEEKNUM(Orders[[#This Row],[OrderDate]])</f>
        <v>52</v>
      </c>
      <c r="D1189" s="15" t="str">
        <f>TEXT(Orders[[#This Row],[OrderDate]],"mmmm")</f>
        <v>December</v>
      </c>
      <c r="E1189" s="4" t="s">
        <v>138</v>
      </c>
      <c r="F1189" s="4" t="s">
        <v>60</v>
      </c>
      <c r="G1189" s="4">
        <v>1</v>
      </c>
      <c r="H1189" s="12">
        <v>17566.099999999999</v>
      </c>
      <c r="I1189" s="13">
        <v>14931.184999999999</v>
      </c>
      <c r="J1189" s="13">
        <f>Orders[[#This Row],[Quantity]]*Orders[[#This Row],[Selling Price]]</f>
        <v>17566.099999999999</v>
      </c>
      <c r="K1189" s="13">
        <f>Orders[[#This Row],[Quantity]]*Orders[[#This Row],[Cost Price]]</f>
        <v>14931.184999999999</v>
      </c>
      <c r="L1189" s="13">
        <f>Orders[[#This Row],[Revenue]]-Orders[[#This Row],[Expenses]]</f>
        <v>2634.9149999999991</v>
      </c>
      <c r="M1189" t="s">
        <v>2199</v>
      </c>
      <c r="N1189" t="str">
        <f>_xlfn.XLOOKUP(Orders[[#This Row],[CustomerID]],Customers[CustomerID],Customers[CustomerName])</f>
        <v>Efe Adeyemi</v>
      </c>
      <c r="O1189" t="str">
        <f>_xlfn.XLOOKUP(Orders[[#This Row],[CustomerID]],Customers[CustomerID],Customers[City])</f>
        <v>Washington</v>
      </c>
      <c r="P1189" t="str">
        <f>_xlfn.XLOOKUP(Orders[[#This Row],[CustomerID]],Customers[CustomerID],Customers[Gender])</f>
        <v>Female</v>
      </c>
      <c r="Q1189">
        <f>_xlfn.XLOOKUP(Orders[[#This Row],[CustomerID]],Customers[CustomerID],Customers[CustomerAge])</f>
        <v>22</v>
      </c>
      <c r="R1189" t="str">
        <f>IF(Orders[[#This Row],[CustomerAge]]&gt;=35, "Older", "Young")</f>
        <v>Young</v>
      </c>
      <c r="S1189" t="str">
        <f>_xlfn.XLOOKUP(Orders[[#This Row],[ProductID]],Products[ProductID],Products[ProductName])</f>
        <v>Silver Rings</v>
      </c>
      <c r="T1189" t="str">
        <f>_xlfn.XLOOKUP(Orders[[#This Row],[ProductID]],Products[ProductID],Products[Category])</f>
        <v>Accessories</v>
      </c>
    </row>
    <row r="1190" spans="1:20" x14ac:dyDescent="0.25">
      <c r="A1190" s="4" t="s">
        <v>1379</v>
      </c>
      <c r="B1190" s="5">
        <v>45958</v>
      </c>
      <c r="C1190" s="15">
        <f>WEEKNUM(Orders[[#This Row],[OrderDate]])</f>
        <v>44</v>
      </c>
      <c r="D1190" s="15" t="str">
        <f>TEXT(Orders[[#This Row],[OrderDate]],"mmmm")</f>
        <v>October</v>
      </c>
      <c r="E1190" s="4" t="s">
        <v>110</v>
      </c>
      <c r="F1190" s="4" t="s">
        <v>125</v>
      </c>
      <c r="G1190" s="4">
        <v>3</v>
      </c>
      <c r="H1190" s="12">
        <v>19369.2</v>
      </c>
      <c r="I1190" s="13">
        <v>16463.82</v>
      </c>
      <c r="J1190" s="13">
        <f>Orders[[#This Row],[Quantity]]*Orders[[#This Row],[Selling Price]]</f>
        <v>58107.600000000006</v>
      </c>
      <c r="K1190" s="13">
        <f>Orders[[#This Row],[Quantity]]*Orders[[#This Row],[Cost Price]]</f>
        <v>49391.46</v>
      </c>
      <c r="L1190" s="13">
        <f>Orders[[#This Row],[Revenue]]-Orders[[#This Row],[Expenses]]</f>
        <v>8716.1400000000067</v>
      </c>
      <c r="M1190" t="s">
        <v>2192</v>
      </c>
      <c r="N1190" t="str">
        <f>_xlfn.XLOOKUP(Orders[[#This Row],[CustomerID]],Customers[CustomerID],Customers[CustomerName])</f>
        <v>Ngozi Danladi</v>
      </c>
      <c r="O1190" t="str">
        <f>_xlfn.XLOOKUP(Orders[[#This Row],[CustomerID]],Customers[CustomerID],Customers[City])</f>
        <v>Washington</v>
      </c>
      <c r="P1190" t="str">
        <f>_xlfn.XLOOKUP(Orders[[#This Row],[CustomerID]],Customers[CustomerID],Customers[Gender])</f>
        <v>Female</v>
      </c>
      <c r="Q1190">
        <f>_xlfn.XLOOKUP(Orders[[#This Row],[CustomerID]],Customers[CustomerID],Customers[CustomerAge])</f>
        <v>28</v>
      </c>
      <c r="R1190" t="str">
        <f>IF(Orders[[#This Row],[CustomerAge]]&gt;=35, "Older", "Young")</f>
        <v>Young</v>
      </c>
      <c r="S1190" t="str">
        <f>_xlfn.XLOOKUP(Orders[[#This Row],[ProductID]],Products[ProductID],Products[ProductName])</f>
        <v>Earrings</v>
      </c>
      <c r="T1190" t="str">
        <f>_xlfn.XLOOKUP(Orders[[#This Row],[ProductID]],Products[ProductID],Products[Category])</f>
        <v>Accessories</v>
      </c>
    </row>
    <row r="1191" spans="1:20" x14ac:dyDescent="0.25">
      <c r="A1191" s="4" t="s">
        <v>1380</v>
      </c>
      <c r="B1191" s="5">
        <v>45931</v>
      </c>
      <c r="C1191" s="15">
        <f>WEEKNUM(Orders[[#This Row],[OrderDate]])</f>
        <v>40</v>
      </c>
      <c r="D1191" s="15" t="str">
        <f>TEXT(Orders[[#This Row],[OrderDate]],"mmmm")</f>
        <v>October</v>
      </c>
      <c r="E1191" s="4" t="s">
        <v>272</v>
      </c>
      <c r="F1191" s="4" t="s">
        <v>60</v>
      </c>
      <c r="G1191" s="4">
        <v>10</v>
      </c>
      <c r="H1191" s="12">
        <v>17507</v>
      </c>
      <c r="I1191" s="13">
        <v>14880.95</v>
      </c>
      <c r="J1191" s="13">
        <f>Orders[[#This Row],[Quantity]]*Orders[[#This Row],[Selling Price]]</f>
        <v>175070</v>
      </c>
      <c r="K1191" s="13">
        <f>Orders[[#This Row],[Quantity]]*Orders[[#This Row],[Cost Price]]</f>
        <v>148809.5</v>
      </c>
      <c r="L1191" s="13">
        <f>Orders[[#This Row],[Revenue]]-Orders[[#This Row],[Expenses]]</f>
        <v>26260.5</v>
      </c>
      <c r="M1191" t="s">
        <v>2220</v>
      </c>
      <c r="N1191" t="str">
        <f>_xlfn.XLOOKUP(Orders[[#This Row],[CustomerID]],Customers[CustomerID],Customers[CustomerName])</f>
        <v>Blessing Bello</v>
      </c>
      <c r="O1191" t="str">
        <f>_xlfn.XLOOKUP(Orders[[#This Row],[CustomerID]],Customers[CustomerID],Customers[City])</f>
        <v>Florida</v>
      </c>
      <c r="P1191" t="str">
        <f>_xlfn.XLOOKUP(Orders[[#This Row],[CustomerID]],Customers[CustomerID],Customers[Gender])</f>
        <v>Female</v>
      </c>
      <c r="Q1191">
        <f>_xlfn.XLOOKUP(Orders[[#This Row],[CustomerID]],Customers[CustomerID],Customers[CustomerAge])</f>
        <v>38</v>
      </c>
      <c r="R1191" t="str">
        <f>IF(Orders[[#This Row],[CustomerAge]]&gt;=35, "Older", "Young")</f>
        <v>Older</v>
      </c>
      <c r="S1191" t="str">
        <f>_xlfn.XLOOKUP(Orders[[#This Row],[ProductID]],Products[ProductID],Products[ProductName])</f>
        <v>Silver Rings</v>
      </c>
      <c r="T1191" t="str">
        <f>_xlfn.XLOOKUP(Orders[[#This Row],[ProductID]],Products[ProductID],Products[Category])</f>
        <v>Accessories</v>
      </c>
    </row>
    <row r="1192" spans="1:20" x14ac:dyDescent="0.25">
      <c r="A1192" s="4" t="s">
        <v>1381</v>
      </c>
      <c r="B1192" s="5">
        <v>45946</v>
      </c>
      <c r="C1192" s="15">
        <f>WEEKNUM(Orders[[#This Row],[OrderDate]])</f>
        <v>42</v>
      </c>
      <c r="D1192" s="15" t="str">
        <f>TEXT(Orders[[#This Row],[OrderDate]],"mmmm")</f>
        <v>October</v>
      </c>
      <c r="E1192" s="4" t="s">
        <v>178</v>
      </c>
      <c r="F1192" s="4" t="s">
        <v>46</v>
      </c>
      <c r="G1192" s="4">
        <v>5</v>
      </c>
      <c r="H1192" s="12">
        <v>16085.8</v>
      </c>
      <c r="I1192" s="13">
        <v>13672.93</v>
      </c>
      <c r="J1192" s="13">
        <f>Orders[[#This Row],[Quantity]]*Orders[[#This Row],[Selling Price]]</f>
        <v>80429</v>
      </c>
      <c r="K1192" s="13">
        <f>Orders[[#This Row],[Quantity]]*Orders[[#This Row],[Cost Price]]</f>
        <v>68364.649999999994</v>
      </c>
      <c r="L1192" s="13">
        <f>Orders[[#This Row],[Revenue]]-Orders[[#This Row],[Expenses]]</f>
        <v>12064.350000000006</v>
      </c>
      <c r="M1192" t="s">
        <v>2202</v>
      </c>
      <c r="N1192" t="str">
        <f>_xlfn.XLOOKUP(Orders[[#This Row],[CustomerID]],Customers[CustomerID],Customers[CustomerName])</f>
        <v>Ibrahim Igwe</v>
      </c>
      <c r="O1192" t="str">
        <f>_xlfn.XLOOKUP(Orders[[#This Row],[CustomerID]],Customers[CustomerID],Customers[City])</f>
        <v>Florida</v>
      </c>
      <c r="P1192" t="str">
        <f>_xlfn.XLOOKUP(Orders[[#This Row],[CustomerID]],Customers[CustomerID],Customers[Gender])</f>
        <v>Male</v>
      </c>
      <c r="Q1192">
        <f>_xlfn.XLOOKUP(Orders[[#This Row],[CustomerID]],Customers[CustomerID],Customers[CustomerAge])</f>
        <v>19</v>
      </c>
      <c r="R1192" t="str">
        <f>IF(Orders[[#This Row],[CustomerAge]]&gt;=35, "Older", "Young")</f>
        <v>Young</v>
      </c>
      <c r="S1192" t="str">
        <f>_xlfn.XLOOKUP(Orders[[#This Row],[ProductID]],Products[ProductID],Products[ProductName])</f>
        <v>Turtle Neck</v>
      </c>
      <c r="T1192" t="str">
        <f>_xlfn.XLOOKUP(Orders[[#This Row],[ProductID]],Products[ProductID],Products[Category])</f>
        <v>Clothing</v>
      </c>
    </row>
    <row r="1193" spans="1:20" x14ac:dyDescent="0.25">
      <c r="A1193" s="4" t="s">
        <v>1382</v>
      </c>
      <c r="B1193" s="5">
        <v>46004</v>
      </c>
      <c r="C1193" s="15">
        <f>WEEKNUM(Orders[[#This Row],[OrderDate]])</f>
        <v>50</v>
      </c>
      <c r="D1193" s="15" t="str">
        <f>TEXT(Orders[[#This Row],[OrderDate]],"mmmm")</f>
        <v>December</v>
      </c>
      <c r="E1193" s="4" t="s">
        <v>383</v>
      </c>
      <c r="F1193" s="4" t="s">
        <v>70</v>
      </c>
      <c r="G1193" s="4">
        <v>2</v>
      </c>
      <c r="H1193" s="12">
        <v>16120.8</v>
      </c>
      <c r="I1193" s="13">
        <v>13702.68</v>
      </c>
      <c r="J1193" s="13">
        <f>Orders[[#This Row],[Quantity]]*Orders[[#This Row],[Selling Price]]</f>
        <v>32241.599999999999</v>
      </c>
      <c r="K1193" s="13">
        <f>Orders[[#This Row],[Quantity]]*Orders[[#This Row],[Cost Price]]</f>
        <v>27405.360000000001</v>
      </c>
      <c r="L1193" s="13">
        <f>Orders[[#This Row],[Revenue]]-Orders[[#This Row],[Expenses]]</f>
        <v>4836.239999999998</v>
      </c>
      <c r="M1193" t="s">
        <v>2206</v>
      </c>
      <c r="N1193" t="str">
        <f>_xlfn.XLOOKUP(Orders[[#This Row],[CustomerID]],Customers[CustomerID],Customers[CustomerName])</f>
        <v>Ibrahim Balogun</v>
      </c>
      <c r="O1193" t="str">
        <f>_xlfn.XLOOKUP(Orders[[#This Row],[CustomerID]],Customers[CustomerID],Customers[City])</f>
        <v>Florida</v>
      </c>
      <c r="P1193" t="str">
        <f>_xlfn.XLOOKUP(Orders[[#This Row],[CustomerID]],Customers[CustomerID],Customers[Gender])</f>
        <v>Male</v>
      </c>
      <c r="Q1193">
        <f>_xlfn.XLOOKUP(Orders[[#This Row],[CustomerID]],Customers[CustomerID],Customers[CustomerAge])</f>
        <v>27</v>
      </c>
      <c r="R1193" t="str">
        <f>IF(Orders[[#This Row],[CustomerAge]]&gt;=35, "Older", "Young")</f>
        <v>Young</v>
      </c>
      <c r="S1193" t="str">
        <f>_xlfn.XLOOKUP(Orders[[#This Row],[ProductID]],Products[ProductID],Products[ProductName])</f>
        <v>Yoga Mat</v>
      </c>
      <c r="T1193" t="str">
        <f>_xlfn.XLOOKUP(Orders[[#This Row],[ProductID]],Products[ProductID],Products[Category])</f>
        <v>Gym</v>
      </c>
    </row>
    <row r="1194" spans="1:20" x14ac:dyDescent="0.25">
      <c r="A1194" s="4" t="s">
        <v>1383</v>
      </c>
      <c r="B1194" s="5">
        <v>45966</v>
      </c>
      <c r="C1194" s="15">
        <f>WEEKNUM(Orders[[#This Row],[OrderDate]])</f>
        <v>45</v>
      </c>
      <c r="D1194" s="15" t="str">
        <f>TEXT(Orders[[#This Row],[OrderDate]],"mmmm")</f>
        <v>November</v>
      </c>
      <c r="E1194" s="4" t="s">
        <v>352</v>
      </c>
      <c r="F1194" s="4" t="s">
        <v>28</v>
      </c>
      <c r="G1194" s="4">
        <v>6</v>
      </c>
      <c r="H1194" s="12">
        <v>14836.800000000001</v>
      </c>
      <c r="I1194" s="13">
        <v>12611.28</v>
      </c>
      <c r="J1194" s="13">
        <f>Orders[[#This Row],[Quantity]]*Orders[[#This Row],[Selling Price]]</f>
        <v>89020.800000000003</v>
      </c>
      <c r="K1194" s="13">
        <f>Orders[[#This Row],[Quantity]]*Orders[[#This Row],[Cost Price]]</f>
        <v>75667.680000000008</v>
      </c>
      <c r="L1194" s="13">
        <f>Orders[[#This Row],[Revenue]]-Orders[[#This Row],[Expenses]]</f>
        <v>13353.119999999995</v>
      </c>
      <c r="M1194" t="s">
        <v>2209</v>
      </c>
      <c r="N1194" t="str">
        <f>_xlfn.XLOOKUP(Orders[[#This Row],[CustomerID]],Customers[CustomerID],Customers[CustomerName])</f>
        <v>Zainab Eze</v>
      </c>
      <c r="O1194" t="str">
        <f>_xlfn.XLOOKUP(Orders[[#This Row],[CustomerID]],Customers[CustomerID],Customers[City])</f>
        <v>Texas</v>
      </c>
      <c r="P1194" t="str">
        <f>_xlfn.XLOOKUP(Orders[[#This Row],[CustomerID]],Customers[CustomerID],Customers[Gender])</f>
        <v>Female</v>
      </c>
      <c r="Q1194">
        <f>_xlfn.XLOOKUP(Orders[[#This Row],[CustomerID]],Customers[CustomerID],Customers[CustomerAge])</f>
        <v>40</v>
      </c>
      <c r="R1194" t="str">
        <f>IF(Orders[[#This Row],[CustomerAge]]&gt;=35, "Older", "Young")</f>
        <v>Older</v>
      </c>
      <c r="S1194" t="str">
        <f>_xlfn.XLOOKUP(Orders[[#This Row],[ProductID]],Products[ProductID],Products[ProductName])</f>
        <v>Sneakers</v>
      </c>
      <c r="T1194" t="str">
        <f>_xlfn.XLOOKUP(Orders[[#This Row],[ProductID]],Products[ProductID],Products[Category])</f>
        <v>Sports</v>
      </c>
    </row>
    <row r="1195" spans="1:20" x14ac:dyDescent="0.25">
      <c r="A1195" s="4" t="s">
        <v>1384</v>
      </c>
      <c r="B1195" s="5">
        <v>45932</v>
      </c>
      <c r="C1195" s="15">
        <f>WEEKNUM(Orders[[#This Row],[OrderDate]])</f>
        <v>40</v>
      </c>
      <c r="D1195" s="15" t="str">
        <f>TEXT(Orders[[#This Row],[OrderDate]],"mmmm")</f>
        <v>October</v>
      </c>
      <c r="E1195" s="4" t="s">
        <v>138</v>
      </c>
      <c r="F1195" s="4" t="s">
        <v>9</v>
      </c>
      <c r="G1195" s="4">
        <v>3</v>
      </c>
      <c r="H1195" s="12">
        <v>18564.900000000001</v>
      </c>
      <c r="I1195" s="13">
        <v>15780.165000000001</v>
      </c>
      <c r="J1195" s="13">
        <f>Orders[[#This Row],[Quantity]]*Orders[[#This Row],[Selling Price]]</f>
        <v>55694.700000000004</v>
      </c>
      <c r="K1195" s="13">
        <f>Orders[[#This Row],[Quantity]]*Orders[[#This Row],[Cost Price]]</f>
        <v>47340.495000000003</v>
      </c>
      <c r="L1195" s="13">
        <f>Orders[[#This Row],[Revenue]]-Orders[[#This Row],[Expenses]]</f>
        <v>8354.2050000000017</v>
      </c>
      <c r="M1195" t="s">
        <v>2204</v>
      </c>
      <c r="N1195" t="str">
        <f>_xlfn.XLOOKUP(Orders[[#This Row],[CustomerID]],Customers[CustomerID],Customers[CustomerName])</f>
        <v>Efe Adeyemi</v>
      </c>
      <c r="O1195" t="str">
        <f>_xlfn.XLOOKUP(Orders[[#This Row],[CustomerID]],Customers[CustomerID],Customers[City])</f>
        <v>Washington</v>
      </c>
      <c r="P1195" t="str">
        <f>_xlfn.XLOOKUP(Orders[[#This Row],[CustomerID]],Customers[CustomerID],Customers[Gender])</f>
        <v>Female</v>
      </c>
      <c r="Q1195">
        <f>_xlfn.XLOOKUP(Orders[[#This Row],[CustomerID]],Customers[CustomerID],Customers[CustomerAge])</f>
        <v>22</v>
      </c>
      <c r="R1195" t="str">
        <f>IF(Orders[[#This Row],[CustomerAge]]&gt;=35, "Older", "Young")</f>
        <v>Young</v>
      </c>
      <c r="S1195" t="str">
        <f>_xlfn.XLOOKUP(Orders[[#This Row],[ProductID]],Products[ProductID],Products[ProductName])</f>
        <v>Beaded Earrings And Necklaces</v>
      </c>
      <c r="T1195" t="str">
        <f>_xlfn.XLOOKUP(Orders[[#This Row],[ProductID]],Products[ProductID],Products[Category])</f>
        <v>Accessories</v>
      </c>
    </row>
    <row r="1196" spans="1:20" x14ac:dyDescent="0.25">
      <c r="A1196" s="4" t="s">
        <v>1385</v>
      </c>
      <c r="B1196" s="5">
        <v>46012</v>
      </c>
      <c r="C1196" s="15">
        <f>WEEKNUM(Orders[[#This Row],[OrderDate]])</f>
        <v>52</v>
      </c>
      <c r="D1196" s="15" t="str">
        <f>TEXT(Orders[[#This Row],[OrderDate]],"mmmm")</f>
        <v>December</v>
      </c>
      <c r="E1196" s="4" t="s">
        <v>552</v>
      </c>
      <c r="F1196" s="4" t="s">
        <v>111</v>
      </c>
      <c r="G1196" s="4">
        <v>8</v>
      </c>
      <c r="H1196" s="12">
        <v>3810.6</v>
      </c>
      <c r="I1196" s="13">
        <v>3239.01</v>
      </c>
      <c r="J1196" s="13">
        <f>Orders[[#This Row],[Quantity]]*Orders[[#This Row],[Selling Price]]</f>
        <v>30484.799999999999</v>
      </c>
      <c r="K1196" s="13">
        <f>Orders[[#This Row],[Quantity]]*Orders[[#This Row],[Cost Price]]</f>
        <v>25912.080000000002</v>
      </c>
      <c r="L1196" s="13">
        <f>Orders[[#This Row],[Revenue]]-Orders[[#This Row],[Expenses]]</f>
        <v>4572.7199999999975</v>
      </c>
      <c r="M1196" t="s">
        <v>2198</v>
      </c>
      <c r="N1196" t="str">
        <f>_xlfn.XLOOKUP(Orders[[#This Row],[CustomerID]],Customers[CustomerID],Customers[CustomerName])</f>
        <v>Chioma Eze</v>
      </c>
      <c r="O1196" t="str">
        <f>_xlfn.XLOOKUP(Orders[[#This Row],[CustomerID]],Customers[CustomerID],Customers[City])</f>
        <v>Georgia</v>
      </c>
      <c r="P1196" t="str">
        <f>_xlfn.XLOOKUP(Orders[[#This Row],[CustomerID]],Customers[CustomerID],Customers[Gender])</f>
        <v>Female</v>
      </c>
      <c r="Q1196">
        <f>_xlfn.XLOOKUP(Orders[[#This Row],[CustomerID]],Customers[CustomerID],Customers[CustomerAge])</f>
        <v>40</v>
      </c>
      <c r="R1196" t="str">
        <f>IF(Orders[[#This Row],[CustomerAge]]&gt;=35, "Older", "Young")</f>
        <v>Older</v>
      </c>
      <c r="S1196" t="str">
        <f>_xlfn.XLOOKUP(Orders[[#This Row],[ProductID]],Products[ProductID],Products[ProductName])</f>
        <v>Refrigerator</v>
      </c>
      <c r="T1196" t="str">
        <f>_xlfn.XLOOKUP(Orders[[#This Row],[ProductID]],Products[ProductID],Products[Category])</f>
        <v>Electronics</v>
      </c>
    </row>
    <row r="1197" spans="1:20" x14ac:dyDescent="0.25">
      <c r="A1197" s="4" t="s">
        <v>1386</v>
      </c>
      <c r="B1197" s="5">
        <v>45952</v>
      </c>
      <c r="C1197" s="15">
        <f>WEEKNUM(Orders[[#This Row],[OrderDate]])</f>
        <v>43</v>
      </c>
      <c r="D1197" s="15" t="str">
        <f>TEXT(Orders[[#This Row],[OrderDate]],"mmmm")</f>
        <v>October</v>
      </c>
      <c r="E1197" s="4" t="s">
        <v>649</v>
      </c>
      <c r="F1197" s="4" t="s">
        <v>151</v>
      </c>
      <c r="G1197" s="4">
        <v>6</v>
      </c>
      <c r="H1197" s="12">
        <v>5593.3</v>
      </c>
      <c r="I1197" s="13">
        <v>4754.3050000000003</v>
      </c>
      <c r="J1197" s="13">
        <f>Orders[[#This Row],[Quantity]]*Orders[[#This Row],[Selling Price]]</f>
        <v>33559.800000000003</v>
      </c>
      <c r="K1197" s="13">
        <f>Orders[[#This Row],[Quantity]]*Orders[[#This Row],[Cost Price]]</f>
        <v>28525.83</v>
      </c>
      <c r="L1197" s="13">
        <f>Orders[[#This Row],[Revenue]]-Orders[[#This Row],[Expenses]]</f>
        <v>5033.9700000000012</v>
      </c>
      <c r="M1197" t="s">
        <v>2220</v>
      </c>
      <c r="N1197" t="str">
        <f>_xlfn.XLOOKUP(Orders[[#This Row],[CustomerID]],Customers[CustomerID],Customers[CustomerName])</f>
        <v>Bisi Abubakar</v>
      </c>
      <c r="O1197" t="str">
        <f>_xlfn.XLOOKUP(Orders[[#This Row],[CustomerID]],Customers[CustomerID],Customers[City])</f>
        <v>Washington</v>
      </c>
      <c r="P1197" t="str">
        <f>_xlfn.XLOOKUP(Orders[[#This Row],[CustomerID]],Customers[CustomerID],Customers[Gender])</f>
        <v>Female</v>
      </c>
      <c r="Q1197">
        <f>_xlfn.XLOOKUP(Orders[[#This Row],[CustomerID]],Customers[CustomerID],Customers[CustomerAge])</f>
        <v>35</v>
      </c>
      <c r="R1197" t="str">
        <f>IF(Orders[[#This Row],[CustomerAge]]&gt;=35, "Older", "Young")</f>
        <v>Older</v>
      </c>
      <c r="S1197" t="str">
        <f>_xlfn.XLOOKUP(Orders[[#This Row],[ProductID]],Products[ProductID],Products[ProductName])</f>
        <v>Checkers</v>
      </c>
      <c r="T1197" t="str">
        <f>_xlfn.XLOOKUP(Orders[[#This Row],[ProductID]],Products[ProductID],Products[Category])</f>
        <v>Games</v>
      </c>
    </row>
    <row r="1198" spans="1:20" x14ac:dyDescent="0.25">
      <c r="A1198" s="4" t="s">
        <v>1387</v>
      </c>
      <c r="B1198" s="5">
        <v>46002</v>
      </c>
      <c r="C1198" s="15">
        <f>WEEKNUM(Orders[[#This Row],[OrderDate]])</f>
        <v>50</v>
      </c>
      <c r="D1198" s="15" t="str">
        <f>TEXT(Orders[[#This Row],[OrderDate]],"mmmm")</f>
        <v>December</v>
      </c>
      <c r="E1198" s="4" t="s">
        <v>8</v>
      </c>
      <c r="F1198" s="4" t="s">
        <v>31</v>
      </c>
      <c r="G1198" s="4">
        <v>3</v>
      </c>
      <c r="H1198" s="12">
        <v>7424.5</v>
      </c>
      <c r="I1198" s="13">
        <v>6310.8249999999998</v>
      </c>
      <c r="J1198" s="13">
        <f>Orders[[#This Row],[Quantity]]*Orders[[#This Row],[Selling Price]]</f>
        <v>22273.5</v>
      </c>
      <c r="K1198" s="13">
        <f>Orders[[#This Row],[Quantity]]*Orders[[#This Row],[Cost Price]]</f>
        <v>18932.474999999999</v>
      </c>
      <c r="L1198" s="13">
        <f>Orders[[#This Row],[Revenue]]-Orders[[#This Row],[Expenses]]</f>
        <v>3341.0250000000015</v>
      </c>
      <c r="M1198" t="s">
        <v>2207</v>
      </c>
      <c r="N1198" t="str">
        <f>_xlfn.XLOOKUP(Orders[[#This Row],[CustomerID]],Customers[CustomerID],Customers[CustomerName])</f>
        <v>Bi si Bello</v>
      </c>
      <c r="O1198" t="str">
        <f>_xlfn.XLOOKUP(Orders[[#This Row],[CustomerID]],Customers[CustomerID],Customers[City])</f>
        <v>Washington</v>
      </c>
      <c r="P1198" t="str">
        <f>_xlfn.XLOOKUP(Orders[[#This Row],[CustomerID]],Customers[CustomerID],Customers[Gender])</f>
        <v>Female</v>
      </c>
      <c r="Q1198">
        <f>_xlfn.XLOOKUP(Orders[[#This Row],[CustomerID]],Customers[CustomerID],Customers[CustomerAge])</f>
        <v>38</v>
      </c>
      <c r="R1198" t="str">
        <f>IF(Orders[[#This Row],[CustomerAge]]&gt;=35, "Older", "Young")</f>
        <v>Older</v>
      </c>
      <c r="S1198" t="str">
        <f>_xlfn.XLOOKUP(Orders[[#This Row],[ProductID]],Products[ProductID],Products[ProductName])</f>
        <v>Kids Games</v>
      </c>
      <c r="T1198" t="str">
        <f>_xlfn.XLOOKUP(Orders[[#This Row],[ProductID]],Products[ProductID],Products[Category])</f>
        <v>Games</v>
      </c>
    </row>
    <row r="1199" spans="1:20" x14ac:dyDescent="0.25">
      <c r="A1199" s="4" t="s">
        <v>1388</v>
      </c>
      <c r="B1199" s="5">
        <v>45940</v>
      </c>
      <c r="C1199" s="15">
        <f>WEEKNUM(Orders[[#This Row],[OrderDate]])</f>
        <v>41</v>
      </c>
      <c r="D1199" s="15" t="str">
        <f>TEXT(Orders[[#This Row],[OrderDate]],"mmmm")</f>
        <v>October</v>
      </c>
      <c r="E1199" s="4" t="s">
        <v>324</v>
      </c>
      <c r="F1199" s="4" t="s">
        <v>151</v>
      </c>
      <c r="G1199" s="4">
        <v>7</v>
      </c>
      <c r="H1199" s="12">
        <v>4629.5999999999995</v>
      </c>
      <c r="I1199" s="13">
        <v>3935.1599999999994</v>
      </c>
      <c r="J1199" s="13">
        <f>Orders[[#This Row],[Quantity]]*Orders[[#This Row],[Selling Price]]</f>
        <v>32407.199999999997</v>
      </c>
      <c r="K1199" s="13">
        <f>Orders[[#This Row],[Quantity]]*Orders[[#This Row],[Cost Price]]</f>
        <v>27546.119999999995</v>
      </c>
      <c r="L1199" s="13">
        <f>Orders[[#This Row],[Revenue]]-Orders[[#This Row],[Expenses]]</f>
        <v>4861.0800000000017</v>
      </c>
      <c r="M1199" t="s">
        <v>2198</v>
      </c>
      <c r="N1199" t="str">
        <f>_xlfn.XLOOKUP(Orders[[#This Row],[CustomerID]],Customers[CustomerID],Customers[CustomerName])</f>
        <v>Tunde Okonkwo</v>
      </c>
      <c r="O1199" t="str">
        <f>_xlfn.XLOOKUP(Orders[[#This Row],[CustomerID]],Customers[CustomerID],Customers[City])</f>
        <v>Texas</v>
      </c>
      <c r="P1199" t="str">
        <f>_xlfn.XLOOKUP(Orders[[#This Row],[CustomerID]],Customers[CustomerID],Customers[Gender])</f>
        <v>Male</v>
      </c>
      <c r="Q1199">
        <f>_xlfn.XLOOKUP(Orders[[#This Row],[CustomerID]],Customers[CustomerID],Customers[CustomerAge])</f>
        <v>25</v>
      </c>
      <c r="R1199" t="str">
        <f>IF(Orders[[#This Row],[CustomerAge]]&gt;=35, "Older", "Young")</f>
        <v>Young</v>
      </c>
      <c r="S1199" t="str">
        <f>_xlfn.XLOOKUP(Orders[[#This Row],[ProductID]],Products[ProductID],Products[ProductName])</f>
        <v>Checkers</v>
      </c>
      <c r="T1199" t="str">
        <f>_xlfn.XLOOKUP(Orders[[#This Row],[ProductID]],Products[ProductID],Products[Category])</f>
        <v>Games</v>
      </c>
    </row>
    <row r="1200" spans="1:20" x14ac:dyDescent="0.25">
      <c r="A1200" s="4" t="s">
        <v>1389</v>
      </c>
      <c r="B1200" s="5">
        <v>45948</v>
      </c>
      <c r="C1200" s="15">
        <f>WEEKNUM(Orders[[#This Row],[OrderDate]])</f>
        <v>42</v>
      </c>
      <c r="D1200" s="15" t="str">
        <f>TEXT(Orders[[#This Row],[OrderDate]],"mmmm")</f>
        <v>October</v>
      </c>
      <c r="E1200" s="4" t="s">
        <v>282</v>
      </c>
      <c r="F1200" s="4" t="s">
        <v>232</v>
      </c>
      <c r="G1200" s="4">
        <v>2</v>
      </c>
      <c r="H1200" s="12">
        <v>13757.2</v>
      </c>
      <c r="I1200" s="13">
        <v>11693.62</v>
      </c>
      <c r="J1200" s="13">
        <f>Orders[[#This Row],[Quantity]]*Orders[[#This Row],[Selling Price]]</f>
        <v>27514.400000000001</v>
      </c>
      <c r="K1200" s="13">
        <f>Orders[[#This Row],[Quantity]]*Orders[[#This Row],[Cost Price]]</f>
        <v>23387.24</v>
      </c>
      <c r="L1200" s="13">
        <f>Orders[[#This Row],[Revenue]]-Orders[[#This Row],[Expenses]]</f>
        <v>4127.16</v>
      </c>
      <c r="M1200" t="s">
        <v>2206</v>
      </c>
      <c r="N1200" t="str">
        <f>_xlfn.XLOOKUP(Orders[[#This Row],[CustomerID]],Customers[CustomerID],Customers[CustomerName])</f>
        <v>Bisi Ojo</v>
      </c>
      <c r="O1200" t="str">
        <f>_xlfn.XLOOKUP(Orders[[#This Row],[CustomerID]],Customers[CustomerID],Customers[City])</f>
        <v>Texas</v>
      </c>
      <c r="P1200" t="str">
        <f>_xlfn.XLOOKUP(Orders[[#This Row],[CustomerID]],Customers[CustomerID],Customers[Gender])</f>
        <v>Female</v>
      </c>
      <c r="Q1200">
        <f>_xlfn.XLOOKUP(Orders[[#This Row],[CustomerID]],Customers[CustomerID],Customers[CustomerAge])</f>
        <v>26</v>
      </c>
      <c r="R1200" t="str">
        <f>IF(Orders[[#This Row],[CustomerAge]]&gt;=35, "Older", "Young")</f>
        <v>Young</v>
      </c>
      <c r="S1200" t="str">
        <f>_xlfn.XLOOKUP(Orders[[#This Row],[ProductID]],Products[ProductID],Products[ProductName])</f>
        <v>Ankara</v>
      </c>
      <c r="T1200" t="str">
        <f>_xlfn.XLOOKUP(Orders[[#This Row],[ProductID]],Products[ProductID],Products[Category])</f>
        <v>Clothing</v>
      </c>
    </row>
    <row r="1201" spans="1:20" x14ac:dyDescent="0.25">
      <c r="A1201" s="4" t="s">
        <v>1390</v>
      </c>
      <c r="B1201" s="5">
        <v>45943</v>
      </c>
      <c r="C1201" s="15">
        <f>WEEKNUM(Orders[[#This Row],[OrderDate]])</f>
        <v>42</v>
      </c>
      <c r="D1201" s="15" t="str">
        <f>TEXT(Orders[[#This Row],[OrderDate]],"mmmm")</f>
        <v>October</v>
      </c>
      <c r="E1201" s="4" t="s">
        <v>78</v>
      </c>
      <c r="F1201" s="4" t="s">
        <v>37</v>
      </c>
      <c r="G1201" s="4">
        <v>9</v>
      </c>
      <c r="H1201" s="12">
        <v>7829</v>
      </c>
      <c r="I1201" s="13">
        <v>6654.65</v>
      </c>
      <c r="J1201" s="13">
        <f>Orders[[#This Row],[Quantity]]*Orders[[#This Row],[Selling Price]]</f>
        <v>70461</v>
      </c>
      <c r="K1201" s="13">
        <f>Orders[[#This Row],[Quantity]]*Orders[[#This Row],[Cost Price]]</f>
        <v>59891.85</v>
      </c>
      <c r="L1201" s="13">
        <f>Orders[[#This Row],[Revenue]]-Orders[[#This Row],[Expenses]]</f>
        <v>10569.150000000001</v>
      </c>
      <c r="M1201" t="s">
        <v>2203</v>
      </c>
      <c r="N1201" t="str">
        <f>_xlfn.XLOOKUP(Orders[[#This Row],[CustomerID]],Customers[CustomerID],Customers[CustomerName])</f>
        <v>Chinedu Obi</v>
      </c>
      <c r="O1201" t="str">
        <f>_xlfn.XLOOKUP(Orders[[#This Row],[CustomerID]],Customers[CustomerID],Customers[City])</f>
        <v>Washington</v>
      </c>
      <c r="P1201" t="str">
        <f>_xlfn.XLOOKUP(Orders[[#This Row],[CustomerID]],Customers[CustomerID],Customers[Gender])</f>
        <v>Male</v>
      </c>
      <c r="Q1201">
        <f>_xlfn.XLOOKUP(Orders[[#This Row],[CustomerID]],Customers[CustomerID],Customers[CustomerAge])</f>
        <v>38</v>
      </c>
      <c r="R1201" t="str">
        <f>IF(Orders[[#This Row],[CustomerAge]]&gt;=35, "Older", "Young")</f>
        <v>Older</v>
      </c>
      <c r="S1201" t="str">
        <f>_xlfn.XLOOKUP(Orders[[#This Row],[ProductID]],Products[ProductID],Products[ProductName])</f>
        <v>Iron</v>
      </c>
      <c r="T1201" t="str">
        <f>_xlfn.XLOOKUP(Orders[[#This Row],[ProductID]],Products[ProductID],Products[Category])</f>
        <v>Electronics</v>
      </c>
    </row>
    <row r="1202" spans="1:20" x14ac:dyDescent="0.25">
      <c r="A1202" s="4" t="s">
        <v>1391</v>
      </c>
      <c r="B1202" s="5">
        <v>45985</v>
      </c>
      <c r="C1202" s="15">
        <f>WEEKNUM(Orders[[#This Row],[OrderDate]])</f>
        <v>48</v>
      </c>
      <c r="D1202" s="15" t="str">
        <f>TEXT(Orders[[#This Row],[OrderDate]],"mmmm")</f>
        <v>November</v>
      </c>
      <c r="E1202" s="4" t="s">
        <v>343</v>
      </c>
      <c r="F1202" s="4" t="s">
        <v>120</v>
      </c>
      <c r="G1202" s="4">
        <v>2</v>
      </c>
      <c r="H1202" s="12">
        <v>5594.0999999999995</v>
      </c>
      <c r="I1202" s="13">
        <v>4754.9849999999997</v>
      </c>
      <c r="J1202" s="13">
        <f>Orders[[#This Row],[Quantity]]*Orders[[#This Row],[Selling Price]]</f>
        <v>11188.199999999999</v>
      </c>
      <c r="K1202" s="13">
        <f>Orders[[#This Row],[Quantity]]*Orders[[#This Row],[Cost Price]]</f>
        <v>9509.9699999999993</v>
      </c>
      <c r="L1202" s="13">
        <f>Orders[[#This Row],[Revenue]]-Orders[[#This Row],[Expenses]]</f>
        <v>1678.2299999999996</v>
      </c>
      <c r="M1202" t="s">
        <v>2195</v>
      </c>
      <c r="N1202" t="str">
        <f>_xlfn.XLOOKUP(Orders[[#This Row],[CustomerID]],Customers[CustomerID],Customers[CustomerName])</f>
        <v>Ronke Obi</v>
      </c>
      <c r="O1202" t="str">
        <f>_xlfn.XLOOKUP(Orders[[#This Row],[CustomerID]],Customers[CustomerID],Customers[City])</f>
        <v>Washington</v>
      </c>
      <c r="P1202" t="str">
        <f>_xlfn.XLOOKUP(Orders[[#This Row],[CustomerID]],Customers[CustomerID],Customers[Gender])</f>
        <v>Female</v>
      </c>
      <c r="Q1202">
        <f>_xlfn.XLOOKUP(Orders[[#This Row],[CustomerID]],Customers[CustomerID],Customers[CustomerAge])</f>
        <v>31</v>
      </c>
      <c r="R1202" t="str">
        <f>IF(Orders[[#This Row],[CustomerAge]]&gt;=35, "Older", "Young")</f>
        <v>Young</v>
      </c>
      <c r="S1202" t="str">
        <f>_xlfn.XLOOKUP(Orders[[#This Row],[ProductID]],Products[ProductID],Products[ProductName])</f>
        <v>Chess</v>
      </c>
      <c r="T1202" t="str">
        <f>_xlfn.XLOOKUP(Orders[[#This Row],[ProductID]],Products[ProductID],Products[Category])</f>
        <v>Games</v>
      </c>
    </row>
    <row r="1203" spans="1:20" x14ac:dyDescent="0.25">
      <c r="A1203" s="4" t="s">
        <v>1392</v>
      </c>
      <c r="B1203" s="5">
        <v>45988</v>
      </c>
      <c r="C1203" s="15">
        <f>WEEKNUM(Orders[[#This Row],[OrderDate]])</f>
        <v>48</v>
      </c>
      <c r="D1203" s="15" t="str">
        <f>TEXT(Orders[[#This Row],[OrderDate]],"mmmm")</f>
        <v>November</v>
      </c>
      <c r="E1203" s="4" t="s">
        <v>8</v>
      </c>
      <c r="F1203" s="4" t="s">
        <v>23</v>
      </c>
      <c r="G1203" s="4">
        <v>2</v>
      </c>
      <c r="H1203" s="12">
        <v>19178.099999999999</v>
      </c>
      <c r="I1203" s="13">
        <v>16301.384999999998</v>
      </c>
      <c r="J1203" s="13">
        <f>Orders[[#This Row],[Quantity]]*Orders[[#This Row],[Selling Price]]</f>
        <v>38356.199999999997</v>
      </c>
      <c r="K1203" s="13">
        <f>Orders[[#This Row],[Quantity]]*Orders[[#This Row],[Cost Price]]</f>
        <v>32602.769999999997</v>
      </c>
      <c r="L1203" s="13">
        <f>Orders[[#This Row],[Revenue]]-Orders[[#This Row],[Expenses]]</f>
        <v>5753.43</v>
      </c>
      <c r="M1203" t="s">
        <v>2218</v>
      </c>
      <c r="N1203" t="str">
        <f>_xlfn.XLOOKUP(Orders[[#This Row],[CustomerID]],Customers[CustomerID],Customers[CustomerName])</f>
        <v>Bi si Bello</v>
      </c>
      <c r="O1203" t="str">
        <f>_xlfn.XLOOKUP(Orders[[#This Row],[CustomerID]],Customers[CustomerID],Customers[City])</f>
        <v>Washington</v>
      </c>
      <c r="P1203" t="str">
        <f>_xlfn.XLOOKUP(Orders[[#This Row],[CustomerID]],Customers[CustomerID],Customers[Gender])</f>
        <v>Female</v>
      </c>
      <c r="Q1203">
        <f>_xlfn.XLOOKUP(Orders[[#This Row],[CustomerID]],Customers[CustomerID],Customers[CustomerAge])</f>
        <v>38</v>
      </c>
      <c r="R1203" t="str">
        <f>IF(Orders[[#This Row],[CustomerAge]]&gt;=35, "Older", "Young")</f>
        <v>Older</v>
      </c>
      <c r="S1203" t="str">
        <f>_xlfn.XLOOKUP(Orders[[#This Row],[ProductID]],Products[ProductID],Products[ProductName])</f>
        <v>Gym Gloves</v>
      </c>
      <c r="T1203" t="str">
        <f>_xlfn.XLOOKUP(Orders[[#This Row],[ProductID]],Products[ProductID],Products[Category])</f>
        <v>Gym</v>
      </c>
    </row>
    <row r="1204" spans="1:20" x14ac:dyDescent="0.25">
      <c r="A1204" s="4" t="s">
        <v>1393</v>
      </c>
      <c r="B1204" s="5">
        <v>45995</v>
      </c>
      <c r="C1204" s="15">
        <f>WEEKNUM(Orders[[#This Row],[OrderDate]])</f>
        <v>49</v>
      </c>
      <c r="D1204" s="15" t="str">
        <f>TEXT(Orders[[#This Row],[OrderDate]],"mmmm")</f>
        <v>December</v>
      </c>
      <c r="E1204" s="4" t="s">
        <v>346</v>
      </c>
      <c r="F1204" s="4" t="s">
        <v>23</v>
      </c>
      <c r="G1204" s="4">
        <v>1</v>
      </c>
      <c r="H1204" s="12">
        <v>3456.6000000000004</v>
      </c>
      <c r="I1204" s="13">
        <v>2938.1100000000006</v>
      </c>
      <c r="J1204" s="13">
        <f>Orders[[#This Row],[Quantity]]*Orders[[#This Row],[Selling Price]]</f>
        <v>3456.6000000000004</v>
      </c>
      <c r="K1204" s="13">
        <f>Orders[[#This Row],[Quantity]]*Orders[[#This Row],[Cost Price]]</f>
        <v>2938.1100000000006</v>
      </c>
      <c r="L1204" s="13">
        <f>Orders[[#This Row],[Revenue]]-Orders[[#This Row],[Expenses]]</f>
        <v>518.48999999999978</v>
      </c>
      <c r="M1204" t="s">
        <v>2205</v>
      </c>
      <c r="N1204" t="str">
        <f>_xlfn.XLOOKUP(Orders[[#This Row],[CustomerID]],Customers[CustomerID],Customers[CustomerName])</f>
        <v>Ngozi Danladi</v>
      </c>
      <c r="O1204" t="str">
        <f>_xlfn.XLOOKUP(Orders[[#This Row],[CustomerID]],Customers[CustomerID],Customers[City])</f>
        <v>California</v>
      </c>
      <c r="P1204" t="str">
        <f>_xlfn.XLOOKUP(Orders[[#This Row],[CustomerID]],Customers[CustomerID],Customers[Gender])</f>
        <v>Female</v>
      </c>
      <c r="Q1204">
        <f>_xlfn.XLOOKUP(Orders[[#This Row],[CustomerID]],Customers[CustomerID],Customers[CustomerAge])</f>
        <v>30</v>
      </c>
      <c r="R1204" t="str">
        <f>IF(Orders[[#This Row],[CustomerAge]]&gt;=35, "Older", "Young")</f>
        <v>Young</v>
      </c>
      <c r="S1204" t="str">
        <f>_xlfn.XLOOKUP(Orders[[#This Row],[ProductID]],Products[ProductID],Products[ProductName])</f>
        <v>Gym Gloves</v>
      </c>
      <c r="T1204" t="str">
        <f>_xlfn.XLOOKUP(Orders[[#This Row],[ProductID]],Products[ProductID],Products[Category])</f>
        <v>Gym</v>
      </c>
    </row>
    <row r="1205" spans="1:20" x14ac:dyDescent="0.25">
      <c r="A1205" s="4" t="s">
        <v>1394</v>
      </c>
      <c r="B1205" s="5">
        <v>45978</v>
      </c>
      <c r="C1205" s="15">
        <f>WEEKNUM(Orders[[#This Row],[OrderDate]])</f>
        <v>47</v>
      </c>
      <c r="D1205" s="15" t="str">
        <f>TEXT(Orders[[#This Row],[OrderDate]],"mmmm")</f>
        <v>November</v>
      </c>
      <c r="E1205" s="4" t="s">
        <v>73</v>
      </c>
      <c r="F1205" s="4" t="s">
        <v>23</v>
      </c>
      <c r="G1205" s="4">
        <v>10</v>
      </c>
      <c r="H1205" s="12">
        <v>11799.9</v>
      </c>
      <c r="I1205" s="13">
        <v>10029.914999999999</v>
      </c>
      <c r="J1205" s="13">
        <f>Orders[[#This Row],[Quantity]]*Orders[[#This Row],[Selling Price]]</f>
        <v>117999</v>
      </c>
      <c r="K1205" s="13">
        <f>Orders[[#This Row],[Quantity]]*Orders[[#This Row],[Cost Price]]</f>
        <v>100299.15</v>
      </c>
      <c r="L1205" s="13">
        <f>Orders[[#This Row],[Revenue]]-Orders[[#This Row],[Expenses]]</f>
        <v>17699.850000000006</v>
      </c>
      <c r="M1205" t="s">
        <v>2200</v>
      </c>
      <c r="N1205" t="str">
        <f>_xlfn.XLOOKUP(Orders[[#This Row],[CustomerID]],Customers[CustomerID],Customers[CustomerName])</f>
        <v>Ronke Okonkwo</v>
      </c>
      <c r="O1205" t="str">
        <f>_xlfn.XLOOKUP(Orders[[#This Row],[CustomerID]],Customers[CustomerID],Customers[City])</f>
        <v>California</v>
      </c>
      <c r="P1205" t="str">
        <f>_xlfn.XLOOKUP(Orders[[#This Row],[CustomerID]],Customers[CustomerID],Customers[Gender])</f>
        <v>Female</v>
      </c>
      <c r="Q1205">
        <f>_xlfn.XLOOKUP(Orders[[#This Row],[CustomerID]],Customers[CustomerID],Customers[CustomerAge])</f>
        <v>20</v>
      </c>
      <c r="R1205" t="str">
        <f>IF(Orders[[#This Row],[CustomerAge]]&gt;=35, "Older", "Young")</f>
        <v>Young</v>
      </c>
      <c r="S1205" t="str">
        <f>_xlfn.XLOOKUP(Orders[[#This Row],[ProductID]],Products[ProductID],Products[ProductName])</f>
        <v>Gym Gloves</v>
      </c>
      <c r="T1205" t="str">
        <f>_xlfn.XLOOKUP(Orders[[#This Row],[ProductID]],Products[ProductID],Products[Category])</f>
        <v>Gym</v>
      </c>
    </row>
    <row r="1206" spans="1:20" x14ac:dyDescent="0.25">
      <c r="A1206" s="4" t="s">
        <v>1395</v>
      </c>
      <c r="B1206" s="5">
        <v>46021</v>
      </c>
      <c r="C1206" s="15">
        <f>WEEKNUM(Orders[[#This Row],[OrderDate]])</f>
        <v>53</v>
      </c>
      <c r="D1206" s="15" t="str">
        <f>TEXT(Orders[[#This Row],[OrderDate]],"mmmm")</f>
        <v>December</v>
      </c>
      <c r="E1206" s="4" t="s">
        <v>212</v>
      </c>
      <c r="F1206" s="4" t="s">
        <v>12</v>
      </c>
      <c r="G1206" s="4">
        <v>3</v>
      </c>
      <c r="H1206" s="12">
        <v>16764</v>
      </c>
      <c r="I1206" s="13">
        <v>14249.4</v>
      </c>
      <c r="J1206" s="13">
        <f>Orders[[#This Row],[Quantity]]*Orders[[#This Row],[Selling Price]]</f>
        <v>50292</v>
      </c>
      <c r="K1206" s="13">
        <f>Orders[[#This Row],[Quantity]]*Orders[[#This Row],[Cost Price]]</f>
        <v>42748.2</v>
      </c>
      <c r="L1206" s="13">
        <f>Orders[[#This Row],[Revenue]]-Orders[[#This Row],[Expenses]]</f>
        <v>7543.8000000000029</v>
      </c>
      <c r="M1206" t="s">
        <v>2219</v>
      </c>
      <c r="N1206" t="str">
        <f>_xlfn.XLOOKUP(Orders[[#This Row],[CustomerID]],Customers[CustomerID],Customers[CustomerName])</f>
        <v>Ngozi Ojo</v>
      </c>
      <c r="O1206" t="str">
        <f>_xlfn.XLOOKUP(Orders[[#This Row],[CustomerID]],Customers[CustomerID],Customers[City])</f>
        <v>Illinois</v>
      </c>
      <c r="P1206" t="str">
        <f>_xlfn.XLOOKUP(Orders[[#This Row],[CustomerID]],Customers[CustomerID],Customers[Gender])</f>
        <v>Female</v>
      </c>
      <c r="Q1206">
        <f>_xlfn.XLOOKUP(Orders[[#This Row],[CustomerID]],Customers[CustomerID],Customers[CustomerAge])</f>
        <v>53</v>
      </c>
      <c r="R1206" t="str">
        <f>IF(Orders[[#This Row],[CustomerAge]]&gt;=35, "Older", "Young")</f>
        <v>Older</v>
      </c>
      <c r="S1206" t="str">
        <f>_xlfn.XLOOKUP(Orders[[#This Row],[ProductID]],Products[ProductID],Products[ProductName])</f>
        <v>Boubou</v>
      </c>
      <c r="T1206" t="str">
        <f>_xlfn.XLOOKUP(Orders[[#This Row],[ProductID]],Products[ProductID],Products[Category])</f>
        <v>Clothing</v>
      </c>
    </row>
    <row r="1207" spans="1:20" x14ac:dyDescent="0.25">
      <c r="A1207" s="4" t="s">
        <v>1396</v>
      </c>
      <c r="B1207" s="5">
        <v>45980</v>
      </c>
      <c r="C1207" s="15">
        <f>WEEKNUM(Orders[[#This Row],[OrderDate]])</f>
        <v>47</v>
      </c>
      <c r="D1207" s="15" t="str">
        <f>TEXT(Orders[[#This Row],[OrderDate]],"mmmm")</f>
        <v>November</v>
      </c>
      <c r="E1207" s="4" t="s">
        <v>244</v>
      </c>
      <c r="F1207" s="4" t="s">
        <v>84</v>
      </c>
      <c r="G1207" s="4">
        <v>4</v>
      </c>
      <c r="H1207" s="12">
        <v>10314.400000000001</v>
      </c>
      <c r="I1207" s="13">
        <v>8767.2400000000016</v>
      </c>
      <c r="J1207" s="13">
        <f>Orders[[#This Row],[Quantity]]*Orders[[#This Row],[Selling Price]]</f>
        <v>41257.600000000006</v>
      </c>
      <c r="K1207" s="13">
        <f>Orders[[#This Row],[Quantity]]*Orders[[#This Row],[Cost Price]]</f>
        <v>35068.960000000006</v>
      </c>
      <c r="L1207" s="13">
        <f>Orders[[#This Row],[Revenue]]-Orders[[#This Row],[Expenses]]</f>
        <v>6188.6399999999994</v>
      </c>
      <c r="M1207" t="s">
        <v>2203</v>
      </c>
      <c r="N1207" t="str">
        <f>_xlfn.XLOOKUP(Orders[[#This Row],[CustomerID]],Customers[CustomerID],Customers[CustomerName])</f>
        <v>Zainab Abubakar</v>
      </c>
      <c r="O1207" t="str">
        <f>_xlfn.XLOOKUP(Orders[[#This Row],[CustomerID]],Customers[CustomerID],Customers[City])</f>
        <v>Texas</v>
      </c>
      <c r="P1207" t="str">
        <f>_xlfn.XLOOKUP(Orders[[#This Row],[CustomerID]],Customers[CustomerID],Customers[Gender])</f>
        <v>Female</v>
      </c>
      <c r="Q1207">
        <f>_xlfn.XLOOKUP(Orders[[#This Row],[CustomerID]],Customers[CustomerID],Customers[CustomerAge])</f>
        <v>33</v>
      </c>
      <c r="R1207" t="str">
        <f>IF(Orders[[#This Row],[CustomerAge]]&gt;=35, "Older", "Young")</f>
        <v>Young</v>
      </c>
      <c r="S1207" t="str">
        <f>_xlfn.XLOOKUP(Orders[[#This Row],[ProductID]],Products[ProductID],Products[ProductName])</f>
        <v>Gym Wears</v>
      </c>
      <c r="T1207" t="str">
        <f>_xlfn.XLOOKUP(Orders[[#This Row],[ProductID]],Products[ProductID],Products[Category])</f>
        <v>Clothing</v>
      </c>
    </row>
    <row r="1208" spans="1:20" x14ac:dyDescent="0.25">
      <c r="A1208" s="4" t="s">
        <v>1397</v>
      </c>
      <c r="B1208" s="5">
        <v>46005</v>
      </c>
      <c r="C1208" s="15">
        <f>WEEKNUM(Orders[[#This Row],[OrderDate]])</f>
        <v>51</v>
      </c>
      <c r="D1208" s="15" t="str">
        <f>TEXT(Orders[[#This Row],[OrderDate]],"mmmm")</f>
        <v>December</v>
      </c>
      <c r="E1208" s="4" t="s">
        <v>940</v>
      </c>
      <c r="F1208" s="4" t="s">
        <v>25</v>
      </c>
      <c r="G1208" s="4">
        <v>10</v>
      </c>
      <c r="H1208" s="12">
        <v>9589.1999999999989</v>
      </c>
      <c r="I1208" s="13">
        <v>8150.8199999999988</v>
      </c>
      <c r="J1208" s="13">
        <f>Orders[[#This Row],[Quantity]]*Orders[[#This Row],[Selling Price]]</f>
        <v>95891.999999999985</v>
      </c>
      <c r="K1208" s="13">
        <f>Orders[[#This Row],[Quantity]]*Orders[[#This Row],[Cost Price]]</f>
        <v>81508.199999999983</v>
      </c>
      <c r="L1208" s="13">
        <f>Orders[[#This Row],[Revenue]]-Orders[[#This Row],[Expenses]]</f>
        <v>14383.800000000003</v>
      </c>
      <c r="M1208" t="s">
        <v>2197</v>
      </c>
      <c r="N1208" t="str">
        <f>_xlfn.XLOOKUP(Orders[[#This Row],[CustomerID]],Customers[CustomerID],Customers[CustomerName])</f>
        <v>Okon Ojo</v>
      </c>
      <c r="O1208" t="str">
        <f>_xlfn.XLOOKUP(Orders[[#This Row],[CustomerID]],Customers[CustomerID],Customers[City])</f>
        <v>Texas</v>
      </c>
      <c r="P1208" t="str">
        <f>_xlfn.XLOOKUP(Orders[[#This Row],[CustomerID]],Customers[CustomerID],Customers[Gender])</f>
        <v>Male</v>
      </c>
      <c r="Q1208">
        <f>_xlfn.XLOOKUP(Orders[[#This Row],[CustomerID]],Customers[CustomerID],Customers[CustomerAge])</f>
        <v>25</v>
      </c>
      <c r="R1208" t="str">
        <f>IF(Orders[[#This Row],[CustomerAge]]&gt;=35, "Older", "Young")</f>
        <v>Young</v>
      </c>
      <c r="S1208" t="str">
        <f>_xlfn.XLOOKUP(Orders[[#This Row],[ProductID]],Products[ProductID],Products[ProductName])</f>
        <v>Gold Rings</v>
      </c>
      <c r="T1208" t="str">
        <f>_xlfn.XLOOKUP(Orders[[#This Row],[ProductID]],Products[ProductID],Products[Category])</f>
        <v>Accessories</v>
      </c>
    </row>
    <row r="1209" spans="1:20" x14ac:dyDescent="0.25">
      <c r="A1209" s="4" t="s">
        <v>1398</v>
      </c>
      <c r="B1209" s="5">
        <v>45944</v>
      </c>
      <c r="C1209" s="15">
        <f>WEEKNUM(Orders[[#This Row],[OrderDate]])</f>
        <v>42</v>
      </c>
      <c r="D1209" s="15" t="str">
        <f>TEXT(Orders[[#This Row],[OrderDate]],"mmmm")</f>
        <v>October</v>
      </c>
      <c r="E1209" s="4" t="s">
        <v>184</v>
      </c>
      <c r="F1209" s="4" t="s">
        <v>25</v>
      </c>
      <c r="G1209" s="4">
        <v>3</v>
      </c>
      <c r="H1209" s="12">
        <v>19630.599999999999</v>
      </c>
      <c r="I1209" s="13">
        <v>16686.009999999998</v>
      </c>
      <c r="J1209" s="13">
        <f>Orders[[#This Row],[Quantity]]*Orders[[#This Row],[Selling Price]]</f>
        <v>58891.799999999996</v>
      </c>
      <c r="K1209" s="13">
        <f>Orders[[#This Row],[Quantity]]*Orders[[#This Row],[Cost Price]]</f>
        <v>50058.03</v>
      </c>
      <c r="L1209" s="13">
        <f>Orders[[#This Row],[Revenue]]-Orders[[#This Row],[Expenses]]</f>
        <v>8833.7699999999968</v>
      </c>
      <c r="M1209" t="s">
        <v>2199</v>
      </c>
      <c r="N1209" t="str">
        <f>_xlfn.XLOOKUP(Orders[[#This Row],[CustomerID]],Customers[CustomerID],Customers[CustomerName])</f>
        <v>Ngozi Obi</v>
      </c>
      <c r="O1209" t="str">
        <f>_xlfn.XLOOKUP(Orders[[#This Row],[CustomerID]],Customers[CustomerID],Customers[City])</f>
        <v>Washington</v>
      </c>
      <c r="P1209" t="str">
        <f>_xlfn.XLOOKUP(Orders[[#This Row],[CustomerID]],Customers[CustomerID],Customers[Gender])</f>
        <v>Female</v>
      </c>
      <c r="Q1209">
        <f>_xlfn.XLOOKUP(Orders[[#This Row],[CustomerID]],Customers[CustomerID],Customers[CustomerAge])</f>
        <v>32</v>
      </c>
      <c r="R1209" t="str">
        <f>IF(Orders[[#This Row],[CustomerAge]]&gt;=35, "Older", "Young")</f>
        <v>Young</v>
      </c>
      <c r="S1209" t="str">
        <f>_xlfn.XLOOKUP(Orders[[#This Row],[ProductID]],Products[ProductID],Products[ProductName])</f>
        <v>Gold Rings</v>
      </c>
      <c r="T1209" t="str">
        <f>_xlfn.XLOOKUP(Orders[[#This Row],[ProductID]],Products[ProductID],Products[Category])</f>
        <v>Accessories</v>
      </c>
    </row>
    <row r="1210" spans="1:20" x14ac:dyDescent="0.25">
      <c r="A1210" s="4" t="s">
        <v>1399</v>
      </c>
      <c r="B1210" s="5">
        <v>46013</v>
      </c>
      <c r="C1210" s="15">
        <f>WEEKNUM(Orders[[#This Row],[OrderDate]])</f>
        <v>52</v>
      </c>
      <c r="D1210" s="15" t="str">
        <f>TEXT(Orders[[#This Row],[OrderDate]],"mmmm")</f>
        <v>December</v>
      </c>
      <c r="E1210" s="4" t="s">
        <v>116</v>
      </c>
      <c r="F1210" s="4" t="s">
        <v>34</v>
      </c>
      <c r="G1210" s="4">
        <v>4</v>
      </c>
      <c r="H1210" s="12">
        <v>11474.5</v>
      </c>
      <c r="I1210" s="13">
        <v>9753.3250000000007</v>
      </c>
      <c r="J1210" s="13">
        <f>Orders[[#This Row],[Quantity]]*Orders[[#This Row],[Selling Price]]</f>
        <v>45898</v>
      </c>
      <c r="K1210" s="13">
        <f>Orders[[#This Row],[Quantity]]*Orders[[#This Row],[Cost Price]]</f>
        <v>39013.300000000003</v>
      </c>
      <c r="L1210" s="13">
        <f>Orders[[#This Row],[Revenue]]-Orders[[#This Row],[Expenses]]</f>
        <v>6884.6999999999971</v>
      </c>
      <c r="M1210" t="s">
        <v>2207</v>
      </c>
      <c r="N1210" t="str">
        <f>_xlfn.XLOOKUP(Orders[[#This Row],[CustomerID]],Customers[CustomerID],Customers[CustomerName])</f>
        <v>Uche Bello</v>
      </c>
      <c r="O1210" t="str">
        <f>_xlfn.XLOOKUP(Orders[[#This Row],[CustomerID]],Customers[CustomerID],Customers[City])</f>
        <v>Texas</v>
      </c>
      <c r="P1210" t="str">
        <f>_xlfn.XLOOKUP(Orders[[#This Row],[CustomerID]],Customers[CustomerID],Customers[Gender])</f>
        <v>Male</v>
      </c>
      <c r="Q1210">
        <f>_xlfn.XLOOKUP(Orders[[#This Row],[CustomerID]],Customers[CustomerID],Customers[CustomerAge])</f>
        <v>21</v>
      </c>
      <c r="R1210" t="str">
        <f>IF(Orders[[#This Row],[CustomerAge]]&gt;=35, "Older", "Young")</f>
        <v>Young</v>
      </c>
      <c r="S1210" t="str">
        <f>_xlfn.XLOOKUP(Orders[[#This Row],[ProductID]],Products[ProductID],Products[ProductName])</f>
        <v>Gold Bracelets</v>
      </c>
      <c r="T1210" t="str">
        <f>_xlfn.XLOOKUP(Orders[[#This Row],[ProductID]],Products[ProductID],Products[Category])</f>
        <v>Accessories</v>
      </c>
    </row>
    <row r="1211" spans="1:20" x14ac:dyDescent="0.25">
      <c r="A1211" s="4" t="s">
        <v>1400</v>
      </c>
      <c r="B1211" s="5">
        <v>46006</v>
      </c>
      <c r="C1211" s="15">
        <f>WEEKNUM(Orders[[#This Row],[OrderDate]])</f>
        <v>51</v>
      </c>
      <c r="D1211" s="15" t="str">
        <f>TEXT(Orders[[#This Row],[OrderDate]],"mmmm")</f>
        <v>December</v>
      </c>
      <c r="E1211" s="4" t="s">
        <v>514</v>
      </c>
      <c r="F1211" s="4" t="s">
        <v>20</v>
      </c>
      <c r="G1211" s="4">
        <v>8</v>
      </c>
      <c r="H1211" s="12">
        <v>14952.3</v>
      </c>
      <c r="I1211" s="13">
        <v>12709.455</v>
      </c>
      <c r="J1211" s="13">
        <f>Orders[[#This Row],[Quantity]]*Orders[[#This Row],[Selling Price]]</f>
        <v>119618.4</v>
      </c>
      <c r="K1211" s="13">
        <f>Orders[[#This Row],[Quantity]]*Orders[[#This Row],[Cost Price]]</f>
        <v>101675.64</v>
      </c>
      <c r="L1211" s="13">
        <f>Orders[[#This Row],[Revenue]]-Orders[[#This Row],[Expenses]]</f>
        <v>17942.759999999995</v>
      </c>
      <c r="M1211" t="s">
        <v>2207</v>
      </c>
      <c r="N1211" t="str">
        <f>_xlfn.XLOOKUP(Orders[[#This Row],[CustomerID]],Customers[CustomerID],Customers[CustomerName])</f>
        <v>Ibrahim Okonkwo</v>
      </c>
      <c r="O1211" t="str">
        <f>_xlfn.XLOOKUP(Orders[[#This Row],[CustomerID]],Customers[CustomerID],Customers[City])</f>
        <v>Florida</v>
      </c>
      <c r="P1211" t="str">
        <f>_xlfn.XLOOKUP(Orders[[#This Row],[CustomerID]],Customers[CustomerID],Customers[Gender])</f>
        <v>Male</v>
      </c>
      <c r="Q1211">
        <f>_xlfn.XLOOKUP(Orders[[#This Row],[CustomerID]],Customers[CustomerID],Customers[CustomerAge])</f>
        <v>28</v>
      </c>
      <c r="R1211" t="str">
        <f>IF(Orders[[#This Row],[CustomerAge]]&gt;=35, "Older", "Young")</f>
        <v>Young</v>
      </c>
      <c r="S1211" t="str">
        <f>_xlfn.XLOOKUP(Orders[[#This Row],[ProductID]],Products[ProductID],Products[ProductName])</f>
        <v>Gym Bag</v>
      </c>
      <c r="T1211" t="str">
        <f>_xlfn.XLOOKUP(Orders[[#This Row],[ProductID]],Products[ProductID],Products[Category])</f>
        <v>Gym</v>
      </c>
    </row>
    <row r="1212" spans="1:20" x14ac:dyDescent="0.25">
      <c r="A1212" s="4" t="s">
        <v>1401</v>
      </c>
      <c r="B1212" s="5">
        <v>45959</v>
      </c>
      <c r="C1212" s="15">
        <f>WEEKNUM(Orders[[#This Row],[OrderDate]])</f>
        <v>44</v>
      </c>
      <c r="D1212" s="15" t="str">
        <f>TEXT(Orders[[#This Row],[OrderDate]],"mmmm")</f>
        <v>October</v>
      </c>
      <c r="E1212" s="4" t="s">
        <v>182</v>
      </c>
      <c r="F1212" s="4" t="s">
        <v>15</v>
      </c>
      <c r="G1212" s="4">
        <v>3</v>
      </c>
      <c r="H1212" s="12">
        <v>17901.400000000001</v>
      </c>
      <c r="I1212" s="13">
        <v>15216.190000000002</v>
      </c>
      <c r="J1212" s="13">
        <f>Orders[[#This Row],[Quantity]]*Orders[[#This Row],[Selling Price]]</f>
        <v>53704.200000000004</v>
      </c>
      <c r="K1212" s="13">
        <f>Orders[[#This Row],[Quantity]]*Orders[[#This Row],[Cost Price]]</f>
        <v>45648.570000000007</v>
      </c>
      <c r="L1212" s="13">
        <f>Orders[[#This Row],[Revenue]]-Orders[[#This Row],[Expenses]]</f>
        <v>8055.6299999999974</v>
      </c>
      <c r="M1212" t="s">
        <v>2195</v>
      </c>
      <c r="N1212" t="str">
        <f>_xlfn.XLOOKUP(Orders[[#This Row],[CustomerID]],Customers[CustomerID],Customers[CustomerName])</f>
        <v>Abiola Okonkwo</v>
      </c>
      <c r="O1212" t="str">
        <f>_xlfn.XLOOKUP(Orders[[#This Row],[CustomerID]],Customers[CustomerID],Customers[City])</f>
        <v>Georgia</v>
      </c>
      <c r="P1212" t="str">
        <f>_xlfn.XLOOKUP(Orders[[#This Row],[CustomerID]],Customers[CustomerID],Customers[Gender])</f>
        <v>Male</v>
      </c>
      <c r="Q1212">
        <f>_xlfn.XLOOKUP(Orders[[#This Row],[CustomerID]],Customers[CustomerID],Customers[CustomerAge])</f>
        <v>39</v>
      </c>
      <c r="R1212" t="str">
        <f>IF(Orders[[#This Row],[CustomerAge]]&gt;=35, "Older", "Young")</f>
        <v>Older</v>
      </c>
      <c r="S1212" t="str">
        <f>_xlfn.XLOOKUP(Orders[[#This Row],[ProductID]],Products[ProductID],Products[ProductName])</f>
        <v>Monopoly</v>
      </c>
      <c r="T1212" t="str">
        <f>_xlfn.XLOOKUP(Orders[[#This Row],[ProductID]],Products[ProductID],Products[Category])</f>
        <v>Games</v>
      </c>
    </row>
    <row r="1213" spans="1:20" x14ac:dyDescent="0.25">
      <c r="A1213" s="4" t="s">
        <v>1402</v>
      </c>
      <c r="B1213" s="5">
        <v>46003</v>
      </c>
      <c r="C1213" s="15">
        <f>WEEKNUM(Orders[[#This Row],[OrderDate]])</f>
        <v>50</v>
      </c>
      <c r="D1213" s="15" t="str">
        <f>TEXT(Orders[[#This Row],[OrderDate]],"mmmm")</f>
        <v>December</v>
      </c>
      <c r="E1213" s="4" t="s">
        <v>435</v>
      </c>
      <c r="F1213" s="4" t="s">
        <v>60</v>
      </c>
      <c r="G1213" s="4">
        <v>6</v>
      </c>
      <c r="H1213" s="12">
        <v>14888.800000000001</v>
      </c>
      <c r="I1213" s="13">
        <v>12655.480000000001</v>
      </c>
      <c r="J1213" s="13">
        <f>Orders[[#This Row],[Quantity]]*Orders[[#This Row],[Selling Price]]</f>
        <v>89332.800000000003</v>
      </c>
      <c r="K1213" s="13">
        <f>Orders[[#This Row],[Quantity]]*Orders[[#This Row],[Cost Price]]</f>
        <v>75932.88</v>
      </c>
      <c r="L1213" s="13">
        <f>Orders[[#This Row],[Revenue]]-Orders[[#This Row],[Expenses]]</f>
        <v>13399.919999999998</v>
      </c>
      <c r="M1213" t="s">
        <v>2208</v>
      </c>
      <c r="N1213" t="str">
        <f>_xlfn.XLOOKUP(Orders[[#This Row],[CustomerID]],Customers[CustomerID],Customers[CustomerName])</f>
        <v>Amina Balogun</v>
      </c>
      <c r="O1213" t="str">
        <f>_xlfn.XLOOKUP(Orders[[#This Row],[CustomerID]],Customers[CustomerID],Customers[City])</f>
        <v>Texas</v>
      </c>
      <c r="P1213" t="str">
        <f>_xlfn.XLOOKUP(Orders[[#This Row],[CustomerID]],Customers[CustomerID],Customers[Gender])</f>
        <v>Female</v>
      </c>
      <c r="Q1213">
        <f>_xlfn.XLOOKUP(Orders[[#This Row],[CustomerID]],Customers[CustomerID],Customers[CustomerAge])</f>
        <v>32</v>
      </c>
      <c r="R1213" t="str">
        <f>IF(Orders[[#This Row],[CustomerAge]]&gt;=35, "Older", "Young")</f>
        <v>Young</v>
      </c>
      <c r="S1213" t="str">
        <f>_xlfn.XLOOKUP(Orders[[#This Row],[ProductID]],Products[ProductID],Products[ProductName])</f>
        <v>Silver Rings</v>
      </c>
      <c r="T1213" t="str">
        <f>_xlfn.XLOOKUP(Orders[[#This Row],[ProductID]],Products[ProductID],Products[Category])</f>
        <v>Accessories</v>
      </c>
    </row>
    <row r="1214" spans="1:20" x14ac:dyDescent="0.25">
      <c r="A1214" s="4" t="s">
        <v>1403</v>
      </c>
      <c r="B1214" s="5">
        <v>45942</v>
      </c>
      <c r="C1214" s="15">
        <f>WEEKNUM(Orders[[#This Row],[OrderDate]])</f>
        <v>42</v>
      </c>
      <c r="D1214" s="15" t="str">
        <f>TEXT(Orders[[#This Row],[OrderDate]],"mmmm")</f>
        <v>October</v>
      </c>
      <c r="E1214" s="4" t="s">
        <v>514</v>
      </c>
      <c r="F1214" s="4" t="s">
        <v>37</v>
      </c>
      <c r="G1214" s="4">
        <v>3</v>
      </c>
      <c r="H1214" s="12">
        <v>15832.7</v>
      </c>
      <c r="I1214" s="13">
        <v>13457.795</v>
      </c>
      <c r="J1214" s="13">
        <f>Orders[[#This Row],[Quantity]]*Orders[[#This Row],[Selling Price]]</f>
        <v>47498.100000000006</v>
      </c>
      <c r="K1214" s="13">
        <f>Orders[[#This Row],[Quantity]]*Orders[[#This Row],[Cost Price]]</f>
        <v>40373.385000000002</v>
      </c>
      <c r="L1214" s="13">
        <f>Orders[[#This Row],[Revenue]]-Orders[[#This Row],[Expenses]]</f>
        <v>7124.7150000000038</v>
      </c>
      <c r="M1214" t="s">
        <v>2215</v>
      </c>
      <c r="N1214" t="str">
        <f>_xlfn.XLOOKUP(Orders[[#This Row],[CustomerID]],Customers[CustomerID],Customers[CustomerName])</f>
        <v>Ibrahim Okonkwo</v>
      </c>
      <c r="O1214" t="str">
        <f>_xlfn.XLOOKUP(Orders[[#This Row],[CustomerID]],Customers[CustomerID],Customers[City])</f>
        <v>Florida</v>
      </c>
      <c r="P1214" t="str">
        <f>_xlfn.XLOOKUP(Orders[[#This Row],[CustomerID]],Customers[CustomerID],Customers[Gender])</f>
        <v>Male</v>
      </c>
      <c r="Q1214">
        <f>_xlfn.XLOOKUP(Orders[[#This Row],[CustomerID]],Customers[CustomerID],Customers[CustomerAge])</f>
        <v>28</v>
      </c>
      <c r="R1214" t="str">
        <f>IF(Orders[[#This Row],[CustomerAge]]&gt;=35, "Older", "Young")</f>
        <v>Young</v>
      </c>
      <c r="S1214" t="str">
        <f>_xlfn.XLOOKUP(Orders[[#This Row],[ProductID]],Products[ProductID],Products[ProductName])</f>
        <v>Iron</v>
      </c>
      <c r="T1214" t="str">
        <f>_xlfn.XLOOKUP(Orders[[#This Row],[ProductID]],Products[ProductID],Products[Category])</f>
        <v>Electronics</v>
      </c>
    </row>
    <row r="1215" spans="1:20" x14ac:dyDescent="0.25">
      <c r="A1215" s="4" t="s">
        <v>1404</v>
      </c>
      <c r="B1215" s="5">
        <v>46002</v>
      </c>
      <c r="C1215" s="15">
        <f>WEEKNUM(Orders[[#This Row],[OrderDate]])</f>
        <v>50</v>
      </c>
      <c r="D1215" s="15" t="str">
        <f>TEXT(Orders[[#This Row],[OrderDate]],"mmmm")</f>
        <v>December</v>
      </c>
      <c r="E1215" s="4" t="s">
        <v>142</v>
      </c>
      <c r="F1215" s="4" t="s">
        <v>92</v>
      </c>
      <c r="G1215" s="4">
        <v>10</v>
      </c>
      <c r="H1215" s="12">
        <v>18316.199999999997</v>
      </c>
      <c r="I1215" s="13">
        <v>15568.769999999997</v>
      </c>
      <c r="J1215" s="13">
        <f>Orders[[#This Row],[Quantity]]*Orders[[#This Row],[Selling Price]]</f>
        <v>183161.99999999997</v>
      </c>
      <c r="K1215" s="13">
        <f>Orders[[#This Row],[Quantity]]*Orders[[#This Row],[Cost Price]]</f>
        <v>155687.69999999995</v>
      </c>
      <c r="L1215" s="13">
        <f>Orders[[#This Row],[Revenue]]-Orders[[#This Row],[Expenses]]</f>
        <v>27474.300000000017</v>
      </c>
      <c r="M1215" t="s">
        <v>2203</v>
      </c>
      <c r="N1215" t="str">
        <f>_xlfn.XLOOKUP(Orders[[#This Row],[CustomerID]],Customers[CustomerID],Customers[CustomerName])</f>
        <v>Obi Adeyemi</v>
      </c>
      <c r="O1215" t="str">
        <f>_xlfn.XLOOKUP(Orders[[#This Row],[CustomerID]],Customers[CustomerID],Customers[City])</f>
        <v>Florida</v>
      </c>
      <c r="P1215" t="str">
        <f>_xlfn.XLOOKUP(Orders[[#This Row],[CustomerID]],Customers[CustomerID],Customers[Gender])</f>
        <v>Male</v>
      </c>
      <c r="Q1215">
        <f>_xlfn.XLOOKUP(Orders[[#This Row],[CustomerID]],Customers[CustomerID],Customers[CustomerAge])</f>
        <v>31</v>
      </c>
      <c r="R1215" t="str">
        <f>IF(Orders[[#This Row],[CustomerAge]]&gt;=35, "Older", "Young")</f>
        <v>Young</v>
      </c>
      <c r="S1215" t="str">
        <f>_xlfn.XLOOKUP(Orders[[#This Row],[ProductID]],Products[ProductID],Products[ProductName])</f>
        <v>Chest Expander</v>
      </c>
      <c r="T1215" t="str">
        <f>_xlfn.XLOOKUP(Orders[[#This Row],[ProductID]],Products[ProductID],Products[Category])</f>
        <v>Gym</v>
      </c>
    </row>
    <row r="1216" spans="1:20" x14ac:dyDescent="0.25">
      <c r="A1216" s="4" t="s">
        <v>1405</v>
      </c>
      <c r="B1216" s="5">
        <v>45951</v>
      </c>
      <c r="C1216" s="15">
        <f>WEEKNUM(Orders[[#This Row],[OrderDate]])</f>
        <v>43</v>
      </c>
      <c r="D1216" s="15" t="str">
        <f>TEXT(Orders[[#This Row],[OrderDate]],"mmmm")</f>
        <v>October</v>
      </c>
      <c r="E1216" s="4" t="s">
        <v>285</v>
      </c>
      <c r="F1216" s="4" t="s">
        <v>60</v>
      </c>
      <c r="G1216" s="4">
        <v>4</v>
      </c>
      <c r="H1216" s="12">
        <v>17009.8</v>
      </c>
      <c r="I1216" s="13">
        <v>14458.33</v>
      </c>
      <c r="J1216" s="13">
        <f>Orders[[#This Row],[Quantity]]*Orders[[#This Row],[Selling Price]]</f>
        <v>68039.199999999997</v>
      </c>
      <c r="K1216" s="13">
        <f>Orders[[#This Row],[Quantity]]*Orders[[#This Row],[Cost Price]]</f>
        <v>57833.32</v>
      </c>
      <c r="L1216" s="13">
        <f>Orders[[#This Row],[Revenue]]-Orders[[#This Row],[Expenses]]</f>
        <v>10205.879999999997</v>
      </c>
      <c r="M1216" t="s">
        <v>2203</v>
      </c>
      <c r="N1216" t="str">
        <f>_xlfn.XLOOKUP(Orders[[#This Row],[CustomerID]],Customers[CustomerID],Customers[CustomerName])</f>
        <v>Sani Balogun</v>
      </c>
      <c r="O1216" t="str">
        <f>_xlfn.XLOOKUP(Orders[[#This Row],[CustomerID]],Customers[CustomerID],Customers[City])</f>
        <v>California</v>
      </c>
      <c r="P1216" t="str">
        <f>_xlfn.XLOOKUP(Orders[[#This Row],[CustomerID]],Customers[CustomerID],Customers[Gender])</f>
        <v>Male</v>
      </c>
      <c r="Q1216">
        <f>_xlfn.XLOOKUP(Orders[[#This Row],[CustomerID]],Customers[CustomerID],Customers[CustomerAge])</f>
        <v>27</v>
      </c>
      <c r="R1216" t="str">
        <f>IF(Orders[[#This Row],[CustomerAge]]&gt;=35, "Older", "Young")</f>
        <v>Young</v>
      </c>
      <c r="S1216" t="str">
        <f>_xlfn.XLOOKUP(Orders[[#This Row],[ProductID]],Products[ProductID],Products[ProductName])</f>
        <v>Silver Rings</v>
      </c>
      <c r="T1216" t="str">
        <f>_xlfn.XLOOKUP(Orders[[#This Row],[ProductID]],Products[ProductID],Products[Category])</f>
        <v>Accessories</v>
      </c>
    </row>
    <row r="1217" spans="1:20" x14ac:dyDescent="0.25">
      <c r="A1217" s="4" t="s">
        <v>1406</v>
      </c>
      <c r="B1217" s="5">
        <v>46005</v>
      </c>
      <c r="C1217" s="15">
        <f>WEEKNUM(Orders[[#This Row],[OrderDate]])</f>
        <v>51</v>
      </c>
      <c r="D1217" s="15" t="str">
        <f>TEXT(Orders[[#This Row],[OrderDate]],"mmmm")</f>
        <v>December</v>
      </c>
      <c r="E1217" s="4" t="s">
        <v>156</v>
      </c>
      <c r="F1217" s="4" t="s">
        <v>151</v>
      </c>
      <c r="G1217" s="4">
        <v>9</v>
      </c>
      <c r="H1217" s="12">
        <v>11677.6</v>
      </c>
      <c r="I1217" s="13">
        <v>9925.9600000000009</v>
      </c>
      <c r="J1217" s="13">
        <f>Orders[[#This Row],[Quantity]]*Orders[[#This Row],[Selling Price]]</f>
        <v>105098.40000000001</v>
      </c>
      <c r="K1217" s="13">
        <f>Orders[[#This Row],[Quantity]]*Orders[[#This Row],[Cost Price]]</f>
        <v>89333.640000000014</v>
      </c>
      <c r="L1217" s="13">
        <f>Orders[[#This Row],[Revenue]]-Orders[[#This Row],[Expenses]]</f>
        <v>15764.759999999995</v>
      </c>
      <c r="M1217" t="s">
        <v>2199</v>
      </c>
      <c r="N1217" t="str">
        <f>_xlfn.XLOOKUP(Orders[[#This Row],[CustomerID]],Customers[CustomerID],Customers[CustomerName])</f>
        <v>Obi Okonkwo</v>
      </c>
      <c r="O1217" t="str">
        <f>_xlfn.XLOOKUP(Orders[[#This Row],[CustomerID]],Customers[CustomerID],Customers[City])</f>
        <v>Florida</v>
      </c>
      <c r="P1217" t="str">
        <f>_xlfn.XLOOKUP(Orders[[#This Row],[CustomerID]],Customers[CustomerID],Customers[Gender])</f>
        <v>Male</v>
      </c>
      <c r="Q1217">
        <f>_xlfn.XLOOKUP(Orders[[#This Row],[CustomerID]],Customers[CustomerID],Customers[CustomerAge])</f>
        <v>52</v>
      </c>
      <c r="R1217" t="str">
        <f>IF(Orders[[#This Row],[CustomerAge]]&gt;=35, "Older", "Young")</f>
        <v>Older</v>
      </c>
      <c r="S1217" t="str">
        <f>_xlfn.XLOOKUP(Orders[[#This Row],[ProductID]],Products[ProductID],Products[ProductName])</f>
        <v>Checkers</v>
      </c>
      <c r="T1217" t="str">
        <f>_xlfn.XLOOKUP(Orders[[#This Row],[ProductID]],Products[ProductID],Products[Category])</f>
        <v>Games</v>
      </c>
    </row>
    <row r="1218" spans="1:20" x14ac:dyDescent="0.25">
      <c r="A1218" s="4" t="s">
        <v>1407</v>
      </c>
      <c r="B1218" s="5">
        <v>45941</v>
      </c>
      <c r="C1218" s="15">
        <f>WEEKNUM(Orders[[#This Row],[OrderDate]])</f>
        <v>41</v>
      </c>
      <c r="D1218" s="15" t="str">
        <f>TEXT(Orders[[#This Row],[OrderDate]],"mmmm")</f>
        <v>October</v>
      </c>
      <c r="E1218" s="4" t="s">
        <v>27</v>
      </c>
      <c r="F1218" s="4" t="s">
        <v>63</v>
      </c>
      <c r="G1218" s="4">
        <v>1</v>
      </c>
      <c r="H1218" s="12">
        <v>586.5</v>
      </c>
      <c r="I1218" s="13">
        <v>498.52499999999998</v>
      </c>
      <c r="J1218" s="13">
        <f>Orders[[#This Row],[Quantity]]*Orders[[#This Row],[Selling Price]]</f>
        <v>586.5</v>
      </c>
      <c r="K1218" s="13">
        <f>Orders[[#This Row],[Quantity]]*Orders[[#This Row],[Cost Price]]</f>
        <v>498.52499999999998</v>
      </c>
      <c r="L1218" s="13">
        <f>Orders[[#This Row],[Revenue]]-Orders[[#This Row],[Expenses]]</f>
        <v>87.975000000000023</v>
      </c>
      <c r="M1218" t="s">
        <v>2218</v>
      </c>
      <c r="N1218" t="str">
        <f>_xlfn.XLOOKUP(Orders[[#This Row],[CustomerID]],Customers[CustomerID],Customers[CustomerName])</f>
        <v>Okon Ojo</v>
      </c>
      <c r="O1218" t="str">
        <f>_xlfn.XLOOKUP(Orders[[#This Row],[CustomerID]],Customers[CustomerID],Customers[City])</f>
        <v>Illinois</v>
      </c>
      <c r="P1218" t="str">
        <f>_xlfn.XLOOKUP(Orders[[#This Row],[CustomerID]],Customers[CustomerID],Customers[Gender])</f>
        <v>Male</v>
      </c>
      <c r="Q1218">
        <f>_xlfn.XLOOKUP(Orders[[#This Row],[CustomerID]],Customers[CustomerID],Customers[CustomerAge])</f>
        <v>32</v>
      </c>
      <c r="R1218" t="str">
        <f>IF(Orders[[#This Row],[CustomerAge]]&gt;=35, "Older", "Young")</f>
        <v>Young</v>
      </c>
      <c r="S1218" t="str">
        <f>_xlfn.XLOOKUP(Orders[[#This Row],[ProductID]],Products[ProductID],Products[ProductName])</f>
        <v>Tennis Bat</v>
      </c>
      <c r="T1218" t="str">
        <f>_xlfn.XLOOKUP(Orders[[#This Row],[ProductID]],Products[ProductID],Products[Category])</f>
        <v>Sports</v>
      </c>
    </row>
    <row r="1219" spans="1:20" x14ac:dyDescent="0.25">
      <c r="A1219" s="4" t="s">
        <v>1408</v>
      </c>
      <c r="B1219" s="5">
        <v>46021</v>
      </c>
      <c r="C1219" s="15">
        <f>WEEKNUM(Orders[[#This Row],[OrderDate]])</f>
        <v>53</v>
      </c>
      <c r="D1219" s="15" t="str">
        <f>TEXT(Orders[[#This Row],[OrderDate]],"mmmm")</f>
        <v>December</v>
      </c>
      <c r="E1219" s="4" t="s">
        <v>468</v>
      </c>
      <c r="F1219" s="4" t="s">
        <v>63</v>
      </c>
      <c r="G1219" s="4">
        <v>6</v>
      </c>
      <c r="H1219" s="12">
        <v>12690</v>
      </c>
      <c r="I1219" s="13">
        <v>10786.5</v>
      </c>
      <c r="J1219" s="13">
        <f>Orders[[#This Row],[Quantity]]*Orders[[#This Row],[Selling Price]]</f>
        <v>76140</v>
      </c>
      <c r="K1219" s="13">
        <f>Orders[[#This Row],[Quantity]]*Orders[[#This Row],[Cost Price]]</f>
        <v>64719</v>
      </c>
      <c r="L1219" s="13">
        <f>Orders[[#This Row],[Revenue]]-Orders[[#This Row],[Expenses]]</f>
        <v>11421</v>
      </c>
      <c r="M1219" t="s">
        <v>2218</v>
      </c>
      <c r="N1219" t="str">
        <f>_xlfn.XLOOKUP(Orders[[#This Row],[CustomerID]],Customers[CustomerID],Customers[CustomerName])</f>
        <v>Chioma Adeyemi</v>
      </c>
      <c r="O1219" t="str">
        <f>_xlfn.XLOOKUP(Orders[[#This Row],[CustomerID]],Customers[CustomerID],Customers[City])</f>
        <v>California</v>
      </c>
      <c r="P1219" t="str">
        <f>_xlfn.XLOOKUP(Orders[[#This Row],[CustomerID]],Customers[CustomerID],Customers[Gender])</f>
        <v>Female</v>
      </c>
      <c r="Q1219">
        <f>_xlfn.XLOOKUP(Orders[[#This Row],[CustomerID]],Customers[CustomerID],Customers[CustomerAge])</f>
        <v>23</v>
      </c>
      <c r="R1219" t="str">
        <f>IF(Orders[[#This Row],[CustomerAge]]&gt;=35, "Older", "Young")</f>
        <v>Young</v>
      </c>
      <c r="S1219" t="str">
        <f>_xlfn.XLOOKUP(Orders[[#This Row],[ProductID]],Products[ProductID],Products[ProductName])</f>
        <v>Tennis Bat</v>
      </c>
      <c r="T1219" t="str">
        <f>_xlfn.XLOOKUP(Orders[[#This Row],[ProductID]],Products[ProductID],Products[Category])</f>
        <v>Sports</v>
      </c>
    </row>
    <row r="1220" spans="1:20" x14ac:dyDescent="0.25">
      <c r="A1220" s="4" t="s">
        <v>1409</v>
      </c>
      <c r="B1220" s="5">
        <v>45981</v>
      </c>
      <c r="C1220" s="15">
        <f>WEEKNUM(Orders[[#This Row],[OrderDate]])</f>
        <v>47</v>
      </c>
      <c r="D1220" s="15" t="str">
        <f>TEXT(Orders[[#This Row],[OrderDate]],"mmmm")</f>
        <v>November</v>
      </c>
      <c r="E1220" s="4" t="s">
        <v>22</v>
      </c>
      <c r="F1220" s="4" t="s">
        <v>37</v>
      </c>
      <c r="G1220" s="4">
        <v>7</v>
      </c>
      <c r="H1220" s="12">
        <v>5694.5</v>
      </c>
      <c r="I1220" s="13">
        <v>4840.3249999999998</v>
      </c>
      <c r="J1220" s="13">
        <f>Orders[[#This Row],[Quantity]]*Orders[[#This Row],[Selling Price]]</f>
        <v>39861.5</v>
      </c>
      <c r="K1220" s="13">
        <f>Orders[[#This Row],[Quantity]]*Orders[[#This Row],[Cost Price]]</f>
        <v>33882.275000000001</v>
      </c>
      <c r="L1220" s="13">
        <f>Orders[[#This Row],[Revenue]]-Orders[[#This Row],[Expenses]]</f>
        <v>5979.2249999999985</v>
      </c>
      <c r="M1220" t="s">
        <v>2205</v>
      </c>
      <c r="N1220" t="str">
        <f>_xlfn.XLOOKUP(Orders[[#This Row],[CustomerID]],Customers[CustomerID],Customers[CustomerName])</f>
        <v>Temi Bello</v>
      </c>
      <c r="O1220" t="str">
        <f>_xlfn.XLOOKUP(Orders[[#This Row],[CustomerID]],Customers[CustomerID],Customers[City])</f>
        <v>Texas</v>
      </c>
      <c r="P1220" t="str">
        <f>_xlfn.XLOOKUP(Orders[[#This Row],[CustomerID]],Customers[CustomerID],Customers[Gender])</f>
        <v>Female</v>
      </c>
      <c r="Q1220">
        <f>_xlfn.XLOOKUP(Orders[[#This Row],[CustomerID]],Customers[CustomerID],Customers[CustomerAge])</f>
        <v>52</v>
      </c>
      <c r="R1220" t="str">
        <f>IF(Orders[[#This Row],[CustomerAge]]&gt;=35, "Older", "Young")</f>
        <v>Older</v>
      </c>
      <c r="S1220" t="str">
        <f>_xlfn.XLOOKUP(Orders[[#This Row],[ProductID]],Products[ProductID],Products[ProductName])</f>
        <v>Iron</v>
      </c>
      <c r="T1220" t="str">
        <f>_xlfn.XLOOKUP(Orders[[#This Row],[ProductID]],Products[ProductID],Products[Category])</f>
        <v>Electronics</v>
      </c>
    </row>
    <row r="1221" spans="1:20" x14ac:dyDescent="0.25">
      <c r="A1221" s="4" t="s">
        <v>1410</v>
      </c>
      <c r="B1221" s="5">
        <v>45946</v>
      </c>
      <c r="C1221" s="15">
        <f>WEEKNUM(Orders[[#This Row],[OrderDate]])</f>
        <v>42</v>
      </c>
      <c r="D1221" s="15" t="str">
        <f>TEXT(Orders[[#This Row],[OrderDate]],"mmmm")</f>
        <v>October</v>
      </c>
      <c r="E1221" s="4" t="s">
        <v>83</v>
      </c>
      <c r="F1221" s="4" t="s">
        <v>53</v>
      </c>
      <c r="G1221" s="4">
        <v>8</v>
      </c>
      <c r="H1221" s="12">
        <v>9082.5</v>
      </c>
      <c r="I1221" s="13">
        <v>7720.125</v>
      </c>
      <c r="J1221" s="13">
        <f>Orders[[#This Row],[Quantity]]*Orders[[#This Row],[Selling Price]]</f>
        <v>72660</v>
      </c>
      <c r="K1221" s="13">
        <f>Orders[[#This Row],[Quantity]]*Orders[[#This Row],[Cost Price]]</f>
        <v>61761</v>
      </c>
      <c r="L1221" s="13">
        <f>Orders[[#This Row],[Revenue]]-Orders[[#This Row],[Expenses]]</f>
        <v>10899</v>
      </c>
      <c r="M1221" t="s">
        <v>2197</v>
      </c>
      <c r="N1221" t="str">
        <f>_xlfn.XLOOKUP(Orders[[#This Row],[CustomerID]],Customers[CustomerID],Customers[CustomerName])</f>
        <v>Funke Danladi</v>
      </c>
      <c r="O1221" t="str">
        <f>_xlfn.XLOOKUP(Orders[[#This Row],[CustomerID]],Customers[CustomerID],Customers[City])</f>
        <v>Florida</v>
      </c>
      <c r="P1221" t="str">
        <f>_xlfn.XLOOKUP(Orders[[#This Row],[CustomerID]],Customers[CustomerID],Customers[Gender])</f>
        <v>Female</v>
      </c>
      <c r="Q1221">
        <f>_xlfn.XLOOKUP(Orders[[#This Row],[CustomerID]],Customers[CustomerID],Customers[CustomerAge])</f>
        <v>26</v>
      </c>
      <c r="R1221" t="str">
        <f>IF(Orders[[#This Row],[CustomerAge]]&gt;=35, "Older", "Young")</f>
        <v>Young</v>
      </c>
      <c r="S1221" t="str">
        <f>_xlfn.XLOOKUP(Orders[[#This Row],[ProductID]],Products[ProductID],Products[ProductName])</f>
        <v>Silver Bangles</v>
      </c>
      <c r="T1221" t="str">
        <f>_xlfn.XLOOKUP(Orders[[#This Row],[ProductID]],Products[ProductID],Products[Category])</f>
        <v>Accessories</v>
      </c>
    </row>
    <row r="1222" spans="1:20" x14ac:dyDescent="0.25">
      <c r="A1222" s="4" t="s">
        <v>1411</v>
      </c>
      <c r="B1222" s="5">
        <v>46007</v>
      </c>
      <c r="C1222" s="15">
        <f>WEEKNUM(Orders[[#This Row],[OrderDate]])</f>
        <v>51</v>
      </c>
      <c r="D1222" s="15" t="str">
        <f>TEXT(Orders[[#This Row],[OrderDate]],"mmmm")</f>
        <v>December</v>
      </c>
      <c r="E1222" s="4" t="s">
        <v>216</v>
      </c>
      <c r="F1222" s="4" t="s">
        <v>232</v>
      </c>
      <c r="G1222" s="4">
        <v>4</v>
      </c>
      <c r="H1222" s="12">
        <v>7723.0999999999995</v>
      </c>
      <c r="I1222" s="13">
        <v>6564.6349999999993</v>
      </c>
      <c r="J1222" s="13">
        <f>Orders[[#This Row],[Quantity]]*Orders[[#This Row],[Selling Price]]</f>
        <v>30892.399999999998</v>
      </c>
      <c r="K1222" s="13">
        <f>Orders[[#This Row],[Quantity]]*Orders[[#This Row],[Cost Price]]</f>
        <v>26258.539999999997</v>
      </c>
      <c r="L1222" s="13">
        <f>Orders[[#This Row],[Revenue]]-Orders[[#This Row],[Expenses]]</f>
        <v>4633.8600000000006</v>
      </c>
      <c r="M1222" t="s">
        <v>2218</v>
      </c>
      <c r="N1222" t="str">
        <f>_xlfn.XLOOKUP(Orders[[#This Row],[CustomerID]],Customers[CustomerID],Customers[CustomerName])</f>
        <v>Ngozi Obi</v>
      </c>
      <c r="O1222" t="str">
        <f>_xlfn.XLOOKUP(Orders[[#This Row],[CustomerID]],Customers[CustomerID],Customers[City])</f>
        <v>California</v>
      </c>
      <c r="P1222" t="str">
        <f>_xlfn.XLOOKUP(Orders[[#This Row],[CustomerID]],Customers[CustomerID],Customers[Gender])</f>
        <v>Female</v>
      </c>
      <c r="Q1222">
        <f>_xlfn.XLOOKUP(Orders[[#This Row],[CustomerID]],Customers[CustomerID],Customers[CustomerAge])</f>
        <v>54</v>
      </c>
      <c r="R1222" t="str">
        <f>IF(Orders[[#This Row],[CustomerAge]]&gt;=35, "Older", "Young")</f>
        <v>Older</v>
      </c>
      <c r="S1222" t="str">
        <f>_xlfn.XLOOKUP(Orders[[#This Row],[ProductID]],Products[ProductID],Products[ProductName])</f>
        <v>Ankara</v>
      </c>
      <c r="T1222" t="str">
        <f>_xlfn.XLOOKUP(Orders[[#This Row],[ProductID]],Products[ProductID],Products[Category])</f>
        <v>Clothing</v>
      </c>
    </row>
    <row r="1223" spans="1:20" x14ac:dyDescent="0.25">
      <c r="A1223" s="4" t="s">
        <v>1412</v>
      </c>
      <c r="B1223" s="5">
        <v>46005</v>
      </c>
      <c r="C1223" s="15">
        <f>WEEKNUM(Orders[[#This Row],[OrderDate]])</f>
        <v>51</v>
      </c>
      <c r="D1223" s="15" t="str">
        <f>TEXT(Orders[[#This Row],[OrderDate]],"mmmm")</f>
        <v>December</v>
      </c>
      <c r="E1223" s="4" t="s">
        <v>239</v>
      </c>
      <c r="F1223" s="4" t="s">
        <v>57</v>
      </c>
      <c r="G1223" s="4">
        <v>8</v>
      </c>
      <c r="H1223" s="12">
        <v>4662.9000000000005</v>
      </c>
      <c r="I1223" s="13">
        <v>3963.4650000000006</v>
      </c>
      <c r="J1223" s="13">
        <f>Orders[[#This Row],[Quantity]]*Orders[[#This Row],[Selling Price]]</f>
        <v>37303.200000000004</v>
      </c>
      <c r="K1223" s="13">
        <f>Orders[[#This Row],[Quantity]]*Orders[[#This Row],[Cost Price]]</f>
        <v>31707.720000000005</v>
      </c>
      <c r="L1223" s="13">
        <f>Orders[[#This Row],[Revenue]]-Orders[[#This Row],[Expenses]]</f>
        <v>5595.48</v>
      </c>
      <c r="M1223" t="s">
        <v>2201</v>
      </c>
      <c r="N1223" t="str">
        <f>_xlfn.XLOOKUP(Orders[[#This Row],[CustomerID]],Customers[CustomerID],Customers[CustomerName])</f>
        <v>Emeka Danladi</v>
      </c>
      <c r="O1223" t="str">
        <f>_xlfn.XLOOKUP(Orders[[#This Row],[CustomerID]],Customers[CustomerID],Customers[City])</f>
        <v>Florida</v>
      </c>
      <c r="P1223" t="str">
        <f>_xlfn.XLOOKUP(Orders[[#This Row],[CustomerID]],Customers[CustomerID],Customers[Gender])</f>
        <v>Male</v>
      </c>
      <c r="Q1223">
        <f>_xlfn.XLOOKUP(Orders[[#This Row],[CustomerID]],Customers[CustomerID],Customers[CustomerAge])</f>
        <v>23</v>
      </c>
      <c r="R1223" t="str">
        <f>IF(Orders[[#This Row],[CustomerAge]]&gt;=35, "Older", "Young")</f>
        <v>Young</v>
      </c>
      <c r="S1223" t="str">
        <f>_xlfn.XLOOKUP(Orders[[#This Row],[ProductID]],Products[ProductID],Products[ProductName])</f>
        <v>Badminton Racket</v>
      </c>
      <c r="T1223" t="str">
        <f>_xlfn.XLOOKUP(Orders[[#This Row],[ProductID]],Products[ProductID],Products[Category])</f>
        <v>Sports</v>
      </c>
    </row>
    <row r="1224" spans="1:20" x14ac:dyDescent="0.25">
      <c r="A1224" s="4" t="s">
        <v>1413</v>
      </c>
      <c r="B1224" s="5">
        <v>45962</v>
      </c>
      <c r="C1224" s="15">
        <f>WEEKNUM(Orders[[#This Row],[OrderDate]])</f>
        <v>44</v>
      </c>
      <c r="D1224" s="15" t="str">
        <f>TEXT(Orders[[#This Row],[OrderDate]],"mmmm")</f>
        <v>November</v>
      </c>
      <c r="E1224" s="4" t="s">
        <v>87</v>
      </c>
      <c r="F1224" s="4" t="s">
        <v>127</v>
      </c>
      <c r="G1224" s="4">
        <v>1</v>
      </c>
      <c r="H1224" s="12">
        <v>12445.9</v>
      </c>
      <c r="I1224" s="13">
        <v>10579.014999999999</v>
      </c>
      <c r="J1224" s="13">
        <f>Orders[[#This Row],[Quantity]]*Orders[[#This Row],[Selling Price]]</f>
        <v>12445.9</v>
      </c>
      <c r="K1224" s="13">
        <f>Orders[[#This Row],[Quantity]]*Orders[[#This Row],[Cost Price]]</f>
        <v>10579.014999999999</v>
      </c>
      <c r="L1224" s="13">
        <f>Orders[[#This Row],[Revenue]]-Orders[[#This Row],[Expenses]]</f>
        <v>1866.8850000000002</v>
      </c>
      <c r="M1224" t="s">
        <v>2196</v>
      </c>
      <c r="N1224" t="str">
        <f>_xlfn.XLOOKUP(Orders[[#This Row],[CustomerID]],Customers[CustomerID],Customers[CustomerName])</f>
        <v>Efe Igwe</v>
      </c>
      <c r="O1224" t="str">
        <f>_xlfn.XLOOKUP(Orders[[#This Row],[CustomerID]],Customers[CustomerID],Customers[City])</f>
        <v>Illinois</v>
      </c>
      <c r="P1224" t="str">
        <f>_xlfn.XLOOKUP(Orders[[#This Row],[CustomerID]],Customers[CustomerID],Customers[Gender])</f>
        <v>Female</v>
      </c>
      <c r="Q1224">
        <f>_xlfn.XLOOKUP(Orders[[#This Row],[CustomerID]],Customers[CustomerID],Customers[CustomerAge])</f>
        <v>34</v>
      </c>
      <c r="R1224" t="str">
        <f>IF(Orders[[#This Row],[CustomerAge]]&gt;=35, "Older", "Young")</f>
        <v>Young</v>
      </c>
      <c r="S1224" t="str">
        <f>_xlfn.XLOOKUP(Orders[[#This Row],[ProductID]],Products[ProductID],Products[ProductName])</f>
        <v>Tops</v>
      </c>
      <c r="T1224" t="str">
        <f>_xlfn.XLOOKUP(Orders[[#This Row],[ProductID]],Products[ProductID],Products[Category])</f>
        <v>Clothing</v>
      </c>
    </row>
    <row r="1225" spans="1:20" x14ac:dyDescent="0.25">
      <c r="A1225" s="4" t="s">
        <v>1414</v>
      </c>
      <c r="B1225" s="5">
        <v>45953</v>
      </c>
      <c r="C1225" s="15">
        <f>WEEKNUM(Orders[[#This Row],[OrderDate]])</f>
        <v>43</v>
      </c>
      <c r="D1225" s="15" t="str">
        <f>TEXT(Orders[[#This Row],[OrderDate]],"mmmm")</f>
        <v>October</v>
      </c>
      <c r="E1225" s="4" t="s">
        <v>291</v>
      </c>
      <c r="F1225" s="4" t="s">
        <v>66</v>
      </c>
      <c r="G1225" s="4">
        <v>4</v>
      </c>
      <c r="H1225" s="12">
        <v>19823.699999999997</v>
      </c>
      <c r="I1225" s="13">
        <v>16850.144999999997</v>
      </c>
      <c r="J1225" s="13">
        <f>Orders[[#This Row],[Quantity]]*Orders[[#This Row],[Selling Price]]</f>
        <v>79294.799999999988</v>
      </c>
      <c r="K1225" s="13">
        <f>Orders[[#This Row],[Quantity]]*Orders[[#This Row],[Cost Price]]</f>
        <v>67400.579999999987</v>
      </c>
      <c r="L1225" s="13">
        <f>Orders[[#This Row],[Revenue]]-Orders[[#This Row],[Expenses]]</f>
        <v>11894.220000000001</v>
      </c>
      <c r="M1225" t="s">
        <v>2197</v>
      </c>
      <c r="N1225" t="str">
        <f>_xlfn.XLOOKUP(Orders[[#This Row],[CustomerID]],Customers[CustomerID],Customers[CustomerName])</f>
        <v>Okon Igwe</v>
      </c>
      <c r="O1225" t="str">
        <f>_xlfn.XLOOKUP(Orders[[#This Row],[CustomerID]],Customers[CustomerID],Customers[City])</f>
        <v>Texas</v>
      </c>
      <c r="P1225" t="str">
        <f>_xlfn.XLOOKUP(Orders[[#This Row],[CustomerID]],Customers[CustomerID],Customers[Gender])</f>
        <v>Male</v>
      </c>
      <c r="Q1225">
        <f>_xlfn.XLOOKUP(Orders[[#This Row],[CustomerID]],Customers[CustomerID],Customers[CustomerAge])</f>
        <v>33</v>
      </c>
      <c r="R1225" t="str">
        <f>IF(Orders[[#This Row],[CustomerAge]]&gt;=35, "Older", "Young")</f>
        <v>Young</v>
      </c>
      <c r="S1225" t="str">
        <f>_xlfn.XLOOKUP(Orders[[#This Row],[ProductID]],Products[ProductID],Products[ProductName])</f>
        <v>Microwave</v>
      </c>
      <c r="T1225" t="str">
        <f>_xlfn.XLOOKUP(Orders[[#This Row],[ProductID]],Products[ProductID],Products[Category])</f>
        <v>Electronics</v>
      </c>
    </row>
    <row r="1226" spans="1:20" x14ac:dyDescent="0.25">
      <c r="A1226" s="4" t="s">
        <v>1415</v>
      </c>
      <c r="B1226" s="5">
        <v>45949</v>
      </c>
      <c r="C1226" s="15">
        <f>WEEKNUM(Orders[[#This Row],[OrderDate]])</f>
        <v>43</v>
      </c>
      <c r="D1226" s="15" t="str">
        <f>TEXT(Orders[[#This Row],[OrderDate]],"mmmm")</f>
        <v>October</v>
      </c>
      <c r="E1226" s="4" t="s">
        <v>116</v>
      </c>
      <c r="F1226" s="4" t="s">
        <v>37</v>
      </c>
      <c r="G1226" s="4">
        <v>7</v>
      </c>
      <c r="H1226" s="12">
        <v>9120</v>
      </c>
      <c r="I1226" s="13">
        <v>7752</v>
      </c>
      <c r="J1226" s="13">
        <f>Orders[[#This Row],[Quantity]]*Orders[[#This Row],[Selling Price]]</f>
        <v>63840</v>
      </c>
      <c r="K1226" s="13">
        <f>Orders[[#This Row],[Quantity]]*Orders[[#This Row],[Cost Price]]</f>
        <v>54264</v>
      </c>
      <c r="L1226" s="13">
        <f>Orders[[#This Row],[Revenue]]-Orders[[#This Row],[Expenses]]</f>
        <v>9576</v>
      </c>
      <c r="M1226" t="s">
        <v>2209</v>
      </c>
      <c r="N1226" t="str">
        <f>_xlfn.XLOOKUP(Orders[[#This Row],[CustomerID]],Customers[CustomerID],Customers[CustomerName])</f>
        <v>Uche Bello</v>
      </c>
      <c r="O1226" t="str">
        <f>_xlfn.XLOOKUP(Orders[[#This Row],[CustomerID]],Customers[CustomerID],Customers[City])</f>
        <v>Texas</v>
      </c>
      <c r="P1226" t="str">
        <f>_xlfn.XLOOKUP(Orders[[#This Row],[CustomerID]],Customers[CustomerID],Customers[Gender])</f>
        <v>Male</v>
      </c>
      <c r="Q1226">
        <f>_xlfn.XLOOKUP(Orders[[#This Row],[CustomerID]],Customers[CustomerID],Customers[CustomerAge])</f>
        <v>21</v>
      </c>
      <c r="R1226" t="str">
        <f>IF(Orders[[#This Row],[CustomerAge]]&gt;=35, "Older", "Young")</f>
        <v>Young</v>
      </c>
      <c r="S1226" t="str">
        <f>_xlfn.XLOOKUP(Orders[[#This Row],[ProductID]],Products[ProductID],Products[ProductName])</f>
        <v>Iron</v>
      </c>
      <c r="T1226" t="str">
        <f>_xlfn.XLOOKUP(Orders[[#This Row],[ProductID]],Products[ProductID],Products[Category])</f>
        <v>Electronics</v>
      </c>
    </row>
    <row r="1227" spans="1:20" x14ac:dyDescent="0.25">
      <c r="A1227" s="4" t="s">
        <v>1416</v>
      </c>
      <c r="B1227" s="5">
        <v>45938</v>
      </c>
      <c r="C1227" s="15">
        <f>WEEKNUM(Orders[[#This Row],[OrderDate]])</f>
        <v>41</v>
      </c>
      <c r="D1227" s="15" t="str">
        <f>TEXT(Orders[[#This Row],[OrderDate]],"mmmm")</f>
        <v>October</v>
      </c>
      <c r="E1227" s="4" t="s">
        <v>98</v>
      </c>
      <c r="F1227" s="4" t="s">
        <v>120</v>
      </c>
      <c r="G1227" s="4">
        <v>2</v>
      </c>
      <c r="H1227" s="12">
        <v>14838</v>
      </c>
      <c r="I1227" s="13">
        <v>12612.3</v>
      </c>
      <c r="J1227" s="13">
        <f>Orders[[#This Row],[Quantity]]*Orders[[#This Row],[Selling Price]]</f>
        <v>29676</v>
      </c>
      <c r="K1227" s="13">
        <f>Orders[[#This Row],[Quantity]]*Orders[[#This Row],[Cost Price]]</f>
        <v>25224.6</v>
      </c>
      <c r="L1227" s="13">
        <f>Orders[[#This Row],[Revenue]]-Orders[[#This Row],[Expenses]]</f>
        <v>4451.4000000000015</v>
      </c>
      <c r="M1227" t="s">
        <v>2219</v>
      </c>
      <c r="N1227" t="str">
        <f>_xlfn.XLOOKUP(Orders[[#This Row],[CustomerID]],Customers[CustomerID],Customers[CustomerName])</f>
        <v>Chioma Adeyemi</v>
      </c>
      <c r="O1227" t="str">
        <f>_xlfn.XLOOKUP(Orders[[#This Row],[CustomerID]],Customers[CustomerID],Customers[City])</f>
        <v>Illinois</v>
      </c>
      <c r="P1227" t="str">
        <f>_xlfn.XLOOKUP(Orders[[#This Row],[CustomerID]],Customers[CustomerID],Customers[Gender])</f>
        <v>Female</v>
      </c>
      <c r="Q1227">
        <f>_xlfn.XLOOKUP(Orders[[#This Row],[CustomerID]],Customers[CustomerID],Customers[CustomerAge])</f>
        <v>23</v>
      </c>
      <c r="R1227" t="str">
        <f>IF(Orders[[#This Row],[CustomerAge]]&gt;=35, "Older", "Young")</f>
        <v>Young</v>
      </c>
      <c r="S1227" t="str">
        <f>_xlfn.XLOOKUP(Orders[[#This Row],[ProductID]],Products[ProductID],Products[ProductName])</f>
        <v>Chess</v>
      </c>
      <c r="T1227" t="str">
        <f>_xlfn.XLOOKUP(Orders[[#This Row],[ProductID]],Products[ProductID],Products[Category])</f>
        <v>Games</v>
      </c>
    </row>
    <row r="1228" spans="1:20" x14ac:dyDescent="0.25">
      <c r="A1228" s="4" t="s">
        <v>1417</v>
      </c>
      <c r="B1228" s="5">
        <v>45937</v>
      </c>
      <c r="C1228" s="15">
        <f>WEEKNUM(Orders[[#This Row],[OrderDate]])</f>
        <v>41</v>
      </c>
      <c r="D1228" s="15" t="str">
        <f>TEXT(Orders[[#This Row],[OrderDate]],"mmmm")</f>
        <v>October</v>
      </c>
      <c r="E1228" s="4" t="s">
        <v>30</v>
      </c>
      <c r="F1228" s="4" t="s">
        <v>63</v>
      </c>
      <c r="G1228" s="4">
        <v>10</v>
      </c>
      <c r="H1228" s="12">
        <v>11665.699999999999</v>
      </c>
      <c r="I1228" s="13">
        <v>9915.8449999999993</v>
      </c>
      <c r="J1228" s="13">
        <f>Orders[[#This Row],[Quantity]]*Orders[[#This Row],[Selling Price]]</f>
        <v>116656.99999999999</v>
      </c>
      <c r="K1228" s="13">
        <f>Orders[[#This Row],[Quantity]]*Orders[[#This Row],[Cost Price]]</f>
        <v>99158.45</v>
      </c>
      <c r="L1228" s="13">
        <f>Orders[[#This Row],[Revenue]]-Orders[[#This Row],[Expenses]]</f>
        <v>17498.549999999988</v>
      </c>
      <c r="M1228" t="s">
        <v>2201</v>
      </c>
      <c r="N1228" t="str">
        <f>_xlfn.XLOOKUP(Orders[[#This Row],[CustomerID]],Customers[CustomerID],Customers[CustomerName])</f>
        <v>Amina Danladi</v>
      </c>
      <c r="O1228" t="str">
        <f>_xlfn.XLOOKUP(Orders[[#This Row],[CustomerID]],Customers[CustomerID],Customers[City])</f>
        <v>Florida</v>
      </c>
      <c r="P1228" t="str">
        <f>_xlfn.XLOOKUP(Orders[[#This Row],[CustomerID]],Customers[CustomerID],Customers[Gender])</f>
        <v>Female</v>
      </c>
      <c r="Q1228">
        <f>_xlfn.XLOOKUP(Orders[[#This Row],[CustomerID]],Customers[CustomerID],Customers[CustomerAge])</f>
        <v>42</v>
      </c>
      <c r="R1228" t="str">
        <f>IF(Orders[[#This Row],[CustomerAge]]&gt;=35, "Older", "Young")</f>
        <v>Older</v>
      </c>
      <c r="S1228" t="str">
        <f>_xlfn.XLOOKUP(Orders[[#This Row],[ProductID]],Products[ProductID],Products[ProductName])</f>
        <v>Tennis Bat</v>
      </c>
      <c r="T1228" t="str">
        <f>_xlfn.XLOOKUP(Orders[[#This Row],[ProductID]],Products[ProductID],Products[Category])</f>
        <v>Sports</v>
      </c>
    </row>
    <row r="1229" spans="1:20" x14ac:dyDescent="0.25">
      <c r="A1229" s="4" t="s">
        <v>1418</v>
      </c>
      <c r="B1229" s="5">
        <v>45953</v>
      </c>
      <c r="C1229" s="15">
        <f>WEEKNUM(Orders[[#This Row],[OrderDate]])</f>
        <v>43</v>
      </c>
      <c r="D1229" s="15" t="str">
        <f>TEXT(Orders[[#This Row],[OrderDate]],"mmmm")</f>
        <v>October</v>
      </c>
      <c r="E1229" s="4" t="s">
        <v>369</v>
      </c>
      <c r="F1229" s="4" t="s">
        <v>168</v>
      </c>
      <c r="G1229" s="4">
        <v>5</v>
      </c>
      <c r="H1229" s="12">
        <v>13863.5</v>
      </c>
      <c r="I1229" s="13">
        <v>11783.975</v>
      </c>
      <c r="J1229" s="13">
        <f>Orders[[#This Row],[Quantity]]*Orders[[#This Row],[Selling Price]]</f>
        <v>69317.5</v>
      </c>
      <c r="K1229" s="13">
        <f>Orders[[#This Row],[Quantity]]*Orders[[#This Row],[Cost Price]]</f>
        <v>58919.875</v>
      </c>
      <c r="L1229" s="13">
        <f>Orders[[#This Row],[Revenue]]-Orders[[#This Row],[Expenses]]</f>
        <v>10397.625</v>
      </c>
      <c r="M1229" t="s">
        <v>2209</v>
      </c>
      <c r="N1229" t="str">
        <f>_xlfn.XLOOKUP(Orders[[#This Row],[CustomerID]],Customers[CustomerID],Customers[CustomerName])</f>
        <v>Ibrahim Bello</v>
      </c>
      <c r="O1229" t="str">
        <f>_xlfn.XLOOKUP(Orders[[#This Row],[CustomerID]],Customers[CustomerID],Customers[City])</f>
        <v>Washington</v>
      </c>
      <c r="P1229" t="str">
        <f>_xlfn.XLOOKUP(Orders[[#This Row],[CustomerID]],Customers[CustomerID],Customers[Gender])</f>
        <v>Male</v>
      </c>
      <c r="Q1229">
        <f>_xlfn.XLOOKUP(Orders[[#This Row],[CustomerID]],Customers[CustomerID],Customers[CustomerAge])</f>
        <v>40</v>
      </c>
      <c r="R1229" t="str">
        <f>IF(Orders[[#This Row],[CustomerAge]]&gt;=35, "Older", "Young")</f>
        <v>Older</v>
      </c>
      <c r="S1229" t="str">
        <f>_xlfn.XLOOKUP(Orders[[#This Row],[ProductID]],Products[ProductID],Products[ProductName])</f>
        <v>Dumb Bells</v>
      </c>
      <c r="T1229" t="str">
        <f>_xlfn.XLOOKUP(Orders[[#This Row],[ProductID]],Products[ProductID],Products[Category])</f>
        <v>Gym</v>
      </c>
    </row>
    <row r="1230" spans="1:20" x14ac:dyDescent="0.25">
      <c r="A1230" s="4" t="s">
        <v>1419</v>
      </c>
      <c r="B1230" s="5">
        <v>45969</v>
      </c>
      <c r="C1230" s="15">
        <f>WEEKNUM(Orders[[#This Row],[OrderDate]])</f>
        <v>45</v>
      </c>
      <c r="D1230" s="15" t="str">
        <f>TEXT(Orders[[#This Row],[OrderDate]],"mmmm")</f>
        <v>November</v>
      </c>
      <c r="E1230" s="4" t="s">
        <v>110</v>
      </c>
      <c r="F1230" s="4" t="s">
        <v>46</v>
      </c>
      <c r="G1230" s="4">
        <v>4</v>
      </c>
      <c r="H1230" s="12">
        <v>3381.7000000000003</v>
      </c>
      <c r="I1230" s="13">
        <v>2874.4450000000002</v>
      </c>
      <c r="J1230" s="13">
        <f>Orders[[#This Row],[Quantity]]*Orders[[#This Row],[Selling Price]]</f>
        <v>13526.800000000001</v>
      </c>
      <c r="K1230" s="13">
        <f>Orders[[#This Row],[Quantity]]*Orders[[#This Row],[Cost Price]]</f>
        <v>11497.78</v>
      </c>
      <c r="L1230" s="13">
        <f>Orders[[#This Row],[Revenue]]-Orders[[#This Row],[Expenses]]</f>
        <v>2029.0200000000004</v>
      </c>
      <c r="M1230" t="s">
        <v>2193</v>
      </c>
      <c r="N1230" t="str">
        <f>_xlfn.XLOOKUP(Orders[[#This Row],[CustomerID]],Customers[CustomerID],Customers[CustomerName])</f>
        <v>Ngozi Danladi</v>
      </c>
      <c r="O1230" t="str">
        <f>_xlfn.XLOOKUP(Orders[[#This Row],[CustomerID]],Customers[CustomerID],Customers[City])</f>
        <v>Washington</v>
      </c>
      <c r="P1230" t="str">
        <f>_xlfn.XLOOKUP(Orders[[#This Row],[CustomerID]],Customers[CustomerID],Customers[Gender])</f>
        <v>Female</v>
      </c>
      <c r="Q1230">
        <f>_xlfn.XLOOKUP(Orders[[#This Row],[CustomerID]],Customers[CustomerID],Customers[CustomerAge])</f>
        <v>28</v>
      </c>
      <c r="R1230" t="str">
        <f>IF(Orders[[#This Row],[CustomerAge]]&gt;=35, "Older", "Young")</f>
        <v>Young</v>
      </c>
      <c r="S1230" t="str">
        <f>_xlfn.XLOOKUP(Orders[[#This Row],[ProductID]],Products[ProductID],Products[ProductName])</f>
        <v>Turtle Neck</v>
      </c>
      <c r="T1230" t="str">
        <f>_xlfn.XLOOKUP(Orders[[#This Row],[ProductID]],Products[ProductID],Products[Category])</f>
        <v>Clothing</v>
      </c>
    </row>
    <row r="1231" spans="1:20" x14ac:dyDescent="0.25">
      <c r="A1231" s="4" t="s">
        <v>1420</v>
      </c>
      <c r="B1231" s="5">
        <v>45985</v>
      </c>
      <c r="C1231" s="15">
        <f>WEEKNUM(Orders[[#This Row],[OrderDate]])</f>
        <v>48</v>
      </c>
      <c r="D1231" s="15" t="str">
        <f>TEXT(Orders[[#This Row],[OrderDate]],"mmmm")</f>
        <v>November</v>
      </c>
      <c r="E1231" s="4" t="s">
        <v>237</v>
      </c>
      <c r="F1231" s="4" t="s">
        <v>70</v>
      </c>
      <c r="G1231" s="4">
        <v>3</v>
      </c>
      <c r="H1231" s="12">
        <v>15702.3</v>
      </c>
      <c r="I1231" s="13">
        <v>13346.955</v>
      </c>
      <c r="J1231" s="13">
        <f>Orders[[#This Row],[Quantity]]*Orders[[#This Row],[Selling Price]]</f>
        <v>47106.899999999994</v>
      </c>
      <c r="K1231" s="13">
        <f>Orders[[#This Row],[Quantity]]*Orders[[#This Row],[Cost Price]]</f>
        <v>40040.864999999998</v>
      </c>
      <c r="L1231" s="13">
        <f>Orders[[#This Row],[Revenue]]-Orders[[#This Row],[Expenses]]</f>
        <v>7066.0349999999962</v>
      </c>
      <c r="M1231" t="s">
        <v>2196</v>
      </c>
      <c r="N1231" t="str">
        <f>_xlfn.XLOOKUP(Orders[[#This Row],[CustomerID]],Customers[CustomerID],Customers[CustomerName])</f>
        <v>Ronke Danladi</v>
      </c>
      <c r="O1231" t="str">
        <f>_xlfn.XLOOKUP(Orders[[#This Row],[CustomerID]],Customers[CustomerID],Customers[City])</f>
        <v>Florida</v>
      </c>
      <c r="P1231" t="str">
        <f>_xlfn.XLOOKUP(Orders[[#This Row],[CustomerID]],Customers[CustomerID],Customers[Gender])</f>
        <v>Female</v>
      </c>
      <c r="Q1231">
        <f>_xlfn.XLOOKUP(Orders[[#This Row],[CustomerID]],Customers[CustomerID],Customers[CustomerAge])</f>
        <v>25</v>
      </c>
      <c r="R1231" t="str">
        <f>IF(Orders[[#This Row],[CustomerAge]]&gt;=35, "Older", "Young")</f>
        <v>Young</v>
      </c>
      <c r="S1231" t="str">
        <f>_xlfn.XLOOKUP(Orders[[#This Row],[ProductID]],Products[ProductID],Products[ProductName])</f>
        <v>Yoga Mat</v>
      </c>
      <c r="T1231" t="str">
        <f>_xlfn.XLOOKUP(Orders[[#This Row],[ProductID]],Products[ProductID],Products[Category])</f>
        <v>Gym</v>
      </c>
    </row>
    <row r="1232" spans="1:20" x14ac:dyDescent="0.25">
      <c r="A1232" s="4" t="s">
        <v>1421</v>
      </c>
      <c r="B1232" s="5">
        <v>45965</v>
      </c>
      <c r="C1232" s="15">
        <f>WEEKNUM(Orders[[#This Row],[OrderDate]])</f>
        <v>45</v>
      </c>
      <c r="D1232" s="15" t="str">
        <f>TEXT(Orders[[#This Row],[OrderDate]],"mmmm")</f>
        <v>November</v>
      </c>
      <c r="E1232" s="4" t="s">
        <v>302</v>
      </c>
      <c r="F1232" s="4" t="s">
        <v>66</v>
      </c>
      <c r="G1232" s="4">
        <v>6</v>
      </c>
      <c r="H1232" s="12">
        <v>8423.3000000000011</v>
      </c>
      <c r="I1232" s="13">
        <v>7159.8050000000012</v>
      </c>
      <c r="J1232" s="13">
        <f>Orders[[#This Row],[Quantity]]*Orders[[#This Row],[Selling Price]]</f>
        <v>50539.8</v>
      </c>
      <c r="K1232" s="13">
        <f>Orders[[#This Row],[Quantity]]*Orders[[#This Row],[Cost Price]]</f>
        <v>42958.830000000009</v>
      </c>
      <c r="L1232" s="13">
        <f>Orders[[#This Row],[Revenue]]-Orders[[#This Row],[Expenses]]</f>
        <v>7580.9699999999939</v>
      </c>
      <c r="M1232" t="s">
        <v>2217</v>
      </c>
      <c r="N1232" t="str">
        <f>_xlfn.XLOOKUP(Orders[[#This Row],[CustomerID]],Customers[CustomerID],Customers[CustomerName])</f>
        <v>Sani Bello</v>
      </c>
      <c r="O1232" t="str">
        <f>_xlfn.XLOOKUP(Orders[[#This Row],[CustomerID]],Customers[CustomerID],Customers[City])</f>
        <v>Washington</v>
      </c>
      <c r="P1232" t="str">
        <f>_xlfn.XLOOKUP(Orders[[#This Row],[CustomerID]],Customers[CustomerID],Customers[Gender])</f>
        <v>Male</v>
      </c>
      <c r="Q1232">
        <f>_xlfn.XLOOKUP(Orders[[#This Row],[CustomerID]],Customers[CustomerID],Customers[CustomerAge])</f>
        <v>23</v>
      </c>
      <c r="R1232" t="str">
        <f>IF(Orders[[#This Row],[CustomerAge]]&gt;=35, "Older", "Young")</f>
        <v>Young</v>
      </c>
      <c r="S1232" t="str">
        <f>_xlfn.XLOOKUP(Orders[[#This Row],[ProductID]],Products[ProductID],Products[ProductName])</f>
        <v>Microwave</v>
      </c>
      <c r="T1232" t="str">
        <f>_xlfn.XLOOKUP(Orders[[#This Row],[ProductID]],Products[ProductID],Products[Category])</f>
        <v>Electronics</v>
      </c>
    </row>
    <row r="1233" spans="1:20" x14ac:dyDescent="0.25">
      <c r="A1233" s="4" t="s">
        <v>1422</v>
      </c>
      <c r="B1233" s="5">
        <v>45997</v>
      </c>
      <c r="C1233" s="15">
        <f>WEEKNUM(Orders[[#This Row],[OrderDate]])</f>
        <v>49</v>
      </c>
      <c r="D1233" s="15" t="str">
        <f>TEXT(Orders[[#This Row],[OrderDate]],"mmmm")</f>
        <v>December</v>
      </c>
      <c r="E1233" s="4" t="s">
        <v>48</v>
      </c>
      <c r="F1233" s="4" t="s">
        <v>20</v>
      </c>
      <c r="G1233" s="4">
        <v>1</v>
      </c>
      <c r="H1233" s="12">
        <v>4103.5</v>
      </c>
      <c r="I1233" s="13">
        <v>3487.9749999999999</v>
      </c>
      <c r="J1233" s="13">
        <f>Orders[[#This Row],[Quantity]]*Orders[[#This Row],[Selling Price]]</f>
        <v>4103.5</v>
      </c>
      <c r="K1233" s="13">
        <f>Orders[[#This Row],[Quantity]]*Orders[[#This Row],[Cost Price]]</f>
        <v>3487.9749999999999</v>
      </c>
      <c r="L1233" s="13">
        <f>Orders[[#This Row],[Revenue]]-Orders[[#This Row],[Expenses]]</f>
        <v>615.52500000000009</v>
      </c>
      <c r="M1233" t="s">
        <v>2195</v>
      </c>
      <c r="N1233" t="str">
        <f>_xlfn.XLOOKUP(Orders[[#This Row],[CustomerID]],Customers[CustomerID],Customers[CustomerName])</f>
        <v>Mustafa Obi</v>
      </c>
      <c r="O1233" t="str">
        <f>_xlfn.XLOOKUP(Orders[[#This Row],[CustomerID]],Customers[CustomerID],Customers[City])</f>
        <v>California</v>
      </c>
      <c r="P1233" t="str">
        <f>_xlfn.XLOOKUP(Orders[[#This Row],[CustomerID]],Customers[CustomerID],Customers[Gender])</f>
        <v>Male</v>
      </c>
      <c r="Q1233">
        <f>_xlfn.XLOOKUP(Orders[[#This Row],[CustomerID]],Customers[CustomerID],Customers[CustomerAge])</f>
        <v>23</v>
      </c>
      <c r="R1233" t="str">
        <f>IF(Orders[[#This Row],[CustomerAge]]&gt;=35, "Older", "Young")</f>
        <v>Young</v>
      </c>
      <c r="S1233" t="str">
        <f>_xlfn.XLOOKUP(Orders[[#This Row],[ProductID]],Products[ProductID],Products[ProductName])</f>
        <v>Gym Bag</v>
      </c>
      <c r="T1233" t="str">
        <f>_xlfn.XLOOKUP(Orders[[#This Row],[ProductID]],Products[ProductID],Products[Category])</f>
        <v>Gym</v>
      </c>
    </row>
    <row r="1234" spans="1:20" x14ac:dyDescent="0.25">
      <c r="A1234" s="4" t="s">
        <v>1423</v>
      </c>
      <c r="B1234" s="5">
        <v>45956</v>
      </c>
      <c r="C1234" s="15">
        <f>WEEKNUM(Orders[[#This Row],[OrderDate]])</f>
        <v>44</v>
      </c>
      <c r="D1234" s="15" t="str">
        <f>TEXT(Orders[[#This Row],[OrderDate]],"mmmm")</f>
        <v>October</v>
      </c>
      <c r="E1234" s="4" t="s">
        <v>369</v>
      </c>
      <c r="F1234" s="4" t="s">
        <v>168</v>
      </c>
      <c r="G1234" s="4">
        <v>1</v>
      </c>
      <c r="H1234" s="12">
        <v>3013.5</v>
      </c>
      <c r="I1234" s="13">
        <v>2561.4749999999999</v>
      </c>
      <c r="J1234" s="13">
        <f>Orders[[#This Row],[Quantity]]*Orders[[#This Row],[Selling Price]]</f>
        <v>3013.5</v>
      </c>
      <c r="K1234" s="13">
        <f>Orders[[#This Row],[Quantity]]*Orders[[#This Row],[Cost Price]]</f>
        <v>2561.4749999999999</v>
      </c>
      <c r="L1234" s="13">
        <f>Orders[[#This Row],[Revenue]]-Orders[[#This Row],[Expenses]]</f>
        <v>452.02500000000009</v>
      </c>
      <c r="M1234" t="s">
        <v>2196</v>
      </c>
      <c r="N1234" t="str">
        <f>_xlfn.XLOOKUP(Orders[[#This Row],[CustomerID]],Customers[CustomerID],Customers[CustomerName])</f>
        <v>Ibrahim Bello</v>
      </c>
      <c r="O1234" t="str">
        <f>_xlfn.XLOOKUP(Orders[[#This Row],[CustomerID]],Customers[CustomerID],Customers[City])</f>
        <v>Washington</v>
      </c>
      <c r="P1234" t="str">
        <f>_xlfn.XLOOKUP(Orders[[#This Row],[CustomerID]],Customers[CustomerID],Customers[Gender])</f>
        <v>Male</v>
      </c>
      <c r="Q1234">
        <f>_xlfn.XLOOKUP(Orders[[#This Row],[CustomerID]],Customers[CustomerID],Customers[CustomerAge])</f>
        <v>40</v>
      </c>
      <c r="R1234" t="str">
        <f>IF(Orders[[#This Row],[CustomerAge]]&gt;=35, "Older", "Young")</f>
        <v>Older</v>
      </c>
      <c r="S1234" t="str">
        <f>_xlfn.XLOOKUP(Orders[[#This Row],[ProductID]],Products[ProductID],Products[ProductName])</f>
        <v>Dumb Bells</v>
      </c>
      <c r="T1234" t="str">
        <f>_xlfn.XLOOKUP(Orders[[#This Row],[ProductID]],Products[ProductID],Products[Category])</f>
        <v>Gym</v>
      </c>
    </row>
    <row r="1235" spans="1:20" x14ac:dyDescent="0.25">
      <c r="A1235" s="4" t="s">
        <v>1424</v>
      </c>
      <c r="B1235" s="5">
        <v>45949</v>
      </c>
      <c r="C1235" s="15">
        <f>WEEKNUM(Orders[[#This Row],[OrderDate]])</f>
        <v>43</v>
      </c>
      <c r="D1235" s="15" t="str">
        <f>TEXT(Orders[[#This Row],[OrderDate]],"mmmm")</f>
        <v>October</v>
      </c>
      <c r="E1235" s="4" t="s">
        <v>110</v>
      </c>
      <c r="F1235" s="4" t="s">
        <v>76</v>
      </c>
      <c r="G1235" s="4">
        <v>6</v>
      </c>
      <c r="H1235" s="12">
        <v>11914.400000000001</v>
      </c>
      <c r="I1235" s="13">
        <v>10127.240000000002</v>
      </c>
      <c r="J1235" s="13">
        <f>Orders[[#This Row],[Quantity]]*Orders[[#This Row],[Selling Price]]</f>
        <v>71486.400000000009</v>
      </c>
      <c r="K1235" s="13">
        <f>Orders[[#This Row],[Quantity]]*Orders[[#This Row],[Cost Price]]</f>
        <v>60763.44000000001</v>
      </c>
      <c r="L1235" s="13">
        <f>Orders[[#This Row],[Revenue]]-Orders[[#This Row],[Expenses]]</f>
        <v>10722.96</v>
      </c>
      <c r="M1235" t="s">
        <v>2209</v>
      </c>
      <c r="N1235" t="str">
        <f>_xlfn.XLOOKUP(Orders[[#This Row],[CustomerID]],Customers[CustomerID],Customers[CustomerName])</f>
        <v>Ngozi Danladi</v>
      </c>
      <c r="O1235" t="str">
        <f>_xlfn.XLOOKUP(Orders[[#This Row],[CustomerID]],Customers[CustomerID],Customers[City])</f>
        <v>Washington</v>
      </c>
      <c r="P1235" t="str">
        <f>_xlfn.XLOOKUP(Orders[[#This Row],[CustomerID]],Customers[CustomerID],Customers[Gender])</f>
        <v>Female</v>
      </c>
      <c r="Q1235">
        <f>_xlfn.XLOOKUP(Orders[[#This Row],[CustomerID]],Customers[CustomerID],Customers[CustomerAge])</f>
        <v>28</v>
      </c>
      <c r="R1235" t="str">
        <f>IF(Orders[[#This Row],[CustomerAge]]&gt;=35, "Older", "Young")</f>
        <v>Young</v>
      </c>
      <c r="S1235" t="str">
        <f>_xlfn.XLOOKUP(Orders[[#This Row],[ProductID]],Products[ProductID],Products[ProductName])</f>
        <v>Blender</v>
      </c>
      <c r="T1235" t="str">
        <f>_xlfn.XLOOKUP(Orders[[#This Row],[ProductID]],Products[ProductID],Products[Category])</f>
        <v>Electronics</v>
      </c>
    </row>
    <row r="1236" spans="1:20" x14ac:dyDescent="0.25">
      <c r="A1236" s="4" t="s">
        <v>1425</v>
      </c>
      <c r="B1236" s="5">
        <v>45957</v>
      </c>
      <c r="C1236" s="15">
        <f>WEEKNUM(Orders[[#This Row],[OrderDate]])</f>
        <v>44</v>
      </c>
      <c r="D1236" s="15" t="str">
        <f>TEXT(Orders[[#This Row],[OrderDate]],"mmmm")</f>
        <v>October</v>
      </c>
      <c r="E1236" s="4" t="s">
        <v>374</v>
      </c>
      <c r="F1236" s="4" t="s">
        <v>84</v>
      </c>
      <c r="G1236" s="4">
        <v>4</v>
      </c>
      <c r="H1236" s="12">
        <v>13751</v>
      </c>
      <c r="I1236" s="13">
        <v>11688.35</v>
      </c>
      <c r="J1236" s="13">
        <f>Orders[[#This Row],[Quantity]]*Orders[[#This Row],[Selling Price]]</f>
        <v>55004</v>
      </c>
      <c r="K1236" s="13">
        <f>Orders[[#This Row],[Quantity]]*Orders[[#This Row],[Cost Price]]</f>
        <v>46753.4</v>
      </c>
      <c r="L1236" s="13">
        <f>Orders[[#This Row],[Revenue]]-Orders[[#This Row],[Expenses]]</f>
        <v>8250.5999999999985</v>
      </c>
      <c r="M1236" t="s">
        <v>2219</v>
      </c>
      <c r="N1236" t="str">
        <f>_xlfn.XLOOKUP(Orders[[#This Row],[CustomerID]],Customers[CustomerID],Customers[CustomerName])</f>
        <v>Uche Okonkwo</v>
      </c>
      <c r="O1236" t="str">
        <f>_xlfn.XLOOKUP(Orders[[#This Row],[CustomerID]],Customers[CustomerID],Customers[City])</f>
        <v>Texas</v>
      </c>
      <c r="P1236" t="str">
        <f>_xlfn.XLOOKUP(Orders[[#This Row],[CustomerID]],Customers[CustomerID],Customers[Gender])</f>
        <v>Male</v>
      </c>
      <c r="Q1236">
        <f>_xlfn.XLOOKUP(Orders[[#This Row],[CustomerID]],Customers[CustomerID],Customers[CustomerAge])</f>
        <v>27</v>
      </c>
      <c r="R1236" t="str">
        <f>IF(Orders[[#This Row],[CustomerAge]]&gt;=35, "Older", "Young")</f>
        <v>Young</v>
      </c>
      <c r="S1236" t="str">
        <f>_xlfn.XLOOKUP(Orders[[#This Row],[ProductID]],Products[ProductID],Products[ProductName])</f>
        <v>Gym Wears</v>
      </c>
      <c r="T1236" t="str">
        <f>_xlfn.XLOOKUP(Orders[[#This Row],[ProductID]],Products[ProductID],Products[Category])</f>
        <v>Clothing</v>
      </c>
    </row>
    <row r="1237" spans="1:20" x14ac:dyDescent="0.25">
      <c r="A1237" s="4" t="s">
        <v>1426</v>
      </c>
      <c r="B1237" s="5">
        <v>46007</v>
      </c>
      <c r="C1237" s="15">
        <f>WEEKNUM(Orders[[#This Row],[OrderDate]])</f>
        <v>51</v>
      </c>
      <c r="D1237" s="15" t="str">
        <f>TEXT(Orders[[#This Row],[OrderDate]],"mmmm")</f>
        <v>December</v>
      </c>
      <c r="E1237" s="4" t="s">
        <v>386</v>
      </c>
      <c r="F1237" s="4" t="s">
        <v>189</v>
      </c>
      <c r="G1237" s="4">
        <v>8</v>
      </c>
      <c r="H1237" s="12">
        <v>8826.7999999999993</v>
      </c>
      <c r="I1237" s="13">
        <v>7502.78</v>
      </c>
      <c r="J1237" s="13">
        <f>Orders[[#This Row],[Quantity]]*Orders[[#This Row],[Selling Price]]</f>
        <v>70614.399999999994</v>
      </c>
      <c r="K1237" s="13">
        <f>Orders[[#This Row],[Quantity]]*Orders[[#This Row],[Cost Price]]</f>
        <v>60022.239999999998</v>
      </c>
      <c r="L1237" s="13">
        <f>Orders[[#This Row],[Revenue]]-Orders[[#This Row],[Expenses]]</f>
        <v>10592.159999999996</v>
      </c>
      <c r="M1237" t="s">
        <v>2199</v>
      </c>
      <c r="N1237" t="str">
        <f>_xlfn.XLOOKUP(Orders[[#This Row],[CustomerID]],Customers[CustomerID],Customers[CustomerName])</f>
        <v>Chinedu Eze</v>
      </c>
      <c r="O1237" t="str">
        <f>_xlfn.XLOOKUP(Orders[[#This Row],[CustomerID]],Customers[CustomerID],Customers[City])</f>
        <v>Washington</v>
      </c>
      <c r="P1237" t="str">
        <f>_xlfn.XLOOKUP(Orders[[#This Row],[CustomerID]],Customers[CustomerID],Customers[Gender])</f>
        <v>Male</v>
      </c>
      <c r="Q1237">
        <f>_xlfn.XLOOKUP(Orders[[#This Row],[CustomerID]],Customers[CustomerID],Customers[CustomerAge])</f>
        <v>32</v>
      </c>
      <c r="R1237" t="str">
        <f>IF(Orders[[#This Row],[CustomerAge]]&gt;=35, "Older", "Young")</f>
        <v>Young</v>
      </c>
      <c r="S1237" t="str">
        <f>_xlfn.XLOOKUP(Orders[[#This Row],[ProductID]],Products[ProductID],Products[ProductName])</f>
        <v>Scrabble</v>
      </c>
      <c r="T1237" t="str">
        <f>_xlfn.XLOOKUP(Orders[[#This Row],[ProductID]],Products[ProductID],Products[Category])</f>
        <v>Games</v>
      </c>
    </row>
    <row r="1238" spans="1:20" x14ac:dyDescent="0.25">
      <c r="A1238" s="4" t="s">
        <v>1427</v>
      </c>
      <c r="B1238" s="5">
        <v>45988</v>
      </c>
      <c r="C1238" s="15">
        <f>WEEKNUM(Orders[[#This Row],[OrderDate]])</f>
        <v>48</v>
      </c>
      <c r="D1238" s="15" t="str">
        <f>TEXT(Orders[[#This Row],[OrderDate]],"mmmm")</f>
        <v>November</v>
      </c>
      <c r="E1238" s="4" t="s">
        <v>256</v>
      </c>
      <c r="F1238" s="4" t="s">
        <v>57</v>
      </c>
      <c r="G1238" s="4">
        <v>9</v>
      </c>
      <c r="H1238" s="12">
        <v>15969.9</v>
      </c>
      <c r="I1238" s="13">
        <v>13574.415000000001</v>
      </c>
      <c r="J1238" s="13">
        <f>Orders[[#This Row],[Quantity]]*Orders[[#This Row],[Selling Price]]</f>
        <v>143729.1</v>
      </c>
      <c r="K1238" s="13">
        <f>Orders[[#This Row],[Quantity]]*Orders[[#This Row],[Cost Price]]</f>
        <v>122169.73500000002</v>
      </c>
      <c r="L1238" s="13">
        <f>Orders[[#This Row],[Revenue]]-Orders[[#This Row],[Expenses]]</f>
        <v>21559.364999999991</v>
      </c>
      <c r="M1238" t="s">
        <v>2199</v>
      </c>
      <c r="N1238" t="str">
        <f>_xlfn.XLOOKUP(Orders[[#This Row],[CustomerID]],Customers[CustomerID],Customers[CustomerName])</f>
        <v>Efe Ojo</v>
      </c>
      <c r="O1238" t="str">
        <f>_xlfn.XLOOKUP(Orders[[#This Row],[CustomerID]],Customers[CustomerID],Customers[City])</f>
        <v>Georgia</v>
      </c>
      <c r="P1238" t="str">
        <f>_xlfn.XLOOKUP(Orders[[#This Row],[CustomerID]],Customers[CustomerID],Customers[Gender])</f>
        <v>Female</v>
      </c>
      <c r="Q1238">
        <f>_xlfn.XLOOKUP(Orders[[#This Row],[CustomerID]],Customers[CustomerID],Customers[CustomerAge])</f>
        <v>23</v>
      </c>
      <c r="R1238" t="str">
        <f>IF(Orders[[#This Row],[CustomerAge]]&gt;=35, "Older", "Young")</f>
        <v>Young</v>
      </c>
      <c r="S1238" t="str">
        <f>_xlfn.XLOOKUP(Orders[[#This Row],[ProductID]],Products[ProductID],Products[ProductName])</f>
        <v>Badminton Racket</v>
      </c>
      <c r="T1238" t="str">
        <f>_xlfn.XLOOKUP(Orders[[#This Row],[ProductID]],Products[ProductID],Products[Category])</f>
        <v>Sports</v>
      </c>
    </row>
    <row r="1239" spans="1:20" x14ac:dyDescent="0.25">
      <c r="A1239" s="4" t="s">
        <v>1428</v>
      </c>
      <c r="B1239" s="5">
        <v>45941</v>
      </c>
      <c r="C1239" s="15">
        <f>WEEKNUM(Orders[[#This Row],[OrderDate]])</f>
        <v>41</v>
      </c>
      <c r="D1239" s="15" t="str">
        <f>TEXT(Orders[[#This Row],[OrderDate]],"mmmm")</f>
        <v>October</v>
      </c>
      <c r="E1239" s="4" t="s">
        <v>174</v>
      </c>
      <c r="F1239" s="4" t="s">
        <v>20</v>
      </c>
      <c r="G1239" s="4">
        <v>4</v>
      </c>
      <c r="H1239" s="12">
        <v>10318.699999999999</v>
      </c>
      <c r="I1239" s="13">
        <v>8770.8949999999986</v>
      </c>
      <c r="J1239" s="13">
        <f>Orders[[#This Row],[Quantity]]*Orders[[#This Row],[Selling Price]]</f>
        <v>41274.799999999996</v>
      </c>
      <c r="K1239" s="13">
        <f>Orders[[#This Row],[Quantity]]*Orders[[#This Row],[Cost Price]]</f>
        <v>35083.579999999994</v>
      </c>
      <c r="L1239" s="13">
        <f>Orders[[#This Row],[Revenue]]-Orders[[#This Row],[Expenses]]</f>
        <v>6191.2200000000012</v>
      </c>
      <c r="M1239" t="s">
        <v>2219</v>
      </c>
      <c r="N1239" t="str">
        <f>_xlfn.XLOOKUP(Orders[[#This Row],[CustomerID]],Customers[CustomerID],Customers[CustomerName])</f>
        <v>Zainab Obi</v>
      </c>
      <c r="O1239" t="str">
        <f>_xlfn.XLOOKUP(Orders[[#This Row],[CustomerID]],Customers[CustomerID],Customers[City])</f>
        <v>California</v>
      </c>
      <c r="P1239" t="str">
        <f>_xlfn.XLOOKUP(Orders[[#This Row],[CustomerID]],Customers[CustomerID],Customers[Gender])</f>
        <v>Female</v>
      </c>
      <c r="Q1239">
        <f>_xlfn.XLOOKUP(Orders[[#This Row],[CustomerID]],Customers[CustomerID],Customers[CustomerAge])</f>
        <v>18</v>
      </c>
      <c r="R1239" t="str">
        <f>IF(Orders[[#This Row],[CustomerAge]]&gt;=35, "Older", "Young")</f>
        <v>Young</v>
      </c>
      <c r="S1239" t="str">
        <f>_xlfn.XLOOKUP(Orders[[#This Row],[ProductID]],Products[ProductID],Products[ProductName])</f>
        <v>Gym Bag</v>
      </c>
      <c r="T1239" t="str">
        <f>_xlfn.XLOOKUP(Orders[[#This Row],[ProductID]],Products[ProductID],Products[Category])</f>
        <v>Gym</v>
      </c>
    </row>
    <row r="1240" spans="1:20" x14ac:dyDescent="0.25">
      <c r="A1240" s="4" t="s">
        <v>1429</v>
      </c>
      <c r="B1240" s="5">
        <v>45944</v>
      </c>
      <c r="C1240" s="15">
        <f>WEEKNUM(Orders[[#This Row],[OrderDate]])</f>
        <v>42</v>
      </c>
      <c r="D1240" s="15" t="str">
        <f>TEXT(Orders[[#This Row],[OrderDate]],"mmmm")</f>
        <v>October</v>
      </c>
      <c r="E1240" s="4" t="s">
        <v>524</v>
      </c>
      <c r="F1240" s="4" t="s">
        <v>23</v>
      </c>
      <c r="G1240" s="4">
        <v>7</v>
      </c>
      <c r="H1240" s="12">
        <v>6897.7</v>
      </c>
      <c r="I1240" s="13">
        <v>5863.0450000000001</v>
      </c>
      <c r="J1240" s="13">
        <f>Orders[[#This Row],[Quantity]]*Orders[[#This Row],[Selling Price]]</f>
        <v>48283.9</v>
      </c>
      <c r="K1240" s="13">
        <f>Orders[[#This Row],[Quantity]]*Orders[[#This Row],[Cost Price]]</f>
        <v>41041.315000000002</v>
      </c>
      <c r="L1240" s="13">
        <f>Orders[[#This Row],[Revenue]]-Orders[[#This Row],[Expenses]]</f>
        <v>7242.5849999999991</v>
      </c>
      <c r="M1240" t="s">
        <v>2216</v>
      </c>
      <c r="N1240" t="str">
        <f>_xlfn.XLOOKUP(Orders[[#This Row],[CustomerID]],Customers[CustomerID],Customers[CustomerName])</f>
        <v>Chinedu Igwe</v>
      </c>
      <c r="O1240" t="str">
        <f>_xlfn.XLOOKUP(Orders[[#This Row],[CustomerID]],Customers[CustomerID],Customers[City])</f>
        <v>Florida</v>
      </c>
      <c r="P1240" t="str">
        <f>_xlfn.XLOOKUP(Orders[[#This Row],[CustomerID]],Customers[CustomerID],Customers[Gender])</f>
        <v>Male</v>
      </c>
      <c r="Q1240">
        <f>_xlfn.XLOOKUP(Orders[[#This Row],[CustomerID]],Customers[CustomerID],Customers[CustomerAge])</f>
        <v>21</v>
      </c>
      <c r="R1240" t="str">
        <f>IF(Orders[[#This Row],[CustomerAge]]&gt;=35, "Older", "Young")</f>
        <v>Young</v>
      </c>
      <c r="S1240" t="str">
        <f>_xlfn.XLOOKUP(Orders[[#This Row],[ProductID]],Products[ProductID],Products[ProductName])</f>
        <v>Gym Gloves</v>
      </c>
      <c r="T1240" t="str">
        <f>_xlfn.XLOOKUP(Orders[[#This Row],[ProductID]],Products[ProductID],Products[Category])</f>
        <v>Gym</v>
      </c>
    </row>
    <row r="1241" spans="1:20" x14ac:dyDescent="0.25">
      <c r="A1241" s="4" t="s">
        <v>1430</v>
      </c>
      <c r="B1241" s="5">
        <v>45961</v>
      </c>
      <c r="C1241" s="15">
        <f>WEEKNUM(Orders[[#This Row],[OrderDate]])</f>
        <v>44</v>
      </c>
      <c r="D1241" s="15" t="str">
        <f>TEXT(Orders[[#This Row],[OrderDate]],"mmmm")</f>
        <v>October</v>
      </c>
      <c r="E1241" s="4" t="s">
        <v>19</v>
      </c>
      <c r="F1241" s="4" t="s">
        <v>84</v>
      </c>
      <c r="G1241" s="4">
        <v>9</v>
      </c>
      <c r="H1241" s="12">
        <v>15284.9</v>
      </c>
      <c r="I1241" s="13">
        <v>12992.165000000001</v>
      </c>
      <c r="J1241" s="13">
        <f>Orders[[#This Row],[Quantity]]*Orders[[#This Row],[Selling Price]]</f>
        <v>137564.1</v>
      </c>
      <c r="K1241" s="13">
        <f>Orders[[#This Row],[Quantity]]*Orders[[#This Row],[Cost Price]]</f>
        <v>116929.48500000002</v>
      </c>
      <c r="L1241" s="13">
        <f>Orders[[#This Row],[Revenue]]-Orders[[#This Row],[Expenses]]</f>
        <v>20634.614999999991</v>
      </c>
      <c r="M1241" t="s">
        <v>2202</v>
      </c>
      <c r="N1241" t="str">
        <f>_xlfn.XLOOKUP(Orders[[#This Row],[CustomerID]],Customers[CustomerID],Customers[CustomerName])</f>
        <v>Obi Adeyemi</v>
      </c>
      <c r="O1241" t="str">
        <f>_xlfn.XLOOKUP(Orders[[#This Row],[CustomerID]],Customers[CustomerID],Customers[City])</f>
        <v>California</v>
      </c>
      <c r="P1241" t="str">
        <f>_xlfn.XLOOKUP(Orders[[#This Row],[CustomerID]],Customers[CustomerID],Customers[Gender])</f>
        <v>Male</v>
      </c>
      <c r="Q1241">
        <f>_xlfn.XLOOKUP(Orders[[#This Row],[CustomerID]],Customers[CustomerID],Customers[CustomerAge])</f>
        <v>24</v>
      </c>
      <c r="R1241" t="str">
        <f>IF(Orders[[#This Row],[CustomerAge]]&gt;=35, "Older", "Young")</f>
        <v>Young</v>
      </c>
      <c r="S1241" t="str">
        <f>_xlfn.XLOOKUP(Orders[[#This Row],[ProductID]],Products[ProductID],Products[ProductName])</f>
        <v>Gym Wears</v>
      </c>
      <c r="T1241" t="str">
        <f>_xlfn.XLOOKUP(Orders[[#This Row],[ProductID]],Products[ProductID],Products[Category])</f>
        <v>Clothing</v>
      </c>
    </row>
    <row r="1242" spans="1:20" x14ac:dyDescent="0.25">
      <c r="A1242" s="4" t="s">
        <v>1431</v>
      </c>
      <c r="B1242" s="5">
        <v>45992</v>
      </c>
      <c r="C1242" s="15">
        <f>WEEKNUM(Orders[[#This Row],[OrderDate]])</f>
        <v>49</v>
      </c>
      <c r="D1242" s="15" t="str">
        <f>TEXT(Orders[[#This Row],[OrderDate]],"mmmm")</f>
        <v>December</v>
      </c>
      <c r="E1242" s="4" t="s">
        <v>221</v>
      </c>
      <c r="F1242" s="4" t="s">
        <v>81</v>
      </c>
      <c r="G1242" s="4">
        <v>1</v>
      </c>
      <c r="H1242" s="12">
        <v>19521.600000000002</v>
      </c>
      <c r="I1242" s="13">
        <v>16593.36</v>
      </c>
      <c r="J1242" s="13">
        <f>Orders[[#This Row],[Quantity]]*Orders[[#This Row],[Selling Price]]</f>
        <v>19521.600000000002</v>
      </c>
      <c r="K1242" s="13">
        <f>Orders[[#This Row],[Quantity]]*Orders[[#This Row],[Cost Price]]</f>
        <v>16593.36</v>
      </c>
      <c r="L1242" s="13">
        <f>Orders[[#This Row],[Revenue]]-Orders[[#This Row],[Expenses]]</f>
        <v>2928.2400000000016</v>
      </c>
      <c r="M1242" t="s">
        <v>2193</v>
      </c>
      <c r="N1242" t="str">
        <f>_xlfn.XLOOKUP(Orders[[#This Row],[CustomerID]],Customers[CustomerID],Customers[CustomerName])</f>
        <v>Obi Bello</v>
      </c>
      <c r="O1242" t="str">
        <f>_xlfn.XLOOKUP(Orders[[#This Row],[CustomerID]],Customers[CustomerID],Customers[City])</f>
        <v>Texas</v>
      </c>
      <c r="P1242" t="str">
        <f>_xlfn.XLOOKUP(Orders[[#This Row],[CustomerID]],Customers[CustomerID],Customers[Gender])</f>
        <v>Male</v>
      </c>
      <c r="Q1242">
        <f>_xlfn.XLOOKUP(Orders[[#This Row],[CustomerID]],Customers[CustomerID],Customers[CustomerAge])</f>
        <v>18</v>
      </c>
      <c r="R1242" t="str">
        <f>IF(Orders[[#This Row],[CustomerAge]]&gt;=35, "Older", "Young")</f>
        <v>Young</v>
      </c>
      <c r="S1242" t="str">
        <f>_xlfn.XLOOKUP(Orders[[#This Row],[ProductID]],Products[ProductID],Products[ProductName])</f>
        <v>Trousers</v>
      </c>
      <c r="T1242" t="str">
        <f>_xlfn.XLOOKUP(Orders[[#This Row],[ProductID]],Products[ProductID],Products[Category])</f>
        <v>Clothing</v>
      </c>
    </row>
    <row r="1243" spans="1:20" x14ac:dyDescent="0.25">
      <c r="A1243" s="4" t="s">
        <v>1432</v>
      </c>
      <c r="B1243" s="5">
        <v>46004</v>
      </c>
      <c r="C1243" s="15">
        <f>WEEKNUM(Orders[[#This Row],[OrderDate]])</f>
        <v>50</v>
      </c>
      <c r="D1243" s="15" t="str">
        <f>TEXT(Orders[[#This Row],[OrderDate]],"mmmm")</f>
        <v>December</v>
      </c>
      <c r="E1243" s="4" t="s">
        <v>156</v>
      </c>
      <c r="F1243" s="4" t="s">
        <v>81</v>
      </c>
      <c r="G1243" s="4">
        <v>8</v>
      </c>
      <c r="H1243" s="12">
        <v>5320.9000000000005</v>
      </c>
      <c r="I1243" s="13">
        <v>4522.7650000000003</v>
      </c>
      <c r="J1243" s="13">
        <f>Orders[[#This Row],[Quantity]]*Orders[[#This Row],[Selling Price]]</f>
        <v>42567.200000000004</v>
      </c>
      <c r="K1243" s="13">
        <f>Orders[[#This Row],[Quantity]]*Orders[[#This Row],[Cost Price]]</f>
        <v>36182.120000000003</v>
      </c>
      <c r="L1243" s="13">
        <f>Orders[[#This Row],[Revenue]]-Orders[[#This Row],[Expenses]]</f>
        <v>6385.0800000000017</v>
      </c>
      <c r="M1243" t="s">
        <v>2207</v>
      </c>
      <c r="N1243" t="str">
        <f>_xlfn.XLOOKUP(Orders[[#This Row],[CustomerID]],Customers[CustomerID],Customers[CustomerName])</f>
        <v>Obi Okonkwo</v>
      </c>
      <c r="O1243" t="str">
        <f>_xlfn.XLOOKUP(Orders[[#This Row],[CustomerID]],Customers[CustomerID],Customers[City])</f>
        <v>Florida</v>
      </c>
      <c r="P1243" t="str">
        <f>_xlfn.XLOOKUP(Orders[[#This Row],[CustomerID]],Customers[CustomerID],Customers[Gender])</f>
        <v>Male</v>
      </c>
      <c r="Q1243">
        <f>_xlfn.XLOOKUP(Orders[[#This Row],[CustomerID]],Customers[CustomerID],Customers[CustomerAge])</f>
        <v>52</v>
      </c>
      <c r="R1243" t="str">
        <f>IF(Orders[[#This Row],[CustomerAge]]&gt;=35, "Older", "Young")</f>
        <v>Older</v>
      </c>
      <c r="S1243" t="str">
        <f>_xlfn.XLOOKUP(Orders[[#This Row],[ProductID]],Products[ProductID],Products[ProductName])</f>
        <v>Trousers</v>
      </c>
      <c r="T1243" t="str">
        <f>_xlfn.XLOOKUP(Orders[[#This Row],[ProductID]],Products[ProductID],Products[Category])</f>
        <v>Clothing</v>
      </c>
    </row>
    <row r="1244" spans="1:20" x14ac:dyDescent="0.25">
      <c r="A1244" s="4" t="s">
        <v>1433</v>
      </c>
      <c r="B1244" s="5">
        <v>45945</v>
      </c>
      <c r="C1244" s="15">
        <f>WEEKNUM(Orders[[#This Row],[OrderDate]])</f>
        <v>42</v>
      </c>
      <c r="D1244" s="15" t="str">
        <f>TEXT(Orders[[#This Row],[OrderDate]],"mmmm")</f>
        <v>October</v>
      </c>
      <c r="E1244" s="4" t="s">
        <v>186</v>
      </c>
      <c r="F1244" s="4" t="s">
        <v>70</v>
      </c>
      <c r="G1244" s="4">
        <v>8</v>
      </c>
      <c r="H1244" s="12">
        <v>14048.800000000001</v>
      </c>
      <c r="I1244" s="13">
        <v>11941.480000000001</v>
      </c>
      <c r="J1244" s="13">
        <f>Orders[[#This Row],[Quantity]]*Orders[[#This Row],[Selling Price]]</f>
        <v>112390.40000000001</v>
      </c>
      <c r="K1244" s="13">
        <f>Orders[[#This Row],[Quantity]]*Orders[[#This Row],[Cost Price]]</f>
        <v>95531.840000000011</v>
      </c>
      <c r="L1244" s="13">
        <f>Orders[[#This Row],[Revenue]]-Orders[[#This Row],[Expenses]]</f>
        <v>16858.559999999998</v>
      </c>
      <c r="M1244" t="s">
        <v>2207</v>
      </c>
      <c r="N1244" t="str">
        <f>_xlfn.XLOOKUP(Orders[[#This Row],[CustomerID]],Customers[CustomerID],Customers[CustomerName])</f>
        <v>Ronke Eze</v>
      </c>
      <c r="O1244" t="str">
        <f>_xlfn.XLOOKUP(Orders[[#This Row],[CustomerID]],Customers[CustomerID],Customers[City])</f>
        <v>Texas</v>
      </c>
      <c r="P1244" t="str">
        <f>_xlfn.XLOOKUP(Orders[[#This Row],[CustomerID]],Customers[CustomerID],Customers[Gender])</f>
        <v>Female</v>
      </c>
      <c r="Q1244">
        <f>_xlfn.XLOOKUP(Orders[[#This Row],[CustomerID]],Customers[CustomerID],Customers[CustomerAge])</f>
        <v>37</v>
      </c>
      <c r="R1244" t="str">
        <f>IF(Orders[[#This Row],[CustomerAge]]&gt;=35, "Older", "Young")</f>
        <v>Older</v>
      </c>
      <c r="S1244" t="str">
        <f>_xlfn.XLOOKUP(Orders[[#This Row],[ProductID]],Products[ProductID],Products[ProductName])</f>
        <v>Yoga Mat</v>
      </c>
      <c r="T1244" t="str">
        <f>_xlfn.XLOOKUP(Orders[[#This Row],[ProductID]],Products[ProductID],Products[Category])</f>
        <v>Gym</v>
      </c>
    </row>
    <row r="1245" spans="1:20" x14ac:dyDescent="0.25">
      <c r="A1245" s="4" t="s">
        <v>1434</v>
      </c>
      <c r="B1245" s="5">
        <v>45952</v>
      </c>
      <c r="C1245" s="15">
        <f>WEEKNUM(Orders[[#This Row],[OrderDate]])</f>
        <v>43</v>
      </c>
      <c r="D1245" s="15" t="str">
        <f>TEXT(Orders[[#This Row],[OrderDate]],"mmmm")</f>
        <v>October</v>
      </c>
      <c r="E1245" s="4" t="s">
        <v>295</v>
      </c>
      <c r="F1245" s="4" t="s">
        <v>168</v>
      </c>
      <c r="G1245" s="4">
        <v>2</v>
      </c>
      <c r="H1245" s="12">
        <v>12063.4</v>
      </c>
      <c r="I1245" s="13">
        <v>10253.89</v>
      </c>
      <c r="J1245" s="13">
        <f>Orders[[#This Row],[Quantity]]*Orders[[#This Row],[Selling Price]]</f>
        <v>24126.799999999999</v>
      </c>
      <c r="K1245" s="13">
        <f>Orders[[#This Row],[Quantity]]*Orders[[#This Row],[Cost Price]]</f>
        <v>20507.78</v>
      </c>
      <c r="L1245" s="13">
        <f>Orders[[#This Row],[Revenue]]-Orders[[#This Row],[Expenses]]</f>
        <v>3619.0200000000004</v>
      </c>
      <c r="M1245" t="s">
        <v>2197</v>
      </c>
      <c r="N1245" t="str">
        <f>_xlfn.XLOOKUP(Orders[[#This Row],[CustomerID]],Customers[CustomerID],Customers[CustomerName])</f>
        <v>Sani Obi</v>
      </c>
      <c r="O1245" t="str">
        <f>_xlfn.XLOOKUP(Orders[[#This Row],[CustomerID]],Customers[CustomerID],Customers[City])</f>
        <v>Texas</v>
      </c>
      <c r="P1245" t="str">
        <f>_xlfn.XLOOKUP(Orders[[#This Row],[CustomerID]],Customers[CustomerID],Customers[Gender])</f>
        <v>Male</v>
      </c>
      <c r="Q1245">
        <f>_xlfn.XLOOKUP(Orders[[#This Row],[CustomerID]],Customers[CustomerID],Customers[CustomerAge])</f>
        <v>31</v>
      </c>
      <c r="R1245" t="str">
        <f>IF(Orders[[#This Row],[CustomerAge]]&gt;=35, "Older", "Young")</f>
        <v>Young</v>
      </c>
      <c r="S1245" t="str">
        <f>_xlfn.XLOOKUP(Orders[[#This Row],[ProductID]],Products[ProductID],Products[ProductName])</f>
        <v>Dumb Bells</v>
      </c>
      <c r="T1245" t="str">
        <f>_xlfn.XLOOKUP(Orders[[#This Row],[ProductID]],Products[ProductID],Products[Category])</f>
        <v>Gym</v>
      </c>
    </row>
    <row r="1246" spans="1:20" x14ac:dyDescent="0.25">
      <c r="A1246" s="4" t="s">
        <v>1435</v>
      </c>
      <c r="B1246" s="5">
        <v>46009</v>
      </c>
      <c r="C1246" s="15">
        <f>WEEKNUM(Orders[[#This Row],[OrderDate]])</f>
        <v>51</v>
      </c>
      <c r="D1246" s="15" t="str">
        <f>TEXT(Orders[[#This Row],[OrderDate]],"mmmm")</f>
        <v>December</v>
      </c>
      <c r="E1246" s="4" t="s">
        <v>198</v>
      </c>
      <c r="F1246" s="4" t="s">
        <v>253</v>
      </c>
      <c r="G1246" s="4">
        <v>7</v>
      </c>
      <c r="H1246" s="12">
        <v>9720.5999999999985</v>
      </c>
      <c r="I1246" s="13">
        <v>8262.5099999999984</v>
      </c>
      <c r="J1246" s="13">
        <f>Orders[[#This Row],[Quantity]]*Orders[[#This Row],[Selling Price]]</f>
        <v>68044.199999999983</v>
      </c>
      <c r="K1246" s="13">
        <f>Orders[[#This Row],[Quantity]]*Orders[[#This Row],[Cost Price]]</f>
        <v>57837.569999999992</v>
      </c>
      <c r="L1246" s="13">
        <f>Orders[[#This Row],[Revenue]]-Orders[[#This Row],[Expenses]]</f>
        <v>10206.62999999999</v>
      </c>
      <c r="M1246" t="s">
        <v>2201</v>
      </c>
      <c r="N1246" t="str">
        <f>_xlfn.XLOOKUP(Orders[[#This Row],[CustomerID]],Customers[CustomerID],Customers[CustomerName])</f>
        <v>Blessing Danladi</v>
      </c>
      <c r="O1246" t="str">
        <f>_xlfn.XLOOKUP(Orders[[#This Row],[CustomerID]],Customers[CustomerID],Customers[City])</f>
        <v>Texas</v>
      </c>
      <c r="P1246" t="str">
        <f>_xlfn.XLOOKUP(Orders[[#This Row],[CustomerID]],Customers[CustomerID],Customers[Gender])</f>
        <v>Female</v>
      </c>
      <c r="Q1246">
        <f>_xlfn.XLOOKUP(Orders[[#This Row],[CustomerID]],Customers[CustomerID],Customers[CustomerAge])</f>
        <v>19</v>
      </c>
      <c r="R1246" t="str">
        <f>IF(Orders[[#This Row],[CustomerAge]]&gt;=35, "Older", "Young")</f>
        <v>Young</v>
      </c>
      <c r="S1246" t="str">
        <f>_xlfn.XLOOKUP(Orders[[#This Row],[ProductID]],Products[ProductID],Products[ProductName])</f>
        <v>Nose Rings</v>
      </c>
      <c r="T1246" t="str">
        <f>_xlfn.XLOOKUP(Orders[[#This Row],[ProductID]],Products[ProductID],Products[Category])</f>
        <v>Accessories</v>
      </c>
    </row>
    <row r="1247" spans="1:20" x14ac:dyDescent="0.25">
      <c r="A1247" s="4" t="s">
        <v>1436</v>
      </c>
      <c r="B1247" s="5">
        <v>45933</v>
      </c>
      <c r="C1247" s="15">
        <f>WEEKNUM(Orders[[#This Row],[OrderDate]])</f>
        <v>40</v>
      </c>
      <c r="D1247" s="15" t="str">
        <f>TEXT(Orders[[#This Row],[OrderDate]],"mmmm")</f>
        <v>October</v>
      </c>
      <c r="E1247" s="4" t="s">
        <v>514</v>
      </c>
      <c r="F1247" s="4" t="s">
        <v>25</v>
      </c>
      <c r="G1247" s="4">
        <v>5</v>
      </c>
      <c r="H1247" s="12">
        <v>8729</v>
      </c>
      <c r="I1247" s="13">
        <v>7419.65</v>
      </c>
      <c r="J1247" s="13">
        <f>Orders[[#This Row],[Quantity]]*Orders[[#This Row],[Selling Price]]</f>
        <v>43645</v>
      </c>
      <c r="K1247" s="13">
        <f>Orders[[#This Row],[Quantity]]*Orders[[#This Row],[Cost Price]]</f>
        <v>37098.25</v>
      </c>
      <c r="L1247" s="13">
        <f>Orders[[#This Row],[Revenue]]-Orders[[#This Row],[Expenses]]</f>
        <v>6546.75</v>
      </c>
      <c r="M1247" t="s">
        <v>2199</v>
      </c>
      <c r="N1247" t="str">
        <f>_xlfn.XLOOKUP(Orders[[#This Row],[CustomerID]],Customers[CustomerID],Customers[CustomerName])</f>
        <v>Ibrahim Okonkwo</v>
      </c>
      <c r="O1247" t="str">
        <f>_xlfn.XLOOKUP(Orders[[#This Row],[CustomerID]],Customers[CustomerID],Customers[City])</f>
        <v>Florida</v>
      </c>
      <c r="P1247" t="str">
        <f>_xlfn.XLOOKUP(Orders[[#This Row],[CustomerID]],Customers[CustomerID],Customers[Gender])</f>
        <v>Male</v>
      </c>
      <c r="Q1247">
        <f>_xlfn.XLOOKUP(Orders[[#This Row],[CustomerID]],Customers[CustomerID],Customers[CustomerAge])</f>
        <v>28</v>
      </c>
      <c r="R1247" t="str">
        <f>IF(Orders[[#This Row],[CustomerAge]]&gt;=35, "Older", "Young")</f>
        <v>Young</v>
      </c>
      <c r="S1247" t="str">
        <f>_xlfn.XLOOKUP(Orders[[#This Row],[ProductID]],Products[ProductID],Products[ProductName])</f>
        <v>Gold Rings</v>
      </c>
      <c r="T1247" t="str">
        <f>_xlfn.XLOOKUP(Orders[[#This Row],[ProductID]],Products[ProductID],Products[Category])</f>
        <v>Accessories</v>
      </c>
    </row>
    <row r="1248" spans="1:20" x14ac:dyDescent="0.25">
      <c r="A1248" s="4" t="s">
        <v>1437</v>
      </c>
      <c r="B1248" s="5">
        <v>45954</v>
      </c>
      <c r="C1248" s="15">
        <f>WEEKNUM(Orders[[#This Row],[OrderDate]])</f>
        <v>43</v>
      </c>
      <c r="D1248" s="15" t="str">
        <f>TEXT(Orders[[#This Row],[OrderDate]],"mmmm")</f>
        <v>October</v>
      </c>
      <c r="E1248" s="4" t="s">
        <v>260</v>
      </c>
      <c r="F1248" s="4" t="s">
        <v>125</v>
      </c>
      <c r="G1248" s="4">
        <v>4</v>
      </c>
      <c r="H1248" s="12">
        <v>6057.9</v>
      </c>
      <c r="I1248" s="13">
        <v>5149.2150000000001</v>
      </c>
      <c r="J1248" s="13">
        <f>Orders[[#This Row],[Quantity]]*Orders[[#This Row],[Selling Price]]</f>
        <v>24231.599999999999</v>
      </c>
      <c r="K1248" s="13">
        <f>Orders[[#This Row],[Quantity]]*Orders[[#This Row],[Cost Price]]</f>
        <v>20596.86</v>
      </c>
      <c r="L1248" s="13">
        <f>Orders[[#This Row],[Revenue]]-Orders[[#This Row],[Expenses]]</f>
        <v>3634.739999999998</v>
      </c>
      <c r="M1248" t="s">
        <v>2218</v>
      </c>
      <c r="N1248" t="str">
        <f>_xlfn.XLOOKUP(Orders[[#This Row],[CustomerID]],Customers[CustomerID],Customers[CustomerName])</f>
        <v>Amina Obi</v>
      </c>
      <c r="O1248" t="str">
        <f>_xlfn.XLOOKUP(Orders[[#This Row],[CustomerID]],Customers[CustomerID],Customers[City])</f>
        <v>Florida</v>
      </c>
      <c r="P1248" t="str">
        <f>_xlfn.XLOOKUP(Orders[[#This Row],[CustomerID]],Customers[CustomerID],Customers[Gender])</f>
        <v>Female</v>
      </c>
      <c r="Q1248">
        <f>_xlfn.XLOOKUP(Orders[[#This Row],[CustomerID]],Customers[CustomerID],Customers[CustomerAge])</f>
        <v>29</v>
      </c>
      <c r="R1248" t="str">
        <f>IF(Orders[[#This Row],[CustomerAge]]&gt;=35, "Older", "Young")</f>
        <v>Young</v>
      </c>
      <c r="S1248" t="str">
        <f>_xlfn.XLOOKUP(Orders[[#This Row],[ProductID]],Products[ProductID],Products[ProductName])</f>
        <v>Earrings</v>
      </c>
      <c r="T1248" t="str">
        <f>_xlfn.XLOOKUP(Orders[[#This Row],[ProductID]],Products[ProductID],Products[Category])</f>
        <v>Accessories</v>
      </c>
    </row>
    <row r="1249" spans="1:20" x14ac:dyDescent="0.25">
      <c r="A1249" s="4" t="s">
        <v>1438</v>
      </c>
      <c r="B1249" s="5">
        <v>45960</v>
      </c>
      <c r="C1249" s="15">
        <f>WEEKNUM(Orders[[#This Row],[OrderDate]])</f>
        <v>44</v>
      </c>
      <c r="D1249" s="15" t="str">
        <f>TEXT(Orders[[#This Row],[OrderDate]],"mmmm")</f>
        <v>October</v>
      </c>
      <c r="E1249" s="4" t="s">
        <v>22</v>
      </c>
      <c r="F1249" s="4" t="s">
        <v>15</v>
      </c>
      <c r="G1249" s="4">
        <v>1</v>
      </c>
      <c r="H1249" s="12">
        <v>4969.3</v>
      </c>
      <c r="I1249" s="13">
        <v>4223.9050000000007</v>
      </c>
      <c r="J1249" s="13">
        <f>Orders[[#This Row],[Quantity]]*Orders[[#This Row],[Selling Price]]</f>
        <v>4969.3</v>
      </c>
      <c r="K1249" s="13">
        <f>Orders[[#This Row],[Quantity]]*Orders[[#This Row],[Cost Price]]</f>
        <v>4223.9050000000007</v>
      </c>
      <c r="L1249" s="13">
        <f>Orders[[#This Row],[Revenue]]-Orders[[#This Row],[Expenses]]</f>
        <v>745.39499999999953</v>
      </c>
      <c r="M1249" t="s">
        <v>2194</v>
      </c>
      <c r="N1249" t="str">
        <f>_xlfn.XLOOKUP(Orders[[#This Row],[CustomerID]],Customers[CustomerID],Customers[CustomerName])</f>
        <v>Temi Bello</v>
      </c>
      <c r="O1249" t="str">
        <f>_xlfn.XLOOKUP(Orders[[#This Row],[CustomerID]],Customers[CustomerID],Customers[City])</f>
        <v>Texas</v>
      </c>
      <c r="P1249" t="str">
        <f>_xlfn.XLOOKUP(Orders[[#This Row],[CustomerID]],Customers[CustomerID],Customers[Gender])</f>
        <v>Female</v>
      </c>
      <c r="Q1249">
        <f>_xlfn.XLOOKUP(Orders[[#This Row],[CustomerID]],Customers[CustomerID],Customers[CustomerAge])</f>
        <v>52</v>
      </c>
      <c r="R1249" t="str">
        <f>IF(Orders[[#This Row],[CustomerAge]]&gt;=35, "Older", "Young")</f>
        <v>Older</v>
      </c>
      <c r="S1249" t="str">
        <f>_xlfn.XLOOKUP(Orders[[#This Row],[ProductID]],Products[ProductID],Products[ProductName])</f>
        <v>Monopoly</v>
      </c>
      <c r="T1249" t="str">
        <f>_xlfn.XLOOKUP(Orders[[#This Row],[ProductID]],Products[ProductID],Products[Category])</f>
        <v>Games</v>
      </c>
    </row>
    <row r="1250" spans="1:20" x14ac:dyDescent="0.25">
      <c r="A1250" s="4" t="s">
        <v>1439</v>
      </c>
      <c r="B1250" s="5">
        <v>45959</v>
      </c>
      <c r="C1250" s="15">
        <f>WEEKNUM(Orders[[#This Row],[OrderDate]])</f>
        <v>44</v>
      </c>
      <c r="D1250" s="15" t="str">
        <f>TEXT(Orders[[#This Row],[OrderDate]],"mmmm")</f>
        <v>October</v>
      </c>
      <c r="E1250" s="4" t="s">
        <v>45</v>
      </c>
      <c r="F1250" s="4" t="s">
        <v>168</v>
      </c>
      <c r="G1250" s="4">
        <v>7</v>
      </c>
      <c r="H1250" s="12">
        <v>3052.5</v>
      </c>
      <c r="I1250" s="13">
        <v>2594.625</v>
      </c>
      <c r="J1250" s="13">
        <f>Orders[[#This Row],[Quantity]]*Orders[[#This Row],[Selling Price]]</f>
        <v>21367.5</v>
      </c>
      <c r="K1250" s="13">
        <f>Orders[[#This Row],[Quantity]]*Orders[[#This Row],[Cost Price]]</f>
        <v>18162.375</v>
      </c>
      <c r="L1250" s="13">
        <f>Orders[[#This Row],[Revenue]]-Orders[[#This Row],[Expenses]]</f>
        <v>3205.125</v>
      </c>
      <c r="M1250" t="s">
        <v>2194</v>
      </c>
      <c r="N1250" t="str">
        <f>_xlfn.XLOOKUP(Orders[[#This Row],[CustomerID]],Customers[CustomerID],Customers[CustomerName])</f>
        <v>Abiola Abubakar</v>
      </c>
      <c r="O1250" t="str">
        <f>_xlfn.XLOOKUP(Orders[[#This Row],[CustomerID]],Customers[CustomerID],Customers[City])</f>
        <v>Florida</v>
      </c>
      <c r="P1250" t="str">
        <f>_xlfn.XLOOKUP(Orders[[#This Row],[CustomerID]],Customers[CustomerID],Customers[Gender])</f>
        <v>Male</v>
      </c>
      <c r="Q1250">
        <f>_xlfn.XLOOKUP(Orders[[#This Row],[CustomerID]],Customers[CustomerID],Customers[CustomerAge])</f>
        <v>26</v>
      </c>
      <c r="R1250" t="str">
        <f>IF(Orders[[#This Row],[CustomerAge]]&gt;=35, "Older", "Young")</f>
        <v>Young</v>
      </c>
      <c r="S1250" t="str">
        <f>_xlfn.XLOOKUP(Orders[[#This Row],[ProductID]],Products[ProductID],Products[ProductName])</f>
        <v>Dumb Bells</v>
      </c>
      <c r="T1250" t="str">
        <f>_xlfn.XLOOKUP(Orders[[#This Row],[ProductID]],Products[ProductID],Products[Category])</f>
        <v>Gym</v>
      </c>
    </row>
    <row r="1251" spans="1:20" x14ac:dyDescent="0.25">
      <c r="A1251" s="4" t="s">
        <v>1440</v>
      </c>
      <c r="B1251" s="5">
        <v>45949</v>
      </c>
      <c r="C1251" s="15">
        <f>WEEKNUM(Orders[[#This Row],[OrderDate]])</f>
        <v>43</v>
      </c>
      <c r="D1251" s="15" t="str">
        <f>TEXT(Orders[[#This Row],[OrderDate]],"mmmm")</f>
        <v>October</v>
      </c>
      <c r="E1251" s="4" t="s">
        <v>39</v>
      </c>
      <c r="F1251" s="4" t="s">
        <v>111</v>
      </c>
      <c r="G1251" s="4">
        <v>9</v>
      </c>
      <c r="H1251" s="12">
        <v>12504.8</v>
      </c>
      <c r="I1251" s="13">
        <v>10629.08</v>
      </c>
      <c r="J1251" s="13">
        <f>Orders[[#This Row],[Quantity]]*Orders[[#This Row],[Selling Price]]</f>
        <v>112543.2</v>
      </c>
      <c r="K1251" s="13">
        <f>Orders[[#This Row],[Quantity]]*Orders[[#This Row],[Cost Price]]</f>
        <v>95661.72</v>
      </c>
      <c r="L1251" s="13">
        <f>Orders[[#This Row],[Revenue]]-Orders[[#This Row],[Expenses]]</f>
        <v>16881.479999999996</v>
      </c>
      <c r="M1251" t="s">
        <v>2197</v>
      </c>
      <c r="N1251" t="str">
        <f>_xlfn.XLOOKUP(Orders[[#This Row],[CustomerID]],Customers[CustomerID],Customers[CustomerName])</f>
        <v>Efe Adeyemi</v>
      </c>
      <c r="O1251" t="str">
        <f>_xlfn.XLOOKUP(Orders[[#This Row],[CustomerID]],Customers[CustomerID],Customers[City])</f>
        <v>Florida</v>
      </c>
      <c r="P1251" t="str">
        <f>_xlfn.XLOOKUP(Orders[[#This Row],[CustomerID]],Customers[CustomerID],Customers[Gender])</f>
        <v>Female</v>
      </c>
      <c r="Q1251">
        <f>_xlfn.XLOOKUP(Orders[[#This Row],[CustomerID]],Customers[CustomerID],Customers[CustomerAge])</f>
        <v>20</v>
      </c>
      <c r="R1251" t="str">
        <f>IF(Orders[[#This Row],[CustomerAge]]&gt;=35, "Older", "Young")</f>
        <v>Young</v>
      </c>
      <c r="S1251" t="str">
        <f>_xlfn.XLOOKUP(Orders[[#This Row],[ProductID]],Products[ProductID],Products[ProductName])</f>
        <v>Refrigerator</v>
      </c>
      <c r="T1251" t="str">
        <f>_xlfn.XLOOKUP(Orders[[#This Row],[ProductID]],Products[ProductID],Products[Category])</f>
        <v>Electronics</v>
      </c>
    </row>
    <row r="1252" spans="1:20" x14ac:dyDescent="0.25">
      <c r="A1252" s="4" t="s">
        <v>1441</v>
      </c>
      <c r="B1252" s="5">
        <v>45976</v>
      </c>
      <c r="C1252" s="15">
        <f>WEEKNUM(Orders[[#This Row],[OrderDate]])</f>
        <v>46</v>
      </c>
      <c r="D1252" s="15" t="str">
        <f>TEXT(Orders[[#This Row],[OrderDate]],"mmmm")</f>
        <v>November</v>
      </c>
      <c r="E1252" s="4" t="s">
        <v>369</v>
      </c>
      <c r="F1252" s="4" t="s">
        <v>81</v>
      </c>
      <c r="G1252" s="4">
        <v>7</v>
      </c>
      <c r="H1252" s="12">
        <v>2998.8999999999996</v>
      </c>
      <c r="I1252" s="13">
        <v>2549.0649999999996</v>
      </c>
      <c r="J1252" s="13">
        <f>Orders[[#This Row],[Quantity]]*Orders[[#This Row],[Selling Price]]</f>
        <v>20992.299999999996</v>
      </c>
      <c r="K1252" s="13">
        <f>Orders[[#This Row],[Quantity]]*Orders[[#This Row],[Cost Price]]</f>
        <v>17843.454999999998</v>
      </c>
      <c r="L1252" s="13">
        <f>Orders[[#This Row],[Revenue]]-Orders[[#This Row],[Expenses]]</f>
        <v>3148.8449999999975</v>
      </c>
      <c r="M1252" t="s">
        <v>2217</v>
      </c>
      <c r="N1252" t="str">
        <f>_xlfn.XLOOKUP(Orders[[#This Row],[CustomerID]],Customers[CustomerID],Customers[CustomerName])</f>
        <v>Ibrahim Bello</v>
      </c>
      <c r="O1252" t="str">
        <f>_xlfn.XLOOKUP(Orders[[#This Row],[CustomerID]],Customers[CustomerID],Customers[City])</f>
        <v>Washington</v>
      </c>
      <c r="P1252" t="str">
        <f>_xlfn.XLOOKUP(Orders[[#This Row],[CustomerID]],Customers[CustomerID],Customers[Gender])</f>
        <v>Male</v>
      </c>
      <c r="Q1252">
        <f>_xlfn.XLOOKUP(Orders[[#This Row],[CustomerID]],Customers[CustomerID],Customers[CustomerAge])</f>
        <v>40</v>
      </c>
      <c r="R1252" t="str">
        <f>IF(Orders[[#This Row],[CustomerAge]]&gt;=35, "Older", "Young")</f>
        <v>Older</v>
      </c>
      <c r="S1252" t="str">
        <f>_xlfn.XLOOKUP(Orders[[#This Row],[ProductID]],Products[ProductID],Products[ProductName])</f>
        <v>Trousers</v>
      </c>
      <c r="T1252" t="str">
        <f>_xlfn.XLOOKUP(Orders[[#This Row],[ProductID]],Products[ProductID],Products[Category])</f>
        <v>Clothing</v>
      </c>
    </row>
    <row r="1253" spans="1:20" x14ac:dyDescent="0.25">
      <c r="A1253" s="4" t="s">
        <v>1442</v>
      </c>
      <c r="B1253" s="5">
        <v>46021</v>
      </c>
      <c r="C1253" s="15">
        <f>WEEKNUM(Orders[[#This Row],[OrderDate]])</f>
        <v>53</v>
      </c>
      <c r="D1253" s="15" t="str">
        <f>TEXT(Orders[[#This Row],[OrderDate]],"mmmm")</f>
        <v>December</v>
      </c>
      <c r="E1253" s="4" t="s">
        <v>426</v>
      </c>
      <c r="F1253" s="4" t="s">
        <v>60</v>
      </c>
      <c r="G1253" s="4">
        <v>9</v>
      </c>
      <c r="H1253" s="12">
        <v>4076.5</v>
      </c>
      <c r="I1253" s="13">
        <v>3465.0250000000001</v>
      </c>
      <c r="J1253" s="13">
        <f>Orders[[#This Row],[Quantity]]*Orders[[#This Row],[Selling Price]]</f>
        <v>36688.5</v>
      </c>
      <c r="K1253" s="13">
        <f>Orders[[#This Row],[Quantity]]*Orders[[#This Row],[Cost Price]]</f>
        <v>31185.225000000002</v>
      </c>
      <c r="L1253" s="13">
        <f>Orders[[#This Row],[Revenue]]-Orders[[#This Row],[Expenses]]</f>
        <v>5503.2749999999978</v>
      </c>
      <c r="M1253" t="s">
        <v>2203</v>
      </c>
      <c r="N1253" t="str">
        <f>_xlfn.XLOOKUP(Orders[[#This Row],[CustomerID]],Customers[CustomerID],Customers[CustomerName])</f>
        <v>Chinedu Ojo</v>
      </c>
      <c r="O1253" t="str">
        <f>_xlfn.XLOOKUP(Orders[[#This Row],[CustomerID]],Customers[CustomerID],Customers[City])</f>
        <v>Washington</v>
      </c>
      <c r="P1253" t="str">
        <f>_xlfn.XLOOKUP(Orders[[#This Row],[CustomerID]],Customers[CustomerID],Customers[Gender])</f>
        <v>Male</v>
      </c>
      <c r="Q1253">
        <f>_xlfn.XLOOKUP(Orders[[#This Row],[CustomerID]],Customers[CustomerID],Customers[CustomerAge])</f>
        <v>18</v>
      </c>
      <c r="R1253" t="str">
        <f>IF(Orders[[#This Row],[CustomerAge]]&gt;=35, "Older", "Young")</f>
        <v>Young</v>
      </c>
      <c r="S1253" t="str">
        <f>_xlfn.XLOOKUP(Orders[[#This Row],[ProductID]],Products[ProductID],Products[ProductName])</f>
        <v>Silver Rings</v>
      </c>
      <c r="T1253" t="str">
        <f>_xlfn.XLOOKUP(Orders[[#This Row],[ProductID]],Products[ProductID],Products[Category])</f>
        <v>Accessories</v>
      </c>
    </row>
    <row r="1254" spans="1:20" x14ac:dyDescent="0.25">
      <c r="A1254" s="4" t="s">
        <v>1443</v>
      </c>
      <c r="B1254" s="5">
        <v>46006</v>
      </c>
      <c r="C1254" s="15">
        <f>WEEKNUM(Orders[[#This Row],[OrderDate]])</f>
        <v>51</v>
      </c>
      <c r="D1254" s="15" t="str">
        <f>TEXT(Orders[[#This Row],[OrderDate]],"mmmm")</f>
        <v>December</v>
      </c>
      <c r="E1254" s="4" t="s">
        <v>260</v>
      </c>
      <c r="F1254" s="4" t="s">
        <v>232</v>
      </c>
      <c r="G1254" s="4">
        <v>8</v>
      </c>
      <c r="H1254" s="12">
        <v>14550</v>
      </c>
      <c r="I1254" s="13">
        <v>12367.5</v>
      </c>
      <c r="J1254" s="13">
        <f>Orders[[#This Row],[Quantity]]*Orders[[#This Row],[Selling Price]]</f>
        <v>116400</v>
      </c>
      <c r="K1254" s="13">
        <f>Orders[[#This Row],[Quantity]]*Orders[[#This Row],[Cost Price]]</f>
        <v>98940</v>
      </c>
      <c r="L1254" s="13">
        <f>Orders[[#This Row],[Revenue]]-Orders[[#This Row],[Expenses]]</f>
        <v>17460</v>
      </c>
      <c r="M1254" t="s">
        <v>2205</v>
      </c>
      <c r="N1254" t="str">
        <f>_xlfn.XLOOKUP(Orders[[#This Row],[CustomerID]],Customers[CustomerID],Customers[CustomerName])</f>
        <v>Amina Obi</v>
      </c>
      <c r="O1254" t="str">
        <f>_xlfn.XLOOKUP(Orders[[#This Row],[CustomerID]],Customers[CustomerID],Customers[City])</f>
        <v>Florida</v>
      </c>
      <c r="P1254" t="str">
        <f>_xlfn.XLOOKUP(Orders[[#This Row],[CustomerID]],Customers[CustomerID],Customers[Gender])</f>
        <v>Female</v>
      </c>
      <c r="Q1254">
        <f>_xlfn.XLOOKUP(Orders[[#This Row],[CustomerID]],Customers[CustomerID],Customers[CustomerAge])</f>
        <v>29</v>
      </c>
      <c r="R1254" t="str">
        <f>IF(Orders[[#This Row],[CustomerAge]]&gt;=35, "Older", "Young")</f>
        <v>Young</v>
      </c>
      <c r="S1254" t="str">
        <f>_xlfn.XLOOKUP(Orders[[#This Row],[ProductID]],Products[ProductID],Products[ProductName])</f>
        <v>Ankara</v>
      </c>
      <c r="T1254" t="str">
        <f>_xlfn.XLOOKUP(Orders[[#This Row],[ProductID]],Products[ProductID],Products[Category])</f>
        <v>Clothing</v>
      </c>
    </row>
    <row r="1255" spans="1:20" x14ac:dyDescent="0.25">
      <c r="A1255" s="4" t="s">
        <v>1444</v>
      </c>
      <c r="B1255" s="5">
        <v>45995</v>
      </c>
      <c r="C1255" s="15">
        <f>WEEKNUM(Orders[[#This Row],[OrderDate]])</f>
        <v>49</v>
      </c>
      <c r="D1255" s="15" t="str">
        <f>TEXT(Orders[[#This Row],[OrderDate]],"mmmm")</f>
        <v>December</v>
      </c>
      <c r="E1255" s="4" t="s">
        <v>105</v>
      </c>
      <c r="F1255" s="4" t="s">
        <v>208</v>
      </c>
      <c r="G1255" s="4">
        <v>8</v>
      </c>
      <c r="H1255" s="12">
        <v>3006</v>
      </c>
      <c r="I1255" s="13">
        <v>2555.1</v>
      </c>
      <c r="J1255" s="13">
        <f>Orders[[#This Row],[Quantity]]*Orders[[#This Row],[Selling Price]]</f>
        <v>24048</v>
      </c>
      <c r="K1255" s="13">
        <f>Orders[[#This Row],[Quantity]]*Orders[[#This Row],[Cost Price]]</f>
        <v>20440.8</v>
      </c>
      <c r="L1255" s="13">
        <f>Orders[[#This Row],[Revenue]]-Orders[[#This Row],[Expenses]]</f>
        <v>3607.2000000000007</v>
      </c>
      <c r="M1255" t="s">
        <v>2211</v>
      </c>
      <c r="N1255" t="str">
        <f>_xlfn.XLOOKUP(Orders[[#This Row],[CustomerID]],Customers[CustomerID],Customers[CustomerName])</f>
        <v>Folasade Adeyemi</v>
      </c>
      <c r="O1255" t="str">
        <f>_xlfn.XLOOKUP(Orders[[#This Row],[CustomerID]],Customers[CustomerID],Customers[City])</f>
        <v>Georgia</v>
      </c>
      <c r="P1255" t="str">
        <f>_xlfn.XLOOKUP(Orders[[#This Row],[CustomerID]],Customers[CustomerID],Customers[Gender])</f>
        <v>Female</v>
      </c>
      <c r="Q1255">
        <f>_xlfn.XLOOKUP(Orders[[#This Row],[CustomerID]],Customers[CustomerID],Customers[CustomerAge])</f>
        <v>42</v>
      </c>
      <c r="R1255" t="str">
        <f>IF(Orders[[#This Row],[CustomerAge]]&gt;=35, "Older", "Young")</f>
        <v>Older</v>
      </c>
      <c r="S1255" t="str">
        <f>_xlfn.XLOOKUP(Orders[[#This Row],[ProductID]],Products[ProductID],Products[ProductName])</f>
        <v>Skipping Rope</v>
      </c>
      <c r="T1255" t="str">
        <f>_xlfn.XLOOKUP(Orders[[#This Row],[ProductID]],Products[ProductID],Products[Category])</f>
        <v>Sports</v>
      </c>
    </row>
    <row r="1256" spans="1:20" x14ac:dyDescent="0.25">
      <c r="A1256" s="4" t="s">
        <v>1445</v>
      </c>
      <c r="B1256" s="5">
        <v>45985</v>
      </c>
      <c r="C1256" s="15">
        <f>WEEKNUM(Orders[[#This Row],[OrderDate]])</f>
        <v>48</v>
      </c>
      <c r="D1256" s="15" t="str">
        <f>TEXT(Orders[[#This Row],[OrderDate]],"mmmm")</f>
        <v>November</v>
      </c>
      <c r="E1256" s="4" t="s">
        <v>19</v>
      </c>
      <c r="F1256" s="4" t="s">
        <v>111</v>
      </c>
      <c r="G1256" s="4">
        <v>1</v>
      </c>
      <c r="H1256" s="12">
        <v>16237</v>
      </c>
      <c r="I1256" s="13">
        <v>13801.45</v>
      </c>
      <c r="J1256" s="13">
        <f>Orders[[#This Row],[Quantity]]*Orders[[#This Row],[Selling Price]]</f>
        <v>16237</v>
      </c>
      <c r="K1256" s="13">
        <f>Orders[[#This Row],[Quantity]]*Orders[[#This Row],[Cost Price]]</f>
        <v>13801.45</v>
      </c>
      <c r="L1256" s="13">
        <f>Orders[[#This Row],[Revenue]]-Orders[[#This Row],[Expenses]]</f>
        <v>2435.5499999999993</v>
      </c>
      <c r="M1256" t="s">
        <v>2201</v>
      </c>
      <c r="N1256" t="str">
        <f>_xlfn.XLOOKUP(Orders[[#This Row],[CustomerID]],Customers[CustomerID],Customers[CustomerName])</f>
        <v>Obi Adeyemi</v>
      </c>
      <c r="O1256" t="str">
        <f>_xlfn.XLOOKUP(Orders[[#This Row],[CustomerID]],Customers[CustomerID],Customers[City])</f>
        <v>California</v>
      </c>
      <c r="P1256" t="str">
        <f>_xlfn.XLOOKUP(Orders[[#This Row],[CustomerID]],Customers[CustomerID],Customers[Gender])</f>
        <v>Male</v>
      </c>
      <c r="Q1256">
        <f>_xlfn.XLOOKUP(Orders[[#This Row],[CustomerID]],Customers[CustomerID],Customers[CustomerAge])</f>
        <v>24</v>
      </c>
      <c r="R1256" t="str">
        <f>IF(Orders[[#This Row],[CustomerAge]]&gt;=35, "Older", "Young")</f>
        <v>Young</v>
      </c>
      <c r="S1256" t="str">
        <f>_xlfn.XLOOKUP(Orders[[#This Row],[ProductID]],Products[ProductID],Products[ProductName])</f>
        <v>Refrigerator</v>
      </c>
      <c r="T1256" t="str">
        <f>_xlfn.XLOOKUP(Orders[[#This Row],[ProductID]],Products[ProductID],Products[Category])</f>
        <v>Electronics</v>
      </c>
    </row>
    <row r="1257" spans="1:20" x14ac:dyDescent="0.25">
      <c r="A1257" s="4" t="s">
        <v>1446</v>
      </c>
      <c r="B1257" s="5">
        <v>45973</v>
      </c>
      <c r="C1257" s="15">
        <f>WEEKNUM(Orders[[#This Row],[OrderDate]])</f>
        <v>46</v>
      </c>
      <c r="D1257" s="15" t="str">
        <f>TEXT(Orders[[#This Row],[OrderDate]],"mmmm")</f>
        <v>November</v>
      </c>
      <c r="E1257" s="4" t="s">
        <v>275</v>
      </c>
      <c r="F1257" s="4" t="s">
        <v>120</v>
      </c>
      <c r="G1257" s="4">
        <v>1</v>
      </c>
      <c r="H1257" s="12">
        <v>16327.1</v>
      </c>
      <c r="I1257" s="13">
        <v>13878.035</v>
      </c>
      <c r="J1257" s="13">
        <f>Orders[[#This Row],[Quantity]]*Orders[[#This Row],[Selling Price]]</f>
        <v>16327.1</v>
      </c>
      <c r="K1257" s="13">
        <f>Orders[[#This Row],[Quantity]]*Orders[[#This Row],[Cost Price]]</f>
        <v>13878.035</v>
      </c>
      <c r="L1257" s="13">
        <f>Orders[[#This Row],[Revenue]]-Orders[[#This Row],[Expenses]]</f>
        <v>2449.0650000000005</v>
      </c>
      <c r="M1257" t="s">
        <v>2217</v>
      </c>
      <c r="N1257" t="str">
        <f>_xlfn.XLOOKUP(Orders[[#This Row],[CustomerID]],Customers[CustomerID],Customers[CustomerName])</f>
        <v>Ngozi Danladi</v>
      </c>
      <c r="O1257" t="str">
        <f>_xlfn.XLOOKUP(Orders[[#This Row],[CustomerID]],Customers[CustomerID],Customers[City])</f>
        <v>Texas</v>
      </c>
      <c r="P1257" t="str">
        <f>_xlfn.XLOOKUP(Orders[[#This Row],[CustomerID]],Customers[CustomerID],Customers[Gender])</f>
        <v>Female</v>
      </c>
      <c r="Q1257">
        <f>_xlfn.XLOOKUP(Orders[[#This Row],[CustomerID]],Customers[CustomerID],Customers[CustomerAge])</f>
        <v>25</v>
      </c>
      <c r="R1257" t="str">
        <f>IF(Orders[[#This Row],[CustomerAge]]&gt;=35, "Older", "Young")</f>
        <v>Young</v>
      </c>
      <c r="S1257" t="str">
        <f>_xlfn.XLOOKUP(Orders[[#This Row],[ProductID]],Products[ProductID],Products[ProductName])</f>
        <v>Chess</v>
      </c>
      <c r="T1257" t="str">
        <f>_xlfn.XLOOKUP(Orders[[#This Row],[ProductID]],Products[ProductID],Products[Category])</f>
        <v>Games</v>
      </c>
    </row>
    <row r="1258" spans="1:20" x14ac:dyDescent="0.25">
      <c r="A1258" s="4" t="s">
        <v>1447</v>
      </c>
      <c r="B1258" s="5">
        <v>45939</v>
      </c>
      <c r="C1258" s="15">
        <f>WEEKNUM(Orders[[#This Row],[OrderDate]])</f>
        <v>41</v>
      </c>
      <c r="D1258" s="15" t="str">
        <f>TEXT(Orders[[#This Row],[OrderDate]],"mmmm")</f>
        <v>October</v>
      </c>
      <c r="E1258" s="4" t="s">
        <v>207</v>
      </c>
      <c r="F1258" s="4" t="s">
        <v>28</v>
      </c>
      <c r="G1258" s="4">
        <v>1</v>
      </c>
      <c r="H1258" s="12">
        <v>6805.7000000000007</v>
      </c>
      <c r="I1258" s="13">
        <v>5784.8450000000012</v>
      </c>
      <c r="J1258" s="13">
        <f>Orders[[#This Row],[Quantity]]*Orders[[#This Row],[Selling Price]]</f>
        <v>6805.7000000000007</v>
      </c>
      <c r="K1258" s="13">
        <f>Orders[[#This Row],[Quantity]]*Orders[[#This Row],[Cost Price]]</f>
        <v>5784.8450000000012</v>
      </c>
      <c r="L1258" s="13">
        <f>Orders[[#This Row],[Revenue]]-Orders[[#This Row],[Expenses]]</f>
        <v>1020.8549999999996</v>
      </c>
      <c r="M1258" t="s">
        <v>2196</v>
      </c>
      <c r="N1258" t="str">
        <f>_xlfn.XLOOKUP(Orders[[#This Row],[CustomerID]],Customers[CustomerID],Customers[CustomerName])</f>
        <v>Bisi Eze</v>
      </c>
      <c r="O1258" t="str">
        <f>_xlfn.XLOOKUP(Orders[[#This Row],[CustomerID]],Customers[CustomerID],Customers[City])</f>
        <v>Florida</v>
      </c>
      <c r="P1258" t="str">
        <f>_xlfn.XLOOKUP(Orders[[#This Row],[CustomerID]],Customers[CustomerID],Customers[Gender])</f>
        <v>Female</v>
      </c>
      <c r="Q1258">
        <f>_xlfn.XLOOKUP(Orders[[#This Row],[CustomerID]],Customers[CustomerID],Customers[CustomerAge])</f>
        <v>37</v>
      </c>
      <c r="R1258" t="str">
        <f>IF(Orders[[#This Row],[CustomerAge]]&gt;=35, "Older", "Young")</f>
        <v>Older</v>
      </c>
      <c r="S1258" t="str">
        <f>_xlfn.XLOOKUP(Orders[[#This Row],[ProductID]],Products[ProductID],Products[ProductName])</f>
        <v>Sneakers</v>
      </c>
      <c r="T1258" t="str">
        <f>_xlfn.XLOOKUP(Orders[[#This Row],[ProductID]],Products[ProductID],Products[Category])</f>
        <v>Sports</v>
      </c>
    </row>
    <row r="1259" spans="1:20" x14ac:dyDescent="0.25">
      <c r="A1259" s="4" t="s">
        <v>1448</v>
      </c>
      <c r="B1259" s="5">
        <v>45980</v>
      </c>
      <c r="C1259" s="15">
        <f>WEEKNUM(Orders[[#This Row],[OrderDate]])</f>
        <v>47</v>
      </c>
      <c r="D1259" s="15" t="str">
        <f>TEXT(Orders[[#This Row],[OrderDate]],"mmmm")</f>
        <v>November</v>
      </c>
      <c r="E1259" s="4" t="s">
        <v>514</v>
      </c>
      <c r="F1259" s="4" t="s">
        <v>37</v>
      </c>
      <c r="G1259" s="4">
        <v>5</v>
      </c>
      <c r="H1259" s="12">
        <v>9592.2999999999993</v>
      </c>
      <c r="I1259" s="13">
        <v>8153.4549999999999</v>
      </c>
      <c r="J1259" s="13">
        <f>Orders[[#This Row],[Quantity]]*Orders[[#This Row],[Selling Price]]</f>
        <v>47961.5</v>
      </c>
      <c r="K1259" s="13">
        <f>Orders[[#This Row],[Quantity]]*Orders[[#This Row],[Cost Price]]</f>
        <v>40767.275000000001</v>
      </c>
      <c r="L1259" s="13">
        <f>Orders[[#This Row],[Revenue]]-Orders[[#This Row],[Expenses]]</f>
        <v>7194.2249999999985</v>
      </c>
      <c r="M1259" t="s">
        <v>2200</v>
      </c>
      <c r="N1259" t="str">
        <f>_xlfn.XLOOKUP(Orders[[#This Row],[CustomerID]],Customers[CustomerID],Customers[CustomerName])</f>
        <v>Ibrahim Okonkwo</v>
      </c>
      <c r="O1259" t="str">
        <f>_xlfn.XLOOKUP(Orders[[#This Row],[CustomerID]],Customers[CustomerID],Customers[City])</f>
        <v>Florida</v>
      </c>
      <c r="P1259" t="str">
        <f>_xlfn.XLOOKUP(Orders[[#This Row],[CustomerID]],Customers[CustomerID],Customers[Gender])</f>
        <v>Male</v>
      </c>
      <c r="Q1259">
        <f>_xlfn.XLOOKUP(Orders[[#This Row],[CustomerID]],Customers[CustomerID],Customers[CustomerAge])</f>
        <v>28</v>
      </c>
      <c r="R1259" t="str">
        <f>IF(Orders[[#This Row],[CustomerAge]]&gt;=35, "Older", "Young")</f>
        <v>Young</v>
      </c>
      <c r="S1259" t="str">
        <f>_xlfn.XLOOKUP(Orders[[#This Row],[ProductID]],Products[ProductID],Products[ProductName])</f>
        <v>Iron</v>
      </c>
      <c r="T1259" t="str">
        <f>_xlfn.XLOOKUP(Orders[[#This Row],[ProductID]],Products[ProductID],Products[Category])</f>
        <v>Electronics</v>
      </c>
    </row>
    <row r="1260" spans="1:20" x14ac:dyDescent="0.25">
      <c r="A1260" s="4" t="s">
        <v>1449</v>
      </c>
      <c r="B1260" s="5">
        <v>46003</v>
      </c>
      <c r="C1260" s="15">
        <f>WEEKNUM(Orders[[#This Row],[OrderDate]])</f>
        <v>50</v>
      </c>
      <c r="D1260" s="15" t="str">
        <f>TEXT(Orders[[#This Row],[OrderDate]],"mmmm")</f>
        <v>December</v>
      </c>
      <c r="E1260" s="4" t="s">
        <v>156</v>
      </c>
      <c r="F1260" s="4" t="s">
        <v>66</v>
      </c>
      <c r="G1260" s="4">
        <v>1</v>
      </c>
      <c r="H1260" s="12">
        <v>7859</v>
      </c>
      <c r="I1260" s="13">
        <v>6680.15</v>
      </c>
      <c r="J1260" s="13">
        <f>Orders[[#This Row],[Quantity]]*Orders[[#This Row],[Selling Price]]</f>
        <v>7859</v>
      </c>
      <c r="K1260" s="13">
        <f>Orders[[#This Row],[Quantity]]*Orders[[#This Row],[Cost Price]]</f>
        <v>6680.15</v>
      </c>
      <c r="L1260" s="13">
        <f>Orders[[#This Row],[Revenue]]-Orders[[#This Row],[Expenses]]</f>
        <v>1178.8500000000004</v>
      </c>
      <c r="M1260" t="s">
        <v>2212</v>
      </c>
      <c r="N1260" t="str">
        <f>_xlfn.XLOOKUP(Orders[[#This Row],[CustomerID]],Customers[CustomerID],Customers[CustomerName])</f>
        <v>Obi Okonkwo</v>
      </c>
      <c r="O1260" t="str">
        <f>_xlfn.XLOOKUP(Orders[[#This Row],[CustomerID]],Customers[CustomerID],Customers[City])</f>
        <v>Florida</v>
      </c>
      <c r="P1260" t="str">
        <f>_xlfn.XLOOKUP(Orders[[#This Row],[CustomerID]],Customers[CustomerID],Customers[Gender])</f>
        <v>Male</v>
      </c>
      <c r="Q1260">
        <f>_xlfn.XLOOKUP(Orders[[#This Row],[CustomerID]],Customers[CustomerID],Customers[CustomerAge])</f>
        <v>52</v>
      </c>
      <c r="R1260" t="str">
        <f>IF(Orders[[#This Row],[CustomerAge]]&gt;=35, "Older", "Young")</f>
        <v>Older</v>
      </c>
      <c r="S1260" t="str">
        <f>_xlfn.XLOOKUP(Orders[[#This Row],[ProductID]],Products[ProductID],Products[ProductName])</f>
        <v>Microwave</v>
      </c>
      <c r="T1260" t="str">
        <f>_xlfn.XLOOKUP(Orders[[#This Row],[ProductID]],Products[ProductID],Products[Category])</f>
        <v>Electronics</v>
      </c>
    </row>
    <row r="1261" spans="1:20" x14ac:dyDescent="0.25">
      <c r="A1261" s="4" t="s">
        <v>1450</v>
      </c>
      <c r="B1261" s="5">
        <v>45978</v>
      </c>
      <c r="C1261" s="15">
        <f>WEEKNUM(Orders[[#This Row],[OrderDate]])</f>
        <v>47</v>
      </c>
      <c r="D1261" s="15" t="str">
        <f>TEXT(Orders[[#This Row],[OrderDate]],"mmmm")</f>
        <v>November</v>
      </c>
      <c r="E1261" s="4" t="s">
        <v>161</v>
      </c>
      <c r="F1261" s="4" t="s">
        <v>63</v>
      </c>
      <c r="G1261" s="4">
        <v>5</v>
      </c>
      <c r="H1261" s="12">
        <v>12344.5</v>
      </c>
      <c r="I1261" s="13">
        <v>10492.825000000001</v>
      </c>
      <c r="J1261" s="13">
        <f>Orders[[#This Row],[Quantity]]*Orders[[#This Row],[Selling Price]]</f>
        <v>61722.5</v>
      </c>
      <c r="K1261" s="13">
        <f>Orders[[#This Row],[Quantity]]*Orders[[#This Row],[Cost Price]]</f>
        <v>52464.125</v>
      </c>
      <c r="L1261" s="13">
        <f>Orders[[#This Row],[Revenue]]-Orders[[#This Row],[Expenses]]</f>
        <v>9258.375</v>
      </c>
      <c r="M1261" t="s">
        <v>2198</v>
      </c>
      <c r="N1261" t="str">
        <f>_xlfn.XLOOKUP(Orders[[#This Row],[CustomerID]],Customers[CustomerID],Customers[CustomerName])</f>
        <v>Okon Adeyemi</v>
      </c>
      <c r="O1261" t="str">
        <f>_xlfn.XLOOKUP(Orders[[#This Row],[CustomerID]],Customers[CustomerID],Customers[City])</f>
        <v>Georgia</v>
      </c>
      <c r="P1261" t="str">
        <f>_xlfn.XLOOKUP(Orders[[#This Row],[CustomerID]],Customers[CustomerID],Customers[Gender])</f>
        <v>Male</v>
      </c>
      <c r="Q1261">
        <f>_xlfn.XLOOKUP(Orders[[#This Row],[CustomerID]],Customers[CustomerID],Customers[CustomerAge])</f>
        <v>31</v>
      </c>
      <c r="R1261" t="str">
        <f>IF(Orders[[#This Row],[CustomerAge]]&gt;=35, "Older", "Young")</f>
        <v>Young</v>
      </c>
      <c r="S1261" t="str">
        <f>_xlfn.XLOOKUP(Orders[[#This Row],[ProductID]],Products[ProductID],Products[ProductName])</f>
        <v>Tennis Bat</v>
      </c>
      <c r="T1261" t="str">
        <f>_xlfn.XLOOKUP(Orders[[#This Row],[ProductID]],Products[ProductID],Products[Category])</f>
        <v>Sports</v>
      </c>
    </row>
    <row r="1262" spans="1:20" x14ac:dyDescent="0.25">
      <c r="A1262" s="4" t="s">
        <v>1451</v>
      </c>
      <c r="B1262" s="5">
        <v>45983</v>
      </c>
      <c r="C1262" s="15">
        <f>WEEKNUM(Orders[[#This Row],[OrderDate]])</f>
        <v>47</v>
      </c>
      <c r="D1262" s="15" t="str">
        <f>TEXT(Orders[[#This Row],[OrderDate]],"mmmm")</f>
        <v>November</v>
      </c>
      <c r="E1262" s="4" t="s">
        <v>45</v>
      </c>
      <c r="F1262" s="4" t="s">
        <v>81</v>
      </c>
      <c r="G1262" s="4">
        <v>1</v>
      </c>
      <c r="H1262" s="12">
        <v>19198</v>
      </c>
      <c r="I1262" s="13">
        <v>16318.3</v>
      </c>
      <c r="J1262" s="13">
        <f>Orders[[#This Row],[Quantity]]*Orders[[#This Row],[Selling Price]]</f>
        <v>19198</v>
      </c>
      <c r="K1262" s="13">
        <f>Orders[[#This Row],[Quantity]]*Orders[[#This Row],[Cost Price]]</f>
        <v>16318.3</v>
      </c>
      <c r="L1262" s="13">
        <f>Orders[[#This Row],[Revenue]]-Orders[[#This Row],[Expenses]]</f>
        <v>2879.7000000000007</v>
      </c>
      <c r="M1262" t="s">
        <v>2201</v>
      </c>
      <c r="N1262" t="str">
        <f>_xlfn.XLOOKUP(Orders[[#This Row],[CustomerID]],Customers[CustomerID],Customers[CustomerName])</f>
        <v>Abiola Abubakar</v>
      </c>
      <c r="O1262" t="str">
        <f>_xlfn.XLOOKUP(Orders[[#This Row],[CustomerID]],Customers[CustomerID],Customers[City])</f>
        <v>Florida</v>
      </c>
      <c r="P1262" t="str">
        <f>_xlfn.XLOOKUP(Orders[[#This Row],[CustomerID]],Customers[CustomerID],Customers[Gender])</f>
        <v>Male</v>
      </c>
      <c r="Q1262">
        <f>_xlfn.XLOOKUP(Orders[[#This Row],[CustomerID]],Customers[CustomerID],Customers[CustomerAge])</f>
        <v>26</v>
      </c>
      <c r="R1262" t="str">
        <f>IF(Orders[[#This Row],[CustomerAge]]&gt;=35, "Older", "Young")</f>
        <v>Young</v>
      </c>
      <c r="S1262" t="str">
        <f>_xlfn.XLOOKUP(Orders[[#This Row],[ProductID]],Products[ProductID],Products[ProductName])</f>
        <v>Trousers</v>
      </c>
      <c r="T1262" t="str">
        <f>_xlfn.XLOOKUP(Orders[[#This Row],[ProductID]],Products[ProductID],Products[Category])</f>
        <v>Clothing</v>
      </c>
    </row>
    <row r="1263" spans="1:20" x14ac:dyDescent="0.25">
      <c r="A1263" s="4" t="s">
        <v>1452</v>
      </c>
      <c r="B1263" s="5">
        <v>45983</v>
      </c>
      <c r="C1263" s="15">
        <f>WEEKNUM(Orders[[#This Row],[OrderDate]])</f>
        <v>47</v>
      </c>
      <c r="D1263" s="15" t="str">
        <f>TEXT(Orders[[#This Row],[OrderDate]],"mmmm")</f>
        <v>November</v>
      </c>
      <c r="E1263" s="4" t="s">
        <v>52</v>
      </c>
      <c r="F1263" s="4" t="s">
        <v>253</v>
      </c>
      <c r="G1263" s="4">
        <v>9</v>
      </c>
      <c r="H1263" s="12">
        <v>14292.9</v>
      </c>
      <c r="I1263" s="13">
        <v>12148.965</v>
      </c>
      <c r="J1263" s="13">
        <f>Orders[[#This Row],[Quantity]]*Orders[[#This Row],[Selling Price]]</f>
        <v>128636.09999999999</v>
      </c>
      <c r="K1263" s="13">
        <f>Orders[[#This Row],[Quantity]]*Orders[[#This Row],[Cost Price]]</f>
        <v>109340.685</v>
      </c>
      <c r="L1263" s="13">
        <f>Orders[[#This Row],[Revenue]]-Orders[[#This Row],[Expenses]]</f>
        <v>19295.414999999994</v>
      </c>
      <c r="M1263" t="s">
        <v>2219</v>
      </c>
      <c r="N1263" t="str">
        <f>_xlfn.XLOOKUP(Orders[[#This Row],[CustomerID]],Customers[CustomerID],Customers[CustomerName])</f>
        <v>Folasade Ojo</v>
      </c>
      <c r="O1263" t="str">
        <f>_xlfn.XLOOKUP(Orders[[#This Row],[CustomerID]],Customers[CustomerID],Customers[City])</f>
        <v>Texas</v>
      </c>
      <c r="P1263" t="str">
        <f>_xlfn.XLOOKUP(Orders[[#This Row],[CustomerID]],Customers[CustomerID],Customers[Gender])</f>
        <v>Female</v>
      </c>
      <c r="Q1263">
        <f>_xlfn.XLOOKUP(Orders[[#This Row],[CustomerID]],Customers[CustomerID],Customers[CustomerAge])</f>
        <v>29</v>
      </c>
      <c r="R1263" t="str">
        <f>IF(Orders[[#This Row],[CustomerAge]]&gt;=35, "Older", "Young")</f>
        <v>Young</v>
      </c>
      <c r="S1263" t="str">
        <f>_xlfn.XLOOKUP(Orders[[#This Row],[ProductID]],Products[ProductID],Products[ProductName])</f>
        <v>Nose Rings</v>
      </c>
      <c r="T1263" t="str">
        <f>_xlfn.XLOOKUP(Orders[[#This Row],[ProductID]],Products[ProductID],Products[Category])</f>
        <v>Accessories</v>
      </c>
    </row>
    <row r="1264" spans="1:20" x14ac:dyDescent="0.25">
      <c r="A1264" s="4" t="s">
        <v>1453</v>
      </c>
      <c r="B1264" s="5">
        <v>45958</v>
      </c>
      <c r="C1264" s="15">
        <f>WEEKNUM(Orders[[#This Row],[OrderDate]])</f>
        <v>44</v>
      </c>
      <c r="D1264" s="15" t="str">
        <f>TEXT(Orders[[#This Row],[OrderDate]],"mmmm")</f>
        <v>October</v>
      </c>
      <c r="E1264" s="4" t="s">
        <v>940</v>
      </c>
      <c r="F1264" s="4" t="s">
        <v>92</v>
      </c>
      <c r="G1264" s="4">
        <v>9</v>
      </c>
      <c r="H1264" s="12">
        <v>11281.6</v>
      </c>
      <c r="I1264" s="13">
        <v>9589.36</v>
      </c>
      <c r="J1264" s="13">
        <f>Orders[[#This Row],[Quantity]]*Orders[[#This Row],[Selling Price]]</f>
        <v>101534.40000000001</v>
      </c>
      <c r="K1264" s="13">
        <f>Orders[[#This Row],[Quantity]]*Orders[[#This Row],[Cost Price]]</f>
        <v>86304.24</v>
      </c>
      <c r="L1264" s="13">
        <f>Orders[[#This Row],[Revenue]]-Orders[[#This Row],[Expenses]]</f>
        <v>15230.160000000003</v>
      </c>
      <c r="M1264" t="s">
        <v>2194</v>
      </c>
      <c r="N1264" t="str">
        <f>_xlfn.XLOOKUP(Orders[[#This Row],[CustomerID]],Customers[CustomerID],Customers[CustomerName])</f>
        <v>Okon Ojo</v>
      </c>
      <c r="O1264" t="str">
        <f>_xlfn.XLOOKUP(Orders[[#This Row],[CustomerID]],Customers[CustomerID],Customers[City])</f>
        <v>Texas</v>
      </c>
      <c r="P1264" t="str">
        <f>_xlfn.XLOOKUP(Orders[[#This Row],[CustomerID]],Customers[CustomerID],Customers[Gender])</f>
        <v>Male</v>
      </c>
      <c r="Q1264">
        <f>_xlfn.XLOOKUP(Orders[[#This Row],[CustomerID]],Customers[CustomerID],Customers[CustomerAge])</f>
        <v>25</v>
      </c>
      <c r="R1264" t="str">
        <f>IF(Orders[[#This Row],[CustomerAge]]&gt;=35, "Older", "Young")</f>
        <v>Young</v>
      </c>
      <c r="S1264" t="str">
        <f>_xlfn.XLOOKUP(Orders[[#This Row],[ProductID]],Products[ProductID],Products[ProductName])</f>
        <v>Chest Expander</v>
      </c>
      <c r="T1264" t="str">
        <f>_xlfn.XLOOKUP(Orders[[#This Row],[ProductID]],Products[ProductID],Products[Category])</f>
        <v>Gym</v>
      </c>
    </row>
    <row r="1265" spans="1:20" x14ac:dyDescent="0.25">
      <c r="A1265" s="4" t="s">
        <v>1454</v>
      </c>
      <c r="B1265" s="5">
        <v>45966</v>
      </c>
      <c r="C1265" s="15">
        <f>WEEKNUM(Orders[[#This Row],[OrderDate]])</f>
        <v>45</v>
      </c>
      <c r="D1265" s="15" t="str">
        <f>TEXT(Orders[[#This Row],[OrderDate]],"mmmm")</f>
        <v>November</v>
      </c>
      <c r="E1265" s="4" t="s">
        <v>83</v>
      </c>
      <c r="F1265" s="4" t="s">
        <v>34</v>
      </c>
      <c r="G1265" s="4">
        <v>9</v>
      </c>
      <c r="H1265" s="12">
        <v>15993.699999999999</v>
      </c>
      <c r="I1265" s="13">
        <v>13594.644999999999</v>
      </c>
      <c r="J1265" s="13">
        <f>Orders[[#This Row],[Quantity]]*Orders[[#This Row],[Selling Price]]</f>
        <v>143943.29999999999</v>
      </c>
      <c r="K1265" s="13">
        <f>Orders[[#This Row],[Quantity]]*Orders[[#This Row],[Cost Price]]</f>
        <v>122351.80499999999</v>
      </c>
      <c r="L1265" s="13">
        <f>Orders[[#This Row],[Revenue]]-Orders[[#This Row],[Expenses]]</f>
        <v>21591.494999999995</v>
      </c>
      <c r="M1265" t="s">
        <v>2199</v>
      </c>
      <c r="N1265" t="str">
        <f>_xlfn.XLOOKUP(Orders[[#This Row],[CustomerID]],Customers[CustomerID],Customers[CustomerName])</f>
        <v>Funke Danladi</v>
      </c>
      <c r="O1265" t="str">
        <f>_xlfn.XLOOKUP(Orders[[#This Row],[CustomerID]],Customers[CustomerID],Customers[City])</f>
        <v>Florida</v>
      </c>
      <c r="P1265" t="str">
        <f>_xlfn.XLOOKUP(Orders[[#This Row],[CustomerID]],Customers[CustomerID],Customers[Gender])</f>
        <v>Female</v>
      </c>
      <c r="Q1265">
        <f>_xlfn.XLOOKUP(Orders[[#This Row],[CustomerID]],Customers[CustomerID],Customers[CustomerAge])</f>
        <v>26</v>
      </c>
      <c r="R1265" t="str">
        <f>IF(Orders[[#This Row],[CustomerAge]]&gt;=35, "Older", "Young")</f>
        <v>Young</v>
      </c>
      <c r="S1265" t="str">
        <f>_xlfn.XLOOKUP(Orders[[#This Row],[ProductID]],Products[ProductID],Products[ProductName])</f>
        <v>Gold Bracelets</v>
      </c>
      <c r="T1265" t="str">
        <f>_xlfn.XLOOKUP(Orders[[#This Row],[ProductID]],Products[ProductID],Products[Category])</f>
        <v>Accessories</v>
      </c>
    </row>
    <row r="1266" spans="1:20" x14ac:dyDescent="0.25">
      <c r="A1266" s="4" t="s">
        <v>1455</v>
      </c>
      <c r="B1266" s="5">
        <v>45959</v>
      </c>
      <c r="C1266" s="15">
        <f>WEEKNUM(Orders[[#This Row],[OrderDate]])</f>
        <v>44</v>
      </c>
      <c r="D1266" s="15" t="str">
        <f>TEXT(Orders[[#This Row],[OrderDate]],"mmmm")</f>
        <v>October</v>
      </c>
      <c r="E1266" s="4" t="s">
        <v>649</v>
      </c>
      <c r="F1266" s="4" t="s">
        <v>60</v>
      </c>
      <c r="G1266" s="4">
        <v>3</v>
      </c>
      <c r="H1266" s="12">
        <v>17672.7</v>
      </c>
      <c r="I1266" s="13">
        <v>15021.795</v>
      </c>
      <c r="J1266" s="13">
        <f>Orders[[#This Row],[Quantity]]*Orders[[#This Row],[Selling Price]]</f>
        <v>53018.100000000006</v>
      </c>
      <c r="K1266" s="13">
        <f>Orders[[#This Row],[Quantity]]*Orders[[#This Row],[Cost Price]]</f>
        <v>45065.385000000002</v>
      </c>
      <c r="L1266" s="13">
        <f>Orders[[#This Row],[Revenue]]-Orders[[#This Row],[Expenses]]</f>
        <v>7952.7150000000038</v>
      </c>
      <c r="M1266" t="s">
        <v>2211</v>
      </c>
      <c r="N1266" t="str">
        <f>_xlfn.XLOOKUP(Orders[[#This Row],[CustomerID]],Customers[CustomerID],Customers[CustomerName])</f>
        <v>Bisi Abubakar</v>
      </c>
      <c r="O1266" t="str">
        <f>_xlfn.XLOOKUP(Orders[[#This Row],[CustomerID]],Customers[CustomerID],Customers[City])</f>
        <v>Washington</v>
      </c>
      <c r="P1266" t="str">
        <f>_xlfn.XLOOKUP(Orders[[#This Row],[CustomerID]],Customers[CustomerID],Customers[Gender])</f>
        <v>Female</v>
      </c>
      <c r="Q1266">
        <f>_xlfn.XLOOKUP(Orders[[#This Row],[CustomerID]],Customers[CustomerID],Customers[CustomerAge])</f>
        <v>35</v>
      </c>
      <c r="R1266" t="str">
        <f>IF(Orders[[#This Row],[CustomerAge]]&gt;=35, "Older", "Young")</f>
        <v>Older</v>
      </c>
      <c r="S1266" t="str">
        <f>_xlfn.XLOOKUP(Orders[[#This Row],[ProductID]],Products[ProductID],Products[ProductName])</f>
        <v>Silver Rings</v>
      </c>
      <c r="T1266" t="str">
        <f>_xlfn.XLOOKUP(Orders[[#This Row],[ProductID]],Products[ProductID],Products[Category])</f>
        <v>Accessories</v>
      </c>
    </row>
    <row r="1267" spans="1:20" x14ac:dyDescent="0.25">
      <c r="A1267" s="4" t="s">
        <v>1456</v>
      </c>
      <c r="B1267" s="5">
        <v>45972</v>
      </c>
      <c r="C1267" s="15">
        <f>WEEKNUM(Orders[[#This Row],[OrderDate]])</f>
        <v>46</v>
      </c>
      <c r="D1267" s="15" t="str">
        <f>TEXT(Orders[[#This Row],[OrderDate]],"mmmm")</f>
        <v>November</v>
      </c>
      <c r="E1267" s="4" t="s">
        <v>8</v>
      </c>
      <c r="F1267" s="4" t="s">
        <v>20</v>
      </c>
      <c r="G1267" s="4">
        <v>5</v>
      </c>
      <c r="H1267" s="12">
        <v>18151.600000000002</v>
      </c>
      <c r="I1267" s="13">
        <v>15428.860000000002</v>
      </c>
      <c r="J1267" s="13">
        <f>Orders[[#This Row],[Quantity]]*Orders[[#This Row],[Selling Price]]</f>
        <v>90758.000000000015</v>
      </c>
      <c r="K1267" s="13">
        <f>Orders[[#This Row],[Quantity]]*Orders[[#This Row],[Cost Price]]</f>
        <v>77144.300000000017</v>
      </c>
      <c r="L1267" s="13">
        <f>Orders[[#This Row],[Revenue]]-Orders[[#This Row],[Expenses]]</f>
        <v>13613.699999999997</v>
      </c>
      <c r="M1267" t="s">
        <v>2216</v>
      </c>
      <c r="N1267" t="str">
        <f>_xlfn.XLOOKUP(Orders[[#This Row],[CustomerID]],Customers[CustomerID],Customers[CustomerName])</f>
        <v>Bi si Bello</v>
      </c>
      <c r="O1267" t="str">
        <f>_xlfn.XLOOKUP(Orders[[#This Row],[CustomerID]],Customers[CustomerID],Customers[City])</f>
        <v>Washington</v>
      </c>
      <c r="P1267" t="str">
        <f>_xlfn.XLOOKUP(Orders[[#This Row],[CustomerID]],Customers[CustomerID],Customers[Gender])</f>
        <v>Female</v>
      </c>
      <c r="Q1267">
        <f>_xlfn.XLOOKUP(Orders[[#This Row],[CustomerID]],Customers[CustomerID],Customers[CustomerAge])</f>
        <v>38</v>
      </c>
      <c r="R1267" t="str">
        <f>IF(Orders[[#This Row],[CustomerAge]]&gt;=35, "Older", "Young")</f>
        <v>Older</v>
      </c>
      <c r="S1267" t="str">
        <f>_xlfn.XLOOKUP(Orders[[#This Row],[ProductID]],Products[ProductID],Products[ProductName])</f>
        <v>Gym Bag</v>
      </c>
      <c r="T1267" t="str">
        <f>_xlfn.XLOOKUP(Orders[[#This Row],[ProductID]],Products[ProductID],Products[Category])</f>
        <v>Gym</v>
      </c>
    </row>
    <row r="1268" spans="1:20" x14ac:dyDescent="0.25">
      <c r="A1268" s="4" t="s">
        <v>1457</v>
      </c>
      <c r="B1268" s="5">
        <v>45936</v>
      </c>
      <c r="C1268" s="15">
        <f>WEEKNUM(Orders[[#This Row],[OrderDate]])</f>
        <v>41</v>
      </c>
      <c r="D1268" s="15" t="str">
        <f>TEXT(Orders[[#This Row],[OrderDate]],"mmmm")</f>
        <v>October</v>
      </c>
      <c r="E1268" s="4" t="s">
        <v>457</v>
      </c>
      <c r="F1268" s="4" t="s">
        <v>60</v>
      </c>
      <c r="G1268" s="4">
        <v>4</v>
      </c>
      <c r="H1268" s="12">
        <v>1398.6000000000001</v>
      </c>
      <c r="I1268" s="13">
        <v>1188.8100000000002</v>
      </c>
      <c r="J1268" s="13">
        <f>Orders[[#This Row],[Quantity]]*Orders[[#This Row],[Selling Price]]</f>
        <v>5594.4000000000005</v>
      </c>
      <c r="K1268" s="13">
        <f>Orders[[#This Row],[Quantity]]*Orders[[#This Row],[Cost Price]]</f>
        <v>4755.2400000000007</v>
      </c>
      <c r="L1268" s="13">
        <f>Orders[[#This Row],[Revenue]]-Orders[[#This Row],[Expenses]]</f>
        <v>839.15999999999985</v>
      </c>
      <c r="M1268" t="s">
        <v>2213</v>
      </c>
      <c r="N1268" t="str">
        <f>_xlfn.XLOOKUP(Orders[[#This Row],[CustomerID]],Customers[CustomerID],Customers[CustomerName])</f>
        <v>Tunde Okonkwo</v>
      </c>
      <c r="O1268" t="str">
        <f>_xlfn.XLOOKUP(Orders[[#This Row],[CustomerID]],Customers[CustomerID],Customers[City])</f>
        <v>Illinois</v>
      </c>
      <c r="P1268" t="str">
        <f>_xlfn.XLOOKUP(Orders[[#This Row],[CustomerID]],Customers[CustomerID],Customers[Gender])</f>
        <v>Male</v>
      </c>
      <c r="Q1268">
        <f>_xlfn.XLOOKUP(Orders[[#This Row],[CustomerID]],Customers[CustomerID],Customers[CustomerAge])</f>
        <v>23</v>
      </c>
      <c r="R1268" t="str">
        <f>IF(Orders[[#This Row],[CustomerAge]]&gt;=35, "Older", "Young")</f>
        <v>Young</v>
      </c>
      <c r="S1268" t="str">
        <f>_xlfn.XLOOKUP(Orders[[#This Row],[ProductID]],Products[ProductID],Products[ProductName])</f>
        <v>Silver Rings</v>
      </c>
      <c r="T1268" t="str">
        <f>_xlfn.XLOOKUP(Orders[[#This Row],[ProductID]],Products[ProductID],Products[Category])</f>
        <v>Accessories</v>
      </c>
    </row>
    <row r="1269" spans="1:20" x14ac:dyDescent="0.25">
      <c r="A1269" s="4" t="s">
        <v>1458</v>
      </c>
      <c r="B1269" s="5">
        <v>45946</v>
      </c>
      <c r="C1269" s="15">
        <f>WEEKNUM(Orders[[#This Row],[OrderDate]])</f>
        <v>42</v>
      </c>
      <c r="D1269" s="15" t="str">
        <f>TEXT(Orders[[#This Row],[OrderDate]],"mmmm")</f>
        <v>October</v>
      </c>
      <c r="E1269" s="4" t="s">
        <v>124</v>
      </c>
      <c r="F1269" s="4" t="s">
        <v>120</v>
      </c>
      <c r="G1269" s="4">
        <v>5</v>
      </c>
      <c r="H1269" s="12">
        <v>18220.5</v>
      </c>
      <c r="I1269" s="13">
        <v>15487.424999999999</v>
      </c>
      <c r="J1269" s="13">
        <f>Orders[[#This Row],[Quantity]]*Orders[[#This Row],[Selling Price]]</f>
        <v>91102.5</v>
      </c>
      <c r="K1269" s="13">
        <f>Orders[[#This Row],[Quantity]]*Orders[[#This Row],[Cost Price]]</f>
        <v>77437.125</v>
      </c>
      <c r="L1269" s="13">
        <f>Orders[[#This Row],[Revenue]]-Orders[[#This Row],[Expenses]]</f>
        <v>13665.375</v>
      </c>
      <c r="M1269" t="s">
        <v>2197</v>
      </c>
      <c r="N1269" t="str">
        <f>_xlfn.XLOOKUP(Orders[[#This Row],[CustomerID]],Customers[CustomerID],Customers[CustomerName])</f>
        <v>Ngozi Ojo</v>
      </c>
      <c r="O1269" t="str">
        <f>_xlfn.XLOOKUP(Orders[[#This Row],[CustomerID]],Customers[CustomerID],Customers[City])</f>
        <v>Texas</v>
      </c>
      <c r="P1269" t="str">
        <f>_xlfn.XLOOKUP(Orders[[#This Row],[CustomerID]],Customers[CustomerID],Customers[Gender])</f>
        <v>Female</v>
      </c>
      <c r="Q1269">
        <f>_xlfn.XLOOKUP(Orders[[#This Row],[CustomerID]],Customers[CustomerID],Customers[CustomerAge])</f>
        <v>22</v>
      </c>
      <c r="R1269" t="str">
        <f>IF(Orders[[#This Row],[CustomerAge]]&gt;=35, "Older", "Young")</f>
        <v>Young</v>
      </c>
      <c r="S1269" t="str">
        <f>_xlfn.XLOOKUP(Orders[[#This Row],[ProductID]],Products[ProductID],Products[ProductName])</f>
        <v>Chess</v>
      </c>
      <c r="T1269" t="str">
        <f>_xlfn.XLOOKUP(Orders[[#This Row],[ProductID]],Products[ProductID],Products[Category])</f>
        <v>Games</v>
      </c>
    </row>
    <row r="1270" spans="1:20" x14ac:dyDescent="0.25">
      <c r="A1270" s="4" t="s">
        <v>1459</v>
      </c>
      <c r="B1270" s="5">
        <v>45935</v>
      </c>
      <c r="C1270" s="15">
        <f>WEEKNUM(Orders[[#This Row],[OrderDate]])</f>
        <v>41</v>
      </c>
      <c r="D1270" s="15" t="str">
        <f>TEXT(Orders[[#This Row],[OrderDate]],"mmmm")</f>
        <v>October</v>
      </c>
      <c r="E1270" s="4" t="s">
        <v>239</v>
      </c>
      <c r="F1270" s="4" t="s">
        <v>81</v>
      </c>
      <c r="G1270" s="4">
        <v>7</v>
      </c>
      <c r="H1270" s="12">
        <v>2340.6</v>
      </c>
      <c r="I1270" s="13">
        <v>1989.51</v>
      </c>
      <c r="J1270" s="13">
        <f>Orders[[#This Row],[Quantity]]*Orders[[#This Row],[Selling Price]]</f>
        <v>16384.2</v>
      </c>
      <c r="K1270" s="13">
        <f>Orders[[#This Row],[Quantity]]*Orders[[#This Row],[Cost Price]]</f>
        <v>13926.57</v>
      </c>
      <c r="L1270" s="13">
        <f>Orders[[#This Row],[Revenue]]-Orders[[#This Row],[Expenses]]</f>
        <v>2457.630000000001</v>
      </c>
      <c r="M1270" t="s">
        <v>2192</v>
      </c>
      <c r="N1270" t="str">
        <f>_xlfn.XLOOKUP(Orders[[#This Row],[CustomerID]],Customers[CustomerID],Customers[CustomerName])</f>
        <v>Emeka Danladi</v>
      </c>
      <c r="O1270" t="str">
        <f>_xlfn.XLOOKUP(Orders[[#This Row],[CustomerID]],Customers[CustomerID],Customers[City])</f>
        <v>Florida</v>
      </c>
      <c r="P1270" t="str">
        <f>_xlfn.XLOOKUP(Orders[[#This Row],[CustomerID]],Customers[CustomerID],Customers[Gender])</f>
        <v>Male</v>
      </c>
      <c r="Q1270">
        <f>_xlfn.XLOOKUP(Orders[[#This Row],[CustomerID]],Customers[CustomerID],Customers[CustomerAge])</f>
        <v>23</v>
      </c>
      <c r="R1270" t="str">
        <f>IF(Orders[[#This Row],[CustomerAge]]&gt;=35, "Older", "Young")</f>
        <v>Young</v>
      </c>
      <c r="S1270" t="str">
        <f>_xlfn.XLOOKUP(Orders[[#This Row],[ProductID]],Products[ProductID],Products[ProductName])</f>
        <v>Trousers</v>
      </c>
      <c r="T1270" t="str">
        <f>_xlfn.XLOOKUP(Orders[[#This Row],[ProductID]],Products[ProductID],Products[Category])</f>
        <v>Clothing</v>
      </c>
    </row>
    <row r="1271" spans="1:20" x14ac:dyDescent="0.25">
      <c r="A1271" s="4" t="s">
        <v>1460</v>
      </c>
      <c r="B1271" s="5">
        <v>45994</v>
      </c>
      <c r="C1271" s="15">
        <f>WEEKNUM(Orders[[#This Row],[OrderDate]])</f>
        <v>49</v>
      </c>
      <c r="D1271" s="15" t="str">
        <f>TEXT(Orders[[#This Row],[OrderDate]],"mmmm")</f>
        <v>December</v>
      </c>
      <c r="E1271" s="4" t="s">
        <v>118</v>
      </c>
      <c r="F1271" s="4" t="s">
        <v>151</v>
      </c>
      <c r="G1271" s="4">
        <v>10</v>
      </c>
      <c r="H1271" s="12">
        <v>9493.9</v>
      </c>
      <c r="I1271" s="13">
        <v>8069.8149999999996</v>
      </c>
      <c r="J1271" s="13">
        <f>Orders[[#This Row],[Quantity]]*Orders[[#This Row],[Selling Price]]</f>
        <v>94939</v>
      </c>
      <c r="K1271" s="13">
        <f>Orders[[#This Row],[Quantity]]*Orders[[#This Row],[Cost Price]]</f>
        <v>80698.149999999994</v>
      </c>
      <c r="L1271" s="13">
        <f>Orders[[#This Row],[Revenue]]-Orders[[#This Row],[Expenses]]</f>
        <v>14240.850000000006</v>
      </c>
      <c r="M1271" t="s">
        <v>2214</v>
      </c>
      <c r="N1271" t="str">
        <f>_xlfn.XLOOKUP(Orders[[#This Row],[CustomerID]],Customers[CustomerID],Customers[CustomerName])</f>
        <v>Ibrahim Balogun</v>
      </c>
      <c r="O1271" t="str">
        <f>_xlfn.XLOOKUP(Orders[[#This Row],[CustomerID]],Customers[CustomerID],Customers[City])</f>
        <v>Georgia</v>
      </c>
      <c r="P1271" t="str">
        <f>_xlfn.XLOOKUP(Orders[[#This Row],[CustomerID]],Customers[CustomerID],Customers[Gender])</f>
        <v>Male</v>
      </c>
      <c r="Q1271">
        <f>_xlfn.XLOOKUP(Orders[[#This Row],[CustomerID]],Customers[CustomerID],Customers[CustomerAge])</f>
        <v>55</v>
      </c>
      <c r="R1271" t="str">
        <f>IF(Orders[[#This Row],[CustomerAge]]&gt;=35, "Older", "Young")</f>
        <v>Older</v>
      </c>
      <c r="S1271" t="str">
        <f>_xlfn.XLOOKUP(Orders[[#This Row],[ProductID]],Products[ProductID],Products[ProductName])</f>
        <v>Checkers</v>
      </c>
      <c r="T1271" t="str">
        <f>_xlfn.XLOOKUP(Orders[[#This Row],[ProductID]],Products[ProductID],Products[Category])</f>
        <v>Games</v>
      </c>
    </row>
    <row r="1272" spans="1:20" x14ac:dyDescent="0.25">
      <c r="A1272" s="4" t="s">
        <v>1461</v>
      </c>
      <c r="B1272" s="5">
        <v>45988</v>
      </c>
      <c r="C1272" s="15">
        <f>WEEKNUM(Orders[[#This Row],[OrderDate]])</f>
        <v>48</v>
      </c>
      <c r="D1272" s="15" t="str">
        <f>TEXT(Orders[[#This Row],[OrderDate]],"mmmm")</f>
        <v>November</v>
      </c>
      <c r="E1272" s="4" t="s">
        <v>298</v>
      </c>
      <c r="F1272" s="4" t="s">
        <v>25</v>
      </c>
      <c r="G1272" s="4">
        <v>7</v>
      </c>
      <c r="H1272" s="12">
        <v>14133.4</v>
      </c>
      <c r="I1272" s="13">
        <v>12013.39</v>
      </c>
      <c r="J1272" s="13">
        <f>Orders[[#This Row],[Quantity]]*Orders[[#This Row],[Selling Price]]</f>
        <v>98933.8</v>
      </c>
      <c r="K1272" s="13">
        <f>Orders[[#This Row],[Quantity]]*Orders[[#This Row],[Cost Price]]</f>
        <v>84093.73</v>
      </c>
      <c r="L1272" s="13">
        <f>Orders[[#This Row],[Revenue]]-Orders[[#This Row],[Expenses]]</f>
        <v>14840.070000000007</v>
      </c>
      <c r="M1272" t="s">
        <v>2207</v>
      </c>
      <c r="N1272" t="str">
        <f>_xlfn.XLOOKUP(Orders[[#This Row],[CustomerID]],Customers[CustomerID],Customers[CustomerName])</f>
        <v>Amina Obi</v>
      </c>
      <c r="O1272" t="str">
        <f>_xlfn.XLOOKUP(Orders[[#This Row],[CustomerID]],Customers[CustomerID],Customers[City])</f>
        <v>Florida</v>
      </c>
      <c r="P1272" t="str">
        <f>_xlfn.XLOOKUP(Orders[[#This Row],[CustomerID]],Customers[CustomerID],Customers[Gender])</f>
        <v>Female</v>
      </c>
      <c r="Q1272">
        <f>_xlfn.XLOOKUP(Orders[[#This Row],[CustomerID]],Customers[CustomerID],Customers[CustomerAge])</f>
        <v>19</v>
      </c>
      <c r="R1272" t="str">
        <f>IF(Orders[[#This Row],[CustomerAge]]&gt;=35, "Older", "Young")</f>
        <v>Young</v>
      </c>
      <c r="S1272" t="str">
        <f>_xlfn.XLOOKUP(Orders[[#This Row],[ProductID]],Products[ProductID],Products[ProductName])</f>
        <v>Gold Rings</v>
      </c>
      <c r="T1272" t="str">
        <f>_xlfn.XLOOKUP(Orders[[#This Row],[ProductID]],Products[ProductID],Products[Category])</f>
        <v>Accessories</v>
      </c>
    </row>
    <row r="1273" spans="1:20" x14ac:dyDescent="0.25">
      <c r="A1273" s="4" t="s">
        <v>1462</v>
      </c>
      <c r="B1273" s="5">
        <v>45941</v>
      </c>
      <c r="C1273" s="15">
        <f>WEEKNUM(Orders[[#This Row],[OrderDate]])</f>
        <v>41</v>
      </c>
      <c r="D1273" s="15" t="str">
        <f>TEXT(Orders[[#This Row],[OrderDate]],"mmmm")</f>
        <v>October</v>
      </c>
      <c r="E1273" s="4" t="s">
        <v>27</v>
      </c>
      <c r="F1273" s="4" t="s">
        <v>57</v>
      </c>
      <c r="G1273" s="4">
        <v>2</v>
      </c>
      <c r="H1273" s="12">
        <v>10874.9</v>
      </c>
      <c r="I1273" s="13">
        <v>9243.6649999999991</v>
      </c>
      <c r="J1273" s="13">
        <f>Orders[[#This Row],[Quantity]]*Orders[[#This Row],[Selling Price]]</f>
        <v>21749.8</v>
      </c>
      <c r="K1273" s="13">
        <f>Orders[[#This Row],[Quantity]]*Orders[[#This Row],[Cost Price]]</f>
        <v>18487.329999999998</v>
      </c>
      <c r="L1273" s="13">
        <f>Orders[[#This Row],[Revenue]]-Orders[[#This Row],[Expenses]]</f>
        <v>3262.4700000000012</v>
      </c>
      <c r="M1273" t="s">
        <v>2211</v>
      </c>
      <c r="N1273" t="str">
        <f>_xlfn.XLOOKUP(Orders[[#This Row],[CustomerID]],Customers[CustomerID],Customers[CustomerName])</f>
        <v>Okon Ojo</v>
      </c>
      <c r="O1273" t="str">
        <f>_xlfn.XLOOKUP(Orders[[#This Row],[CustomerID]],Customers[CustomerID],Customers[City])</f>
        <v>Illinois</v>
      </c>
      <c r="P1273" t="str">
        <f>_xlfn.XLOOKUP(Orders[[#This Row],[CustomerID]],Customers[CustomerID],Customers[Gender])</f>
        <v>Male</v>
      </c>
      <c r="Q1273">
        <f>_xlfn.XLOOKUP(Orders[[#This Row],[CustomerID]],Customers[CustomerID],Customers[CustomerAge])</f>
        <v>32</v>
      </c>
      <c r="R1273" t="str">
        <f>IF(Orders[[#This Row],[CustomerAge]]&gt;=35, "Older", "Young")</f>
        <v>Young</v>
      </c>
      <c r="S1273" t="str">
        <f>_xlfn.XLOOKUP(Orders[[#This Row],[ProductID]],Products[ProductID],Products[ProductName])</f>
        <v>Badminton Racket</v>
      </c>
      <c r="T1273" t="str">
        <f>_xlfn.XLOOKUP(Orders[[#This Row],[ProductID]],Products[ProductID],Products[Category])</f>
        <v>Sports</v>
      </c>
    </row>
    <row r="1274" spans="1:20" x14ac:dyDescent="0.25">
      <c r="A1274" s="4" t="s">
        <v>1463</v>
      </c>
      <c r="B1274" s="5">
        <v>45982</v>
      </c>
      <c r="C1274" s="15">
        <f>WEEKNUM(Orders[[#This Row],[OrderDate]])</f>
        <v>47</v>
      </c>
      <c r="D1274" s="15" t="str">
        <f>TEXT(Orders[[#This Row],[OrderDate]],"mmmm")</f>
        <v>November</v>
      </c>
      <c r="E1274" s="4" t="s">
        <v>272</v>
      </c>
      <c r="F1274" s="4" t="s">
        <v>34</v>
      </c>
      <c r="G1274" s="4">
        <v>2</v>
      </c>
      <c r="H1274" s="12">
        <v>15300.1</v>
      </c>
      <c r="I1274" s="13">
        <v>13005.085000000001</v>
      </c>
      <c r="J1274" s="13">
        <f>Orders[[#This Row],[Quantity]]*Orders[[#This Row],[Selling Price]]</f>
        <v>30600.2</v>
      </c>
      <c r="K1274" s="13">
        <f>Orders[[#This Row],[Quantity]]*Orders[[#This Row],[Cost Price]]</f>
        <v>26010.170000000002</v>
      </c>
      <c r="L1274" s="13">
        <f>Orders[[#This Row],[Revenue]]-Orders[[#This Row],[Expenses]]</f>
        <v>4590.0299999999988</v>
      </c>
      <c r="M1274" t="s">
        <v>2207</v>
      </c>
      <c r="N1274" t="str">
        <f>_xlfn.XLOOKUP(Orders[[#This Row],[CustomerID]],Customers[CustomerID],Customers[CustomerName])</f>
        <v>Blessing Bello</v>
      </c>
      <c r="O1274" t="str">
        <f>_xlfn.XLOOKUP(Orders[[#This Row],[CustomerID]],Customers[CustomerID],Customers[City])</f>
        <v>Florida</v>
      </c>
      <c r="P1274" t="str">
        <f>_xlfn.XLOOKUP(Orders[[#This Row],[CustomerID]],Customers[CustomerID],Customers[Gender])</f>
        <v>Female</v>
      </c>
      <c r="Q1274">
        <f>_xlfn.XLOOKUP(Orders[[#This Row],[CustomerID]],Customers[CustomerID],Customers[CustomerAge])</f>
        <v>38</v>
      </c>
      <c r="R1274" t="str">
        <f>IF(Orders[[#This Row],[CustomerAge]]&gt;=35, "Older", "Young")</f>
        <v>Older</v>
      </c>
      <c r="S1274" t="str">
        <f>_xlfn.XLOOKUP(Orders[[#This Row],[ProductID]],Products[ProductID],Products[ProductName])</f>
        <v>Gold Bracelets</v>
      </c>
      <c r="T1274" t="str">
        <f>_xlfn.XLOOKUP(Orders[[#This Row],[ProductID]],Products[ProductID],Products[Category])</f>
        <v>Accessories</v>
      </c>
    </row>
    <row r="1275" spans="1:20" x14ac:dyDescent="0.25">
      <c r="A1275" s="4" t="s">
        <v>1464</v>
      </c>
      <c r="B1275" s="5">
        <v>45999</v>
      </c>
      <c r="C1275" s="15">
        <f>WEEKNUM(Orders[[#This Row],[OrderDate]])</f>
        <v>50</v>
      </c>
      <c r="D1275" s="15" t="str">
        <f>TEXT(Orders[[#This Row],[OrderDate]],"mmmm")</f>
        <v>December</v>
      </c>
      <c r="E1275" s="4" t="s">
        <v>214</v>
      </c>
      <c r="F1275" s="4" t="s">
        <v>25</v>
      </c>
      <c r="G1275" s="4">
        <v>8</v>
      </c>
      <c r="H1275" s="12">
        <v>12665</v>
      </c>
      <c r="I1275" s="13">
        <v>10765.25</v>
      </c>
      <c r="J1275" s="13">
        <f>Orders[[#This Row],[Quantity]]*Orders[[#This Row],[Selling Price]]</f>
        <v>101320</v>
      </c>
      <c r="K1275" s="13">
        <f>Orders[[#This Row],[Quantity]]*Orders[[#This Row],[Cost Price]]</f>
        <v>86122</v>
      </c>
      <c r="L1275" s="13">
        <f>Orders[[#This Row],[Revenue]]-Orders[[#This Row],[Expenses]]</f>
        <v>15198</v>
      </c>
      <c r="M1275" t="s">
        <v>2210</v>
      </c>
      <c r="N1275" t="str">
        <f>_xlfn.XLOOKUP(Orders[[#This Row],[CustomerID]],Customers[CustomerID],Customers[CustomerName])</f>
        <v>Adanma Okonkwo</v>
      </c>
      <c r="O1275" t="str">
        <f>_xlfn.XLOOKUP(Orders[[#This Row],[CustomerID]],Customers[CustomerID],Customers[City])</f>
        <v>California</v>
      </c>
      <c r="P1275" t="str">
        <f>_xlfn.XLOOKUP(Orders[[#This Row],[CustomerID]],Customers[CustomerID],Customers[Gender])</f>
        <v>Female</v>
      </c>
      <c r="Q1275">
        <f>_xlfn.XLOOKUP(Orders[[#This Row],[CustomerID]],Customers[CustomerID],Customers[CustomerAge])</f>
        <v>20</v>
      </c>
      <c r="R1275" t="str">
        <f>IF(Orders[[#This Row],[CustomerAge]]&gt;=35, "Older", "Young")</f>
        <v>Young</v>
      </c>
      <c r="S1275" t="str">
        <f>_xlfn.XLOOKUP(Orders[[#This Row],[ProductID]],Products[ProductID],Products[ProductName])</f>
        <v>Gold Rings</v>
      </c>
      <c r="T1275" t="str">
        <f>_xlfn.XLOOKUP(Orders[[#This Row],[ProductID]],Products[ProductID],Products[Category])</f>
        <v>Accessories</v>
      </c>
    </row>
    <row r="1276" spans="1:20" x14ac:dyDescent="0.25">
      <c r="A1276" s="4" t="s">
        <v>1465</v>
      </c>
      <c r="B1276" s="5">
        <v>45946</v>
      </c>
      <c r="C1276" s="15">
        <f>WEEKNUM(Orders[[#This Row],[OrderDate]])</f>
        <v>42</v>
      </c>
      <c r="D1276" s="15" t="str">
        <f>TEXT(Orders[[#This Row],[OrderDate]],"mmmm")</f>
        <v>October</v>
      </c>
      <c r="E1276" s="4" t="s">
        <v>524</v>
      </c>
      <c r="F1276" s="4" t="s">
        <v>31</v>
      </c>
      <c r="G1276" s="4">
        <v>3</v>
      </c>
      <c r="H1276" s="12">
        <v>17820.3</v>
      </c>
      <c r="I1276" s="13">
        <v>15147.254999999999</v>
      </c>
      <c r="J1276" s="13">
        <f>Orders[[#This Row],[Quantity]]*Orders[[#This Row],[Selling Price]]</f>
        <v>53460.899999999994</v>
      </c>
      <c r="K1276" s="13">
        <f>Orders[[#This Row],[Quantity]]*Orders[[#This Row],[Cost Price]]</f>
        <v>45441.764999999999</v>
      </c>
      <c r="L1276" s="13">
        <f>Orders[[#This Row],[Revenue]]-Orders[[#This Row],[Expenses]]</f>
        <v>8019.1349999999948</v>
      </c>
      <c r="M1276" t="s">
        <v>2220</v>
      </c>
      <c r="N1276" t="str">
        <f>_xlfn.XLOOKUP(Orders[[#This Row],[CustomerID]],Customers[CustomerID],Customers[CustomerName])</f>
        <v>Chinedu Igwe</v>
      </c>
      <c r="O1276" t="str">
        <f>_xlfn.XLOOKUP(Orders[[#This Row],[CustomerID]],Customers[CustomerID],Customers[City])</f>
        <v>Florida</v>
      </c>
      <c r="P1276" t="str">
        <f>_xlfn.XLOOKUP(Orders[[#This Row],[CustomerID]],Customers[CustomerID],Customers[Gender])</f>
        <v>Male</v>
      </c>
      <c r="Q1276">
        <f>_xlfn.XLOOKUP(Orders[[#This Row],[CustomerID]],Customers[CustomerID],Customers[CustomerAge])</f>
        <v>21</v>
      </c>
      <c r="R1276" t="str">
        <f>IF(Orders[[#This Row],[CustomerAge]]&gt;=35, "Older", "Young")</f>
        <v>Young</v>
      </c>
      <c r="S1276" t="str">
        <f>_xlfn.XLOOKUP(Orders[[#This Row],[ProductID]],Products[ProductID],Products[ProductName])</f>
        <v>Kids Games</v>
      </c>
      <c r="T1276" t="str">
        <f>_xlfn.XLOOKUP(Orders[[#This Row],[ProductID]],Products[ProductID],Products[Category])</f>
        <v>Games</v>
      </c>
    </row>
    <row r="1277" spans="1:20" x14ac:dyDescent="0.25">
      <c r="A1277" s="4" t="s">
        <v>1466</v>
      </c>
      <c r="B1277" s="5">
        <v>45992</v>
      </c>
      <c r="C1277" s="15">
        <f>WEEKNUM(Orders[[#This Row],[OrderDate]])</f>
        <v>49</v>
      </c>
      <c r="D1277" s="15" t="str">
        <f>TEXT(Orders[[#This Row],[OrderDate]],"mmmm")</f>
        <v>December</v>
      </c>
      <c r="E1277" s="4" t="s">
        <v>22</v>
      </c>
      <c r="F1277" s="4" t="s">
        <v>208</v>
      </c>
      <c r="G1277" s="4">
        <v>3</v>
      </c>
      <c r="H1277" s="12">
        <v>16483.800000000003</v>
      </c>
      <c r="I1277" s="13">
        <v>14011.230000000003</v>
      </c>
      <c r="J1277" s="13">
        <f>Orders[[#This Row],[Quantity]]*Orders[[#This Row],[Selling Price]]</f>
        <v>49451.400000000009</v>
      </c>
      <c r="K1277" s="13">
        <f>Orders[[#This Row],[Quantity]]*Orders[[#This Row],[Cost Price]]</f>
        <v>42033.69000000001</v>
      </c>
      <c r="L1277" s="13">
        <f>Orders[[#This Row],[Revenue]]-Orders[[#This Row],[Expenses]]</f>
        <v>7417.7099999999991</v>
      </c>
      <c r="M1277" t="s">
        <v>2198</v>
      </c>
      <c r="N1277" t="str">
        <f>_xlfn.XLOOKUP(Orders[[#This Row],[CustomerID]],Customers[CustomerID],Customers[CustomerName])</f>
        <v>Temi Bello</v>
      </c>
      <c r="O1277" t="str">
        <f>_xlfn.XLOOKUP(Orders[[#This Row],[CustomerID]],Customers[CustomerID],Customers[City])</f>
        <v>Texas</v>
      </c>
      <c r="P1277" t="str">
        <f>_xlfn.XLOOKUP(Orders[[#This Row],[CustomerID]],Customers[CustomerID],Customers[Gender])</f>
        <v>Female</v>
      </c>
      <c r="Q1277">
        <f>_xlfn.XLOOKUP(Orders[[#This Row],[CustomerID]],Customers[CustomerID],Customers[CustomerAge])</f>
        <v>52</v>
      </c>
      <c r="R1277" t="str">
        <f>IF(Orders[[#This Row],[CustomerAge]]&gt;=35, "Older", "Young")</f>
        <v>Older</v>
      </c>
      <c r="S1277" t="str">
        <f>_xlfn.XLOOKUP(Orders[[#This Row],[ProductID]],Products[ProductID],Products[ProductName])</f>
        <v>Skipping Rope</v>
      </c>
      <c r="T1277" t="str">
        <f>_xlfn.XLOOKUP(Orders[[#This Row],[ProductID]],Products[ProductID],Products[Category])</f>
        <v>Sports</v>
      </c>
    </row>
    <row r="1278" spans="1:20" x14ac:dyDescent="0.25">
      <c r="A1278" s="4" t="s">
        <v>1467</v>
      </c>
      <c r="B1278" s="5">
        <v>46005</v>
      </c>
      <c r="C1278" s="15">
        <f>WEEKNUM(Orders[[#This Row],[OrderDate]])</f>
        <v>51</v>
      </c>
      <c r="D1278" s="15" t="str">
        <f>TEXT(Orders[[#This Row],[OrderDate]],"mmmm")</f>
        <v>December</v>
      </c>
      <c r="E1278" s="4" t="s">
        <v>293</v>
      </c>
      <c r="F1278" s="4" t="s">
        <v>25</v>
      </c>
      <c r="G1278" s="4">
        <v>1</v>
      </c>
      <c r="H1278" s="12">
        <v>18074</v>
      </c>
      <c r="I1278" s="13">
        <v>15362.9</v>
      </c>
      <c r="J1278" s="13">
        <f>Orders[[#This Row],[Quantity]]*Orders[[#This Row],[Selling Price]]</f>
        <v>18074</v>
      </c>
      <c r="K1278" s="13">
        <f>Orders[[#This Row],[Quantity]]*Orders[[#This Row],[Cost Price]]</f>
        <v>15362.9</v>
      </c>
      <c r="L1278" s="13">
        <f>Orders[[#This Row],[Revenue]]-Orders[[#This Row],[Expenses]]</f>
        <v>2711.1000000000004</v>
      </c>
      <c r="M1278" t="s">
        <v>2202</v>
      </c>
      <c r="N1278" t="str">
        <f>_xlfn.XLOOKUP(Orders[[#This Row],[CustomerID]],Customers[CustomerID],Customers[CustomerName])</f>
        <v>Tunde Eze</v>
      </c>
      <c r="O1278" t="str">
        <f>_xlfn.XLOOKUP(Orders[[#This Row],[CustomerID]],Customers[CustomerID],Customers[City])</f>
        <v>Florida</v>
      </c>
      <c r="P1278" t="str">
        <f>_xlfn.XLOOKUP(Orders[[#This Row],[CustomerID]],Customers[CustomerID],Customers[Gender])</f>
        <v>Male</v>
      </c>
      <c r="Q1278">
        <f>_xlfn.XLOOKUP(Orders[[#This Row],[CustomerID]],Customers[CustomerID],Customers[CustomerAge])</f>
        <v>46</v>
      </c>
      <c r="R1278" t="str">
        <f>IF(Orders[[#This Row],[CustomerAge]]&gt;=35, "Older", "Young")</f>
        <v>Older</v>
      </c>
      <c r="S1278" t="str">
        <f>_xlfn.XLOOKUP(Orders[[#This Row],[ProductID]],Products[ProductID],Products[ProductName])</f>
        <v>Gold Rings</v>
      </c>
      <c r="T1278" t="str">
        <f>_xlfn.XLOOKUP(Orders[[#This Row],[ProductID]],Products[ProductID],Products[Category])</f>
        <v>Accessories</v>
      </c>
    </row>
    <row r="1279" spans="1:20" x14ac:dyDescent="0.25">
      <c r="A1279" s="4" t="s">
        <v>1468</v>
      </c>
      <c r="B1279" s="5">
        <v>45968</v>
      </c>
      <c r="C1279" s="15">
        <f>WEEKNUM(Orders[[#This Row],[OrderDate]])</f>
        <v>45</v>
      </c>
      <c r="D1279" s="15" t="str">
        <f>TEXT(Orders[[#This Row],[OrderDate]],"mmmm")</f>
        <v>November</v>
      </c>
      <c r="E1279" s="4" t="s">
        <v>291</v>
      </c>
      <c r="F1279" s="4" t="s">
        <v>37</v>
      </c>
      <c r="G1279" s="4">
        <v>2</v>
      </c>
      <c r="H1279" s="12">
        <v>16049.2</v>
      </c>
      <c r="I1279" s="13">
        <v>13641.82</v>
      </c>
      <c r="J1279" s="13">
        <f>Orders[[#This Row],[Quantity]]*Orders[[#This Row],[Selling Price]]</f>
        <v>32098.400000000001</v>
      </c>
      <c r="K1279" s="13">
        <f>Orders[[#This Row],[Quantity]]*Orders[[#This Row],[Cost Price]]</f>
        <v>27283.64</v>
      </c>
      <c r="L1279" s="13">
        <f>Orders[[#This Row],[Revenue]]-Orders[[#This Row],[Expenses]]</f>
        <v>4814.760000000002</v>
      </c>
      <c r="M1279" t="s">
        <v>2212</v>
      </c>
      <c r="N1279" t="str">
        <f>_xlfn.XLOOKUP(Orders[[#This Row],[CustomerID]],Customers[CustomerID],Customers[CustomerName])</f>
        <v>Okon Igwe</v>
      </c>
      <c r="O1279" t="str">
        <f>_xlfn.XLOOKUP(Orders[[#This Row],[CustomerID]],Customers[CustomerID],Customers[City])</f>
        <v>Texas</v>
      </c>
      <c r="P1279" t="str">
        <f>_xlfn.XLOOKUP(Orders[[#This Row],[CustomerID]],Customers[CustomerID],Customers[Gender])</f>
        <v>Male</v>
      </c>
      <c r="Q1279">
        <f>_xlfn.XLOOKUP(Orders[[#This Row],[CustomerID]],Customers[CustomerID],Customers[CustomerAge])</f>
        <v>33</v>
      </c>
      <c r="R1279" t="str">
        <f>IF(Orders[[#This Row],[CustomerAge]]&gt;=35, "Older", "Young")</f>
        <v>Young</v>
      </c>
      <c r="S1279" t="str">
        <f>_xlfn.XLOOKUP(Orders[[#This Row],[ProductID]],Products[ProductID],Products[ProductName])</f>
        <v>Iron</v>
      </c>
      <c r="T1279" t="str">
        <f>_xlfn.XLOOKUP(Orders[[#This Row],[ProductID]],Products[ProductID],Products[Category])</f>
        <v>Electronics</v>
      </c>
    </row>
    <row r="1280" spans="1:20" x14ac:dyDescent="0.25">
      <c r="A1280" s="4" t="s">
        <v>1469</v>
      </c>
      <c r="B1280" s="5">
        <v>45934</v>
      </c>
      <c r="C1280" s="15">
        <f>WEEKNUM(Orders[[#This Row],[OrderDate]])</f>
        <v>40</v>
      </c>
      <c r="D1280" s="15" t="str">
        <f>TEXT(Orders[[#This Row],[OrderDate]],"mmmm")</f>
        <v>October</v>
      </c>
      <c r="E1280" s="4" t="s">
        <v>52</v>
      </c>
      <c r="F1280" s="4" t="s">
        <v>60</v>
      </c>
      <c r="G1280" s="4">
        <v>2</v>
      </c>
      <c r="H1280" s="12">
        <v>16874.100000000002</v>
      </c>
      <c r="I1280" s="13">
        <v>14342.985000000002</v>
      </c>
      <c r="J1280" s="13">
        <f>Orders[[#This Row],[Quantity]]*Orders[[#This Row],[Selling Price]]</f>
        <v>33748.200000000004</v>
      </c>
      <c r="K1280" s="13">
        <f>Orders[[#This Row],[Quantity]]*Orders[[#This Row],[Cost Price]]</f>
        <v>28685.970000000005</v>
      </c>
      <c r="L1280" s="13">
        <f>Orders[[#This Row],[Revenue]]-Orders[[#This Row],[Expenses]]</f>
        <v>5062.2299999999996</v>
      </c>
      <c r="M1280" t="s">
        <v>2196</v>
      </c>
      <c r="N1280" t="str">
        <f>_xlfn.XLOOKUP(Orders[[#This Row],[CustomerID]],Customers[CustomerID],Customers[CustomerName])</f>
        <v>Folasade Ojo</v>
      </c>
      <c r="O1280" t="str">
        <f>_xlfn.XLOOKUP(Orders[[#This Row],[CustomerID]],Customers[CustomerID],Customers[City])</f>
        <v>Texas</v>
      </c>
      <c r="P1280" t="str">
        <f>_xlfn.XLOOKUP(Orders[[#This Row],[CustomerID]],Customers[CustomerID],Customers[Gender])</f>
        <v>Female</v>
      </c>
      <c r="Q1280">
        <f>_xlfn.XLOOKUP(Orders[[#This Row],[CustomerID]],Customers[CustomerID],Customers[CustomerAge])</f>
        <v>29</v>
      </c>
      <c r="R1280" t="str">
        <f>IF(Orders[[#This Row],[CustomerAge]]&gt;=35, "Older", "Young")</f>
        <v>Young</v>
      </c>
      <c r="S1280" t="str">
        <f>_xlfn.XLOOKUP(Orders[[#This Row],[ProductID]],Products[ProductID],Products[ProductName])</f>
        <v>Silver Rings</v>
      </c>
      <c r="T1280" t="str">
        <f>_xlfn.XLOOKUP(Orders[[#This Row],[ProductID]],Products[ProductID],Products[Category])</f>
        <v>Accessories</v>
      </c>
    </row>
    <row r="1281" spans="1:20" x14ac:dyDescent="0.25">
      <c r="A1281" s="4" t="s">
        <v>1470</v>
      </c>
      <c r="B1281" s="5">
        <v>45980</v>
      </c>
      <c r="C1281" s="15">
        <f>WEEKNUM(Orders[[#This Row],[OrderDate]])</f>
        <v>47</v>
      </c>
      <c r="D1281" s="15" t="str">
        <f>TEXT(Orders[[#This Row],[OrderDate]],"mmmm")</f>
        <v>November</v>
      </c>
      <c r="E1281" s="4" t="s">
        <v>94</v>
      </c>
      <c r="F1281" s="4" t="s">
        <v>84</v>
      </c>
      <c r="G1281" s="4">
        <v>5</v>
      </c>
      <c r="H1281" s="12">
        <v>15723</v>
      </c>
      <c r="I1281" s="13">
        <v>13364.55</v>
      </c>
      <c r="J1281" s="13">
        <f>Orders[[#This Row],[Quantity]]*Orders[[#This Row],[Selling Price]]</f>
        <v>78615</v>
      </c>
      <c r="K1281" s="13">
        <f>Orders[[#This Row],[Quantity]]*Orders[[#This Row],[Cost Price]]</f>
        <v>66822.75</v>
      </c>
      <c r="L1281" s="13">
        <f>Orders[[#This Row],[Revenue]]-Orders[[#This Row],[Expenses]]</f>
        <v>11792.25</v>
      </c>
      <c r="M1281" t="s">
        <v>2195</v>
      </c>
      <c r="N1281" t="str">
        <f>_xlfn.XLOOKUP(Orders[[#This Row],[CustomerID]],Customers[CustomerID],Customers[CustomerName])</f>
        <v>Uche Abubakar</v>
      </c>
      <c r="O1281" t="str">
        <f>_xlfn.XLOOKUP(Orders[[#This Row],[CustomerID]],Customers[CustomerID],Customers[City])</f>
        <v>Texas</v>
      </c>
      <c r="P1281" t="str">
        <f>_xlfn.XLOOKUP(Orders[[#This Row],[CustomerID]],Customers[CustomerID],Customers[Gender])</f>
        <v>Male</v>
      </c>
      <c r="Q1281">
        <f>_xlfn.XLOOKUP(Orders[[#This Row],[CustomerID]],Customers[CustomerID],Customers[CustomerAge])</f>
        <v>26</v>
      </c>
      <c r="R1281" t="str">
        <f>IF(Orders[[#This Row],[CustomerAge]]&gt;=35, "Older", "Young")</f>
        <v>Young</v>
      </c>
      <c r="S1281" t="str">
        <f>_xlfn.XLOOKUP(Orders[[#This Row],[ProductID]],Products[ProductID],Products[ProductName])</f>
        <v>Gym Wears</v>
      </c>
      <c r="T1281" t="str">
        <f>_xlfn.XLOOKUP(Orders[[#This Row],[ProductID]],Products[ProductID],Products[Category])</f>
        <v>Clothing</v>
      </c>
    </row>
    <row r="1282" spans="1:20" x14ac:dyDescent="0.25">
      <c r="A1282" s="4" t="s">
        <v>1471</v>
      </c>
      <c r="B1282" s="5">
        <v>46022</v>
      </c>
      <c r="C1282" s="15">
        <f>WEEKNUM(Orders[[#This Row],[OrderDate]])</f>
        <v>53</v>
      </c>
      <c r="D1282" s="15" t="str">
        <f>TEXT(Orders[[#This Row],[OrderDate]],"mmmm")</f>
        <v>December</v>
      </c>
      <c r="E1282" s="4" t="s">
        <v>146</v>
      </c>
      <c r="F1282" s="4" t="s">
        <v>25</v>
      </c>
      <c r="G1282" s="4">
        <v>9</v>
      </c>
      <c r="H1282" s="12">
        <v>4682.7999999999993</v>
      </c>
      <c r="I1282" s="13">
        <v>3980.3799999999992</v>
      </c>
      <c r="J1282" s="13">
        <f>Orders[[#This Row],[Quantity]]*Orders[[#This Row],[Selling Price]]</f>
        <v>42145.2</v>
      </c>
      <c r="K1282" s="13">
        <f>Orders[[#This Row],[Quantity]]*Orders[[#This Row],[Cost Price]]</f>
        <v>35823.419999999991</v>
      </c>
      <c r="L1282" s="13">
        <f>Orders[[#This Row],[Revenue]]-Orders[[#This Row],[Expenses]]</f>
        <v>6321.7800000000061</v>
      </c>
      <c r="M1282" t="s">
        <v>2196</v>
      </c>
      <c r="N1282" t="str">
        <f>_xlfn.XLOOKUP(Orders[[#This Row],[CustomerID]],Customers[CustomerID],Customers[CustomerName])</f>
        <v>Mustafa Igwe</v>
      </c>
      <c r="O1282" t="str">
        <f>_xlfn.XLOOKUP(Orders[[#This Row],[CustomerID]],Customers[CustomerID],Customers[City])</f>
        <v>Texas</v>
      </c>
      <c r="P1282" t="str">
        <f>_xlfn.XLOOKUP(Orders[[#This Row],[CustomerID]],Customers[CustomerID],Customers[Gender])</f>
        <v>Male</v>
      </c>
      <c r="Q1282">
        <f>_xlfn.XLOOKUP(Orders[[#This Row],[CustomerID]],Customers[CustomerID],Customers[CustomerAge])</f>
        <v>27</v>
      </c>
      <c r="R1282" t="str">
        <f>IF(Orders[[#This Row],[CustomerAge]]&gt;=35, "Older", "Young")</f>
        <v>Young</v>
      </c>
      <c r="S1282" t="str">
        <f>_xlfn.XLOOKUP(Orders[[#This Row],[ProductID]],Products[ProductID],Products[ProductName])</f>
        <v>Gold Rings</v>
      </c>
      <c r="T1282" t="str">
        <f>_xlfn.XLOOKUP(Orders[[#This Row],[ProductID]],Products[ProductID],Products[Category])</f>
        <v>Accessories</v>
      </c>
    </row>
    <row r="1283" spans="1:20" x14ac:dyDescent="0.25">
      <c r="A1283" s="4" t="s">
        <v>1472</v>
      </c>
      <c r="B1283" s="5">
        <v>45976</v>
      </c>
      <c r="C1283" s="15">
        <f>WEEKNUM(Orders[[#This Row],[OrderDate]])</f>
        <v>46</v>
      </c>
      <c r="D1283" s="15" t="str">
        <f>TEXT(Orders[[#This Row],[OrderDate]],"mmmm")</f>
        <v>November</v>
      </c>
      <c r="E1283" s="4" t="s">
        <v>237</v>
      </c>
      <c r="F1283" s="4" t="s">
        <v>20</v>
      </c>
      <c r="G1283" s="4">
        <v>7</v>
      </c>
      <c r="H1283" s="12">
        <v>3571.8</v>
      </c>
      <c r="I1283" s="13">
        <v>3036.03</v>
      </c>
      <c r="J1283" s="13">
        <f>Orders[[#This Row],[Quantity]]*Orders[[#This Row],[Selling Price]]</f>
        <v>25002.600000000002</v>
      </c>
      <c r="K1283" s="13">
        <f>Orders[[#This Row],[Quantity]]*Orders[[#This Row],[Cost Price]]</f>
        <v>21252.210000000003</v>
      </c>
      <c r="L1283" s="13">
        <f>Orders[[#This Row],[Revenue]]-Orders[[#This Row],[Expenses]]</f>
        <v>3750.3899999999994</v>
      </c>
      <c r="M1283" t="s">
        <v>2206</v>
      </c>
      <c r="N1283" t="str">
        <f>_xlfn.XLOOKUP(Orders[[#This Row],[CustomerID]],Customers[CustomerID],Customers[CustomerName])</f>
        <v>Ronke Danladi</v>
      </c>
      <c r="O1283" t="str">
        <f>_xlfn.XLOOKUP(Orders[[#This Row],[CustomerID]],Customers[CustomerID],Customers[City])</f>
        <v>Florida</v>
      </c>
      <c r="P1283" t="str">
        <f>_xlfn.XLOOKUP(Orders[[#This Row],[CustomerID]],Customers[CustomerID],Customers[Gender])</f>
        <v>Female</v>
      </c>
      <c r="Q1283">
        <f>_xlfn.XLOOKUP(Orders[[#This Row],[CustomerID]],Customers[CustomerID],Customers[CustomerAge])</f>
        <v>25</v>
      </c>
      <c r="R1283" t="str">
        <f>IF(Orders[[#This Row],[CustomerAge]]&gt;=35, "Older", "Young")</f>
        <v>Young</v>
      </c>
      <c r="S1283" t="str">
        <f>_xlfn.XLOOKUP(Orders[[#This Row],[ProductID]],Products[ProductID],Products[ProductName])</f>
        <v>Gym Bag</v>
      </c>
      <c r="T1283" t="str">
        <f>_xlfn.XLOOKUP(Orders[[#This Row],[ProductID]],Products[ProductID],Products[Category])</f>
        <v>Gym</v>
      </c>
    </row>
    <row r="1284" spans="1:20" x14ac:dyDescent="0.25">
      <c r="A1284" s="4" t="s">
        <v>1473</v>
      </c>
      <c r="B1284" s="5">
        <v>45999</v>
      </c>
      <c r="C1284" s="15">
        <f>WEEKNUM(Orders[[#This Row],[OrderDate]])</f>
        <v>50</v>
      </c>
      <c r="D1284" s="15" t="str">
        <f>TEXT(Orders[[#This Row],[OrderDate]],"mmmm")</f>
        <v>December</v>
      </c>
      <c r="E1284" s="4" t="s">
        <v>293</v>
      </c>
      <c r="F1284" s="4" t="s">
        <v>120</v>
      </c>
      <c r="G1284" s="4">
        <v>8</v>
      </c>
      <c r="H1284" s="12">
        <v>6811.2</v>
      </c>
      <c r="I1284" s="13">
        <v>5789.5199999999995</v>
      </c>
      <c r="J1284" s="13">
        <f>Orders[[#This Row],[Quantity]]*Orders[[#This Row],[Selling Price]]</f>
        <v>54489.599999999999</v>
      </c>
      <c r="K1284" s="13">
        <f>Orders[[#This Row],[Quantity]]*Orders[[#This Row],[Cost Price]]</f>
        <v>46316.159999999996</v>
      </c>
      <c r="L1284" s="13">
        <f>Orders[[#This Row],[Revenue]]-Orders[[#This Row],[Expenses]]</f>
        <v>8173.4400000000023</v>
      </c>
      <c r="M1284" t="s">
        <v>2218</v>
      </c>
      <c r="N1284" t="str">
        <f>_xlfn.XLOOKUP(Orders[[#This Row],[CustomerID]],Customers[CustomerID],Customers[CustomerName])</f>
        <v>Tunde Eze</v>
      </c>
      <c r="O1284" t="str">
        <f>_xlfn.XLOOKUP(Orders[[#This Row],[CustomerID]],Customers[CustomerID],Customers[City])</f>
        <v>Florida</v>
      </c>
      <c r="P1284" t="str">
        <f>_xlfn.XLOOKUP(Orders[[#This Row],[CustomerID]],Customers[CustomerID],Customers[Gender])</f>
        <v>Male</v>
      </c>
      <c r="Q1284">
        <f>_xlfn.XLOOKUP(Orders[[#This Row],[CustomerID]],Customers[CustomerID],Customers[CustomerAge])</f>
        <v>46</v>
      </c>
      <c r="R1284" t="str">
        <f>IF(Orders[[#This Row],[CustomerAge]]&gt;=35, "Older", "Young")</f>
        <v>Older</v>
      </c>
      <c r="S1284" t="str">
        <f>_xlfn.XLOOKUP(Orders[[#This Row],[ProductID]],Products[ProductID],Products[ProductName])</f>
        <v>Chess</v>
      </c>
      <c r="T1284" t="str">
        <f>_xlfn.XLOOKUP(Orders[[#This Row],[ProductID]],Products[ProductID],Products[Category])</f>
        <v>Games</v>
      </c>
    </row>
    <row r="1285" spans="1:20" x14ac:dyDescent="0.25">
      <c r="A1285" s="4" t="s">
        <v>1474</v>
      </c>
      <c r="B1285" s="5">
        <v>46014</v>
      </c>
      <c r="C1285" s="15">
        <f>WEEKNUM(Orders[[#This Row],[OrderDate]])</f>
        <v>52</v>
      </c>
      <c r="D1285" s="15" t="str">
        <f>TEXT(Orders[[#This Row],[OrderDate]],"mmmm")</f>
        <v>December</v>
      </c>
      <c r="E1285" s="4" t="s">
        <v>400</v>
      </c>
      <c r="F1285" s="4" t="s">
        <v>151</v>
      </c>
      <c r="G1285" s="4">
        <v>4</v>
      </c>
      <c r="H1285" s="12">
        <v>6552.3</v>
      </c>
      <c r="I1285" s="13">
        <v>5569.4549999999999</v>
      </c>
      <c r="J1285" s="13">
        <f>Orders[[#This Row],[Quantity]]*Orders[[#This Row],[Selling Price]]</f>
        <v>26209.200000000001</v>
      </c>
      <c r="K1285" s="13">
        <f>Orders[[#This Row],[Quantity]]*Orders[[#This Row],[Cost Price]]</f>
        <v>22277.82</v>
      </c>
      <c r="L1285" s="13">
        <f>Orders[[#This Row],[Revenue]]-Orders[[#This Row],[Expenses]]</f>
        <v>3931.380000000001</v>
      </c>
      <c r="M1285" t="s">
        <v>2199</v>
      </c>
      <c r="N1285" t="str">
        <f>_xlfn.XLOOKUP(Orders[[#This Row],[CustomerID]],Customers[CustomerID],Customers[CustomerName])</f>
        <v>Obi Igwe</v>
      </c>
      <c r="O1285" t="str">
        <f>_xlfn.XLOOKUP(Orders[[#This Row],[CustomerID]],Customers[CustomerID],Customers[City])</f>
        <v>Florida</v>
      </c>
      <c r="P1285" t="str">
        <f>_xlfn.XLOOKUP(Orders[[#This Row],[CustomerID]],Customers[CustomerID],Customers[Gender])</f>
        <v>Male</v>
      </c>
      <c r="Q1285">
        <f>_xlfn.XLOOKUP(Orders[[#This Row],[CustomerID]],Customers[CustomerID],Customers[CustomerAge])</f>
        <v>35</v>
      </c>
      <c r="R1285" t="str">
        <f>IF(Orders[[#This Row],[CustomerAge]]&gt;=35, "Older", "Young")</f>
        <v>Older</v>
      </c>
      <c r="S1285" t="str">
        <f>_xlfn.XLOOKUP(Orders[[#This Row],[ProductID]],Products[ProductID],Products[ProductName])</f>
        <v>Checkers</v>
      </c>
      <c r="T1285" t="str">
        <f>_xlfn.XLOOKUP(Orders[[#This Row],[ProductID]],Products[ProductID],Products[Category])</f>
        <v>Games</v>
      </c>
    </row>
    <row r="1286" spans="1:20" x14ac:dyDescent="0.25">
      <c r="A1286" s="4" t="s">
        <v>1475</v>
      </c>
      <c r="B1286" s="5">
        <v>45958</v>
      </c>
      <c r="C1286" s="15">
        <f>WEEKNUM(Orders[[#This Row],[OrderDate]])</f>
        <v>44</v>
      </c>
      <c r="D1286" s="15" t="str">
        <f>TEXT(Orders[[#This Row],[OrderDate]],"mmmm")</f>
        <v>October</v>
      </c>
      <c r="E1286" s="4" t="s">
        <v>340</v>
      </c>
      <c r="F1286" s="4" t="s">
        <v>60</v>
      </c>
      <c r="G1286" s="4">
        <v>3</v>
      </c>
      <c r="H1286" s="12">
        <v>9228.7000000000007</v>
      </c>
      <c r="I1286" s="13">
        <v>7844.3950000000004</v>
      </c>
      <c r="J1286" s="13">
        <f>Orders[[#This Row],[Quantity]]*Orders[[#This Row],[Selling Price]]</f>
        <v>27686.100000000002</v>
      </c>
      <c r="K1286" s="13">
        <f>Orders[[#This Row],[Quantity]]*Orders[[#This Row],[Cost Price]]</f>
        <v>23533.185000000001</v>
      </c>
      <c r="L1286" s="13">
        <f>Orders[[#This Row],[Revenue]]-Orders[[#This Row],[Expenses]]</f>
        <v>4152.9150000000009</v>
      </c>
      <c r="M1286" t="s">
        <v>2195</v>
      </c>
      <c r="N1286" t="str">
        <f>_xlfn.XLOOKUP(Orders[[#This Row],[CustomerID]],Customers[CustomerID],Customers[CustomerName])</f>
        <v>Uche Abubakar</v>
      </c>
      <c r="O1286" t="str">
        <f>_xlfn.XLOOKUP(Orders[[#This Row],[CustomerID]],Customers[CustomerID],Customers[City])</f>
        <v>Illinois</v>
      </c>
      <c r="P1286" t="str">
        <f>_xlfn.XLOOKUP(Orders[[#This Row],[CustomerID]],Customers[CustomerID],Customers[Gender])</f>
        <v>Male</v>
      </c>
      <c r="Q1286">
        <f>_xlfn.XLOOKUP(Orders[[#This Row],[CustomerID]],Customers[CustomerID],Customers[CustomerAge])</f>
        <v>18</v>
      </c>
      <c r="R1286" t="str">
        <f>IF(Orders[[#This Row],[CustomerAge]]&gt;=35, "Older", "Young")</f>
        <v>Young</v>
      </c>
      <c r="S1286" t="str">
        <f>_xlfn.XLOOKUP(Orders[[#This Row],[ProductID]],Products[ProductID],Products[ProductName])</f>
        <v>Silver Rings</v>
      </c>
      <c r="T1286" t="str">
        <f>_xlfn.XLOOKUP(Orders[[#This Row],[ProductID]],Products[ProductID],Products[Category])</f>
        <v>Accessories</v>
      </c>
    </row>
    <row r="1287" spans="1:20" x14ac:dyDescent="0.25">
      <c r="A1287" s="4" t="s">
        <v>1476</v>
      </c>
      <c r="B1287" s="5">
        <v>45981</v>
      </c>
      <c r="C1287" s="15">
        <f>WEEKNUM(Orders[[#This Row],[OrderDate]])</f>
        <v>47</v>
      </c>
      <c r="D1287" s="15" t="str">
        <f>TEXT(Orders[[#This Row],[OrderDate]],"mmmm")</f>
        <v>November</v>
      </c>
      <c r="E1287" s="4" t="s">
        <v>410</v>
      </c>
      <c r="F1287" s="4" t="s">
        <v>46</v>
      </c>
      <c r="G1287" s="4">
        <v>4</v>
      </c>
      <c r="H1287" s="12">
        <v>5235.1000000000004</v>
      </c>
      <c r="I1287" s="13">
        <v>4449.835</v>
      </c>
      <c r="J1287" s="13">
        <f>Orders[[#This Row],[Quantity]]*Orders[[#This Row],[Selling Price]]</f>
        <v>20940.400000000001</v>
      </c>
      <c r="K1287" s="13">
        <f>Orders[[#This Row],[Quantity]]*Orders[[#This Row],[Cost Price]]</f>
        <v>17799.34</v>
      </c>
      <c r="L1287" s="13">
        <f>Orders[[#This Row],[Revenue]]-Orders[[#This Row],[Expenses]]</f>
        <v>3141.0600000000013</v>
      </c>
      <c r="M1287" t="s">
        <v>2196</v>
      </c>
      <c r="N1287" t="str">
        <f>_xlfn.XLOOKUP(Orders[[#This Row],[CustomerID]],Customers[CustomerID],Customers[CustomerName])</f>
        <v>Jane Thomas</v>
      </c>
      <c r="O1287" t="str">
        <f>_xlfn.XLOOKUP(Orders[[#This Row],[CustomerID]],Customers[CustomerID],Customers[City])</f>
        <v>Texas</v>
      </c>
      <c r="P1287" t="str">
        <f>_xlfn.XLOOKUP(Orders[[#This Row],[CustomerID]],Customers[CustomerID],Customers[Gender])</f>
        <v>Male</v>
      </c>
      <c r="Q1287">
        <f>_xlfn.XLOOKUP(Orders[[#This Row],[CustomerID]],Customers[CustomerID],Customers[CustomerAge])</f>
        <v>21</v>
      </c>
      <c r="R1287" t="str">
        <f>IF(Orders[[#This Row],[CustomerAge]]&gt;=35, "Older", "Young")</f>
        <v>Young</v>
      </c>
      <c r="S1287" t="str">
        <f>_xlfn.XLOOKUP(Orders[[#This Row],[ProductID]],Products[ProductID],Products[ProductName])</f>
        <v>Turtle Neck</v>
      </c>
      <c r="T1287" t="str">
        <f>_xlfn.XLOOKUP(Orders[[#This Row],[ProductID]],Products[ProductID],Products[Category])</f>
        <v>Clothing</v>
      </c>
    </row>
    <row r="1288" spans="1:20" x14ac:dyDescent="0.25">
      <c r="A1288" s="4" t="s">
        <v>1477</v>
      </c>
      <c r="B1288" s="5">
        <v>46003</v>
      </c>
      <c r="C1288" s="15">
        <f>WEEKNUM(Orders[[#This Row],[OrderDate]])</f>
        <v>50</v>
      </c>
      <c r="D1288" s="15" t="str">
        <f>TEXT(Orders[[#This Row],[OrderDate]],"mmmm")</f>
        <v>December</v>
      </c>
      <c r="E1288" s="4" t="s">
        <v>80</v>
      </c>
      <c r="F1288" s="4" t="s">
        <v>37</v>
      </c>
      <c r="G1288" s="4">
        <v>5</v>
      </c>
      <c r="H1288" s="12">
        <v>17278.399999999998</v>
      </c>
      <c r="I1288" s="13">
        <v>14686.639999999998</v>
      </c>
      <c r="J1288" s="13">
        <f>Orders[[#This Row],[Quantity]]*Orders[[#This Row],[Selling Price]]</f>
        <v>86391.999999999985</v>
      </c>
      <c r="K1288" s="13">
        <f>Orders[[#This Row],[Quantity]]*Orders[[#This Row],[Cost Price]]</f>
        <v>73433.199999999983</v>
      </c>
      <c r="L1288" s="13">
        <f>Orders[[#This Row],[Revenue]]-Orders[[#This Row],[Expenses]]</f>
        <v>12958.800000000003</v>
      </c>
      <c r="M1288" t="s">
        <v>2208</v>
      </c>
      <c r="N1288" t="str">
        <f>_xlfn.XLOOKUP(Orders[[#This Row],[CustomerID]],Customers[CustomerID],Customers[CustomerName])</f>
        <v>Sani Ojo</v>
      </c>
      <c r="O1288" t="str">
        <f>_xlfn.XLOOKUP(Orders[[#This Row],[CustomerID]],Customers[CustomerID],Customers[City])</f>
        <v>Texas</v>
      </c>
      <c r="P1288" t="str">
        <f>_xlfn.XLOOKUP(Orders[[#This Row],[CustomerID]],Customers[CustomerID],Customers[Gender])</f>
        <v>Male</v>
      </c>
      <c r="Q1288">
        <f>_xlfn.XLOOKUP(Orders[[#This Row],[CustomerID]],Customers[CustomerID],Customers[CustomerAge])</f>
        <v>35</v>
      </c>
      <c r="R1288" t="str">
        <f>IF(Orders[[#This Row],[CustomerAge]]&gt;=35, "Older", "Young")</f>
        <v>Older</v>
      </c>
      <c r="S1288" t="str">
        <f>_xlfn.XLOOKUP(Orders[[#This Row],[ProductID]],Products[ProductID],Products[ProductName])</f>
        <v>Iron</v>
      </c>
      <c r="T1288" t="str">
        <f>_xlfn.XLOOKUP(Orders[[#This Row],[ProductID]],Products[ProductID],Products[Category])</f>
        <v>Electronics</v>
      </c>
    </row>
    <row r="1289" spans="1:20" x14ac:dyDescent="0.25">
      <c r="A1289" s="4" t="s">
        <v>1478</v>
      </c>
      <c r="B1289" s="5">
        <v>45981</v>
      </c>
      <c r="C1289" s="15">
        <f>WEEKNUM(Orders[[#This Row],[OrderDate]])</f>
        <v>47</v>
      </c>
      <c r="D1289" s="15" t="str">
        <f>TEXT(Orders[[#This Row],[OrderDate]],"mmmm")</f>
        <v>November</v>
      </c>
      <c r="E1289" s="4" t="s">
        <v>227</v>
      </c>
      <c r="F1289" s="4" t="s">
        <v>76</v>
      </c>
      <c r="G1289" s="4">
        <v>7</v>
      </c>
      <c r="H1289" s="12">
        <v>3832.1</v>
      </c>
      <c r="I1289" s="13">
        <v>3257.2849999999999</v>
      </c>
      <c r="J1289" s="13">
        <f>Orders[[#This Row],[Quantity]]*Orders[[#This Row],[Selling Price]]</f>
        <v>26824.7</v>
      </c>
      <c r="K1289" s="13">
        <f>Orders[[#This Row],[Quantity]]*Orders[[#This Row],[Cost Price]]</f>
        <v>22800.994999999999</v>
      </c>
      <c r="L1289" s="13">
        <f>Orders[[#This Row],[Revenue]]-Orders[[#This Row],[Expenses]]</f>
        <v>4023.7050000000017</v>
      </c>
      <c r="M1289" t="s">
        <v>2209</v>
      </c>
      <c r="N1289" t="str">
        <f>_xlfn.XLOOKUP(Orders[[#This Row],[CustomerID]],Customers[CustomerID],Customers[CustomerName])</f>
        <v>Emmanuel Victor</v>
      </c>
      <c r="O1289" t="str">
        <f>_xlfn.XLOOKUP(Orders[[#This Row],[CustomerID]],Customers[CustomerID],Customers[City])</f>
        <v>Washington</v>
      </c>
      <c r="P1289" t="str">
        <f>_xlfn.XLOOKUP(Orders[[#This Row],[CustomerID]],Customers[CustomerID],Customers[Gender])</f>
        <v>Male</v>
      </c>
      <c r="Q1289">
        <f>_xlfn.XLOOKUP(Orders[[#This Row],[CustomerID]],Customers[CustomerID],Customers[CustomerAge])</f>
        <v>35</v>
      </c>
      <c r="R1289" t="str">
        <f>IF(Orders[[#This Row],[CustomerAge]]&gt;=35, "Older", "Young")</f>
        <v>Older</v>
      </c>
      <c r="S1289" t="str">
        <f>_xlfn.XLOOKUP(Orders[[#This Row],[ProductID]],Products[ProductID],Products[ProductName])</f>
        <v>Blender</v>
      </c>
      <c r="T1289" t="str">
        <f>_xlfn.XLOOKUP(Orders[[#This Row],[ProductID]],Products[ProductID],Products[Category])</f>
        <v>Electronics</v>
      </c>
    </row>
    <row r="1290" spans="1:20" x14ac:dyDescent="0.25">
      <c r="A1290" s="4" t="s">
        <v>1479</v>
      </c>
      <c r="B1290" s="5">
        <v>45946</v>
      </c>
      <c r="C1290" s="15">
        <f>WEEKNUM(Orders[[#This Row],[OrderDate]])</f>
        <v>42</v>
      </c>
      <c r="D1290" s="15" t="str">
        <f>TEXT(Orders[[#This Row],[OrderDate]],"mmmm")</f>
        <v>October</v>
      </c>
      <c r="E1290" s="4" t="s">
        <v>388</v>
      </c>
      <c r="F1290" s="4" t="s">
        <v>57</v>
      </c>
      <c r="G1290" s="4">
        <v>9</v>
      </c>
      <c r="H1290" s="12">
        <v>19531.900000000001</v>
      </c>
      <c r="I1290" s="13">
        <v>16602.115000000002</v>
      </c>
      <c r="J1290" s="13">
        <f>Orders[[#This Row],[Quantity]]*Orders[[#This Row],[Selling Price]]</f>
        <v>175787.1</v>
      </c>
      <c r="K1290" s="13">
        <f>Orders[[#This Row],[Quantity]]*Orders[[#This Row],[Cost Price]]</f>
        <v>149419.035</v>
      </c>
      <c r="L1290" s="13">
        <f>Orders[[#This Row],[Revenue]]-Orders[[#This Row],[Expenses]]</f>
        <v>26368.065000000002</v>
      </c>
      <c r="M1290" t="s">
        <v>2219</v>
      </c>
      <c r="N1290" t="str">
        <f>_xlfn.XLOOKUP(Orders[[#This Row],[CustomerID]],Customers[CustomerID],Customers[CustomerName])</f>
        <v>Folasade Okonkwo</v>
      </c>
      <c r="O1290" t="str">
        <f>_xlfn.XLOOKUP(Orders[[#This Row],[CustomerID]],Customers[CustomerID],Customers[City])</f>
        <v>Washington</v>
      </c>
      <c r="P1290" t="str">
        <f>_xlfn.XLOOKUP(Orders[[#This Row],[CustomerID]],Customers[CustomerID],Customers[Gender])</f>
        <v>Female</v>
      </c>
      <c r="Q1290">
        <f>_xlfn.XLOOKUP(Orders[[#This Row],[CustomerID]],Customers[CustomerID],Customers[CustomerAge])</f>
        <v>52</v>
      </c>
      <c r="R1290" t="str">
        <f>IF(Orders[[#This Row],[CustomerAge]]&gt;=35, "Older", "Young")</f>
        <v>Older</v>
      </c>
      <c r="S1290" t="str">
        <f>_xlfn.XLOOKUP(Orders[[#This Row],[ProductID]],Products[ProductID],Products[ProductName])</f>
        <v>Badminton Racket</v>
      </c>
      <c r="T1290" t="str">
        <f>_xlfn.XLOOKUP(Orders[[#This Row],[ProductID]],Products[ProductID],Products[Category])</f>
        <v>Sports</v>
      </c>
    </row>
    <row r="1291" spans="1:20" x14ac:dyDescent="0.25">
      <c r="A1291" s="4" t="s">
        <v>1480</v>
      </c>
      <c r="B1291" s="5">
        <v>45980</v>
      </c>
      <c r="C1291" s="15">
        <f>WEEKNUM(Orders[[#This Row],[OrderDate]])</f>
        <v>47</v>
      </c>
      <c r="D1291" s="15" t="str">
        <f>TEXT(Orders[[#This Row],[OrderDate]],"mmmm")</f>
        <v>November</v>
      </c>
      <c r="E1291" s="4" t="s">
        <v>439</v>
      </c>
      <c r="F1291" s="4" t="s">
        <v>151</v>
      </c>
      <c r="G1291" s="4">
        <v>2</v>
      </c>
      <c r="H1291" s="12">
        <v>1612.7</v>
      </c>
      <c r="I1291" s="13">
        <v>1370.7950000000001</v>
      </c>
      <c r="J1291" s="13">
        <f>Orders[[#This Row],[Quantity]]*Orders[[#This Row],[Selling Price]]</f>
        <v>3225.4</v>
      </c>
      <c r="K1291" s="13">
        <f>Orders[[#This Row],[Quantity]]*Orders[[#This Row],[Cost Price]]</f>
        <v>2741.59</v>
      </c>
      <c r="L1291" s="13">
        <f>Orders[[#This Row],[Revenue]]-Orders[[#This Row],[Expenses]]</f>
        <v>483.80999999999995</v>
      </c>
      <c r="M1291" t="s">
        <v>2199</v>
      </c>
      <c r="N1291" t="str">
        <f>_xlfn.XLOOKUP(Orders[[#This Row],[CustomerID]],Customers[CustomerID],Customers[CustomerName])</f>
        <v>Efe Abubakar</v>
      </c>
      <c r="O1291" t="str">
        <f>_xlfn.XLOOKUP(Orders[[#This Row],[CustomerID]],Customers[CustomerID],Customers[City])</f>
        <v>Texas</v>
      </c>
      <c r="P1291" t="str">
        <f>_xlfn.XLOOKUP(Orders[[#This Row],[CustomerID]],Customers[CustomerID],Customers[Gender])</f>
        <v>Female</v>
      </c>
      <c r="Q1291">
        <f>_xlfn.XLOOKUP(Orders[[#This Row],[CustomerID]],Customers[CustomerID],Customers[CustomerAge])</f>
        <v>50</v>
      </c>
      <c r="R1291" t="str">
        <f>IF(Orders[[#This Row],[CustomerAge]]&gt;=35, "Older", "Young")</f>
        <v>Older</v>
      </c>
      <c r="S1291" t="str">
        <f>_xlfn.XLOOKUP(Orders[[#This Row],[ProductID]],Products[ProductID],Products[ProductName])</f>
        <v>Checkers</v>
      </c>
      <c r="T1291" t="str">
        <f>_xlfn.XLOOKUP(Orders[[#This Row],[ProductID]],Products[ProductID],Products[Category])</f>
        <v>Games</v>
      </c>
    </row>
    <row r="1292" spans="1:20" x14ac:dyDescent="0.25">
      <c r="A1292" s="4" t="s">
        <v>1481</v>
      </c>
      <c r="B1292" s="5">
        <v>45932</v>
      </c>
      <c r="C1292" s="15">
        <f>WEEKNUM(Orders[[#This Row],[OrderDate]])</f>
        <v>40</v>
      </c>
      <c r="D1292" s="15" t="str">
        <f>TEXT(Orders[[#This Row],[OrderDate]],"mmmm")</f>
        <v>October</v>
      </c>
      <c r="E1292" s="4" t="s">
        <v>50</v>
      </c>
      <c r="F1292" s="4" t="s">
        <v>125</v>
      </c>
      <c r="G1292" s="4">
        <v>10</v>
      </c>
      <c r="H1292" s="12">
        <v>8699.7000000000007</v>
      </c>
      <c r="I1292" s="13">
        <v>7394.7450000000008</v>
      </c>
      <c r="J1292" s="13">
        <f>Orders[[#This Row],[Quantity]]*Orders[[#This Row],[Selling Price]]</f>
        <v>86997</v>
      </c>
      <c r="K1292" s="13">
        <f>Orders[[#This Row],[Quantity]]*Orders[[#This Row],[Cost Price]]</f>
        <v>73947.450000000012</v>
      </c>
      <c r="L1292" s="13">
        <f>Orders[[#This Row],[Revenue]]-Orders[[#This Row],[Expenses]]</f>
        <v>13049.549999999988</v>
      </c>
      <c r="M1292" t="s">
        <v>2210</v>
      </c>
      <c r="N1292" t="str">
        <f>_xlfn.XLOOKUP(Orders[[#This Row],[CustomerID]],Customers[CustomerID],Customers[CustomerName])</f>
        <v>Funke Danladi</v>
      </c>
      <c r="O1292" t="str">
        <f>_xlfn.XLOOKUP(Orders[[#This Row],[CustomerID]],Customers[CustomerID],Customers[City])</f>
        <v>California</v>
      </c>
      <c r="P1292" t="str">
        <f>_xlfn.XLOOKUP(Orders[[#This Row],[CustomerID]],Customers[CustomerID],Customers[Gender])</f>
        <v>Female</v>
      </c>
      <c r="Q1292">
        <f>_xlfn.XLOOKUP(Orders[[#This Row],[CustomerID]],Customers[CustomerID],Customers[CustomerAge])</f>
        <v>31</v>
      </c>
      <c r="R1292" t="str">
        <f>IF(Orders[[#This Row],[CustomerAge]]&gt;=35, "Older", "Young")</f>
        <v>Young</v>
      </c>
      <c r="S1292" t="str">
        <f>_xlfn.XLOOKUP(Orders[[#This Row],[ProductID]],Products[ProductID],Products[ProductName])</f>
        <v>Earrings</v>
      </c>
      <c r="T1292" t="str">
        <f>_xlfn.XLOOKUP(Orders[[#This Row],[ProductID]],Products[ProductID],Products[Category])</f>
        <v>Accessories</v>
      </c>
    </row>
    <row r="1293" spans="1:20" x14ac:dyDescent="0.25">
      <c r="A1293" s="4" t="s">
        <v>1482</v>
      </c>
      <c r="B1293" s="5">
        <v>46020</v>
      </c>
      <c r="C1293" s="15">
        <f>WEEKNUM(Orders[[#This Row],[OrderDate]])</f>
        <v>53</v>
      </c>
      <c r="D1293" s="15" t="str">
        <f>TEXT(Orders[[#This Row],[OrderDate]],"mmmm")</f>
        <v>December</v>
      </c>
      <c r="E1293" s="4" t="s">
        <v>287</v>
      </c>
      <c r="F1293" s="4" t="s">
        <v>63</v>
      </c>
      <c r="G1293" s="4">
        <v>10</v>
      </c>
      <c r="H1293" s="12">
        <v>5888.5</v>
      </c>
      <c r="I1293" s="13">
        <v>5005.2250000000004</v>
      </c>
      <c r="J1293" s="13">
        <f>Orders[[#This Row],[Quantity]]*Orders[[#This Row],[Selling Price]]</f>
        <v>58885</v>
      </c>
      <c r="K1293" s="13">
        <f>Orders[[#This Row],[Quantity]]*Orders[[#This Row],[Cost Price]]</f>
        <v>50052.25</v>
      </c>
      <c r="L1293" s="13">
        <f>Orders[[#This Row],[Revenue]]-Orders[[#This Row],[Expenses]]</f>
        <v>8832.75</v>
      </c>
      <c r="M1293" t="s">
        <v>2208</v>
      </c>
      <c r="N1293" t="str">
        <f>_xlfn.XLOOKUP(Orders[[#This Row],[CustomerID]],Customers[CustomerID],Customers[CustomerName])</f>
        <v>Okon Obi</v>
      </c>
      <c r="O1293" t="str">
        <f>_xlfn.XLOOKUP(Orders[[#This Row],[CustomerID]],Customers[CustomerID],Customers[City])</f>
        <v>Texas</v>
      </c>
      <c r="P1293" t="str">
        <f>_xlfn.XLOOKUP(Orders[[#This Row],[CustomerID]],Customers[CustomerID],Customers[Gender])</f>
        <v>Male</v>
      </c>
      <c r="Q1293">
        <f>_xlfn.XLOOKUP(Orders[[#This Row],[CustomerID]],Customers[CustomerID],Customers[CustomerAge])</f>
        <v>55</v>
      </c>
      <c r="R1293" t="str">
        <f>IF(Orders[[#This Row],[CustomerAge]]&gt;=35, "Older", "Young")</f>
        <v>Older</v>
      </c>
      <c r="S1293" t="str">
        <f>_xlfn.XLOOKUP(Orders[[#This Row],[ProductID]],Products[ProductID],Products[ProductName])</f>
        <v>Tennis Bat</v>
      </c>
      <c r="T1293" t="str">
        <f>_xlfn.XLOOKUP(Orders[[#This Row],[ProductID]],Products[ProductID],Products[Category])</f>
        <v>Sports</v>
      </c>
    </row>
    <row r="1294" spans="1:20" x14ac:dyDescent="0.25">
      <c r="A1294" s="4" t="s">
        <v>1483</v>
      </c>
      <c r="B1294" s="5">
        <v>45986</v>
      </c>
      <c r="C1294" s="15">
        <f>WEEKNUM(Orders[[#This Row],[OrderDate]])</f>
        <v>48</v>
      </c>
      <c r="D1294" s="15" t="str">
        <f>TEXT(Orders[[#This Row],[OrderDate]],"mmmm")</f>
        <v>November</v>
      </c>
      <c r="E1294" s="4" t="s">
        <v>246</v>
      </c>
      <c r="F1294" s="4" t="s">
        <v>25</v>
      </c>
      <c r="G1294" s="4">
        <v>7</v>
      </c>
      <c r="H1294" s="12">
        <v>13935.599999999999</v>
      </c>
      <c r="I1294" s="13">
        <v>11845.259999999998</v>
      </c>
      <c r="J1294" s="13">
        <f>Orders[[#This Row],[Quantity]]*Orders[[#This Row],[Selling Price]]</f>
        <v>97549.199999999983</v>
      </c>
      <c r="K1294" s="13">
        <f>Orders[[#This Row],[Quantity]]*Orders[[#This Row],[Cost Price]]</f>
        <v>82916.819999999992</v>
      </c>
      <c r="L1294" s="13">
        <f>Orders[[#This Row],[Revenue]]-Orders[[#This Row],[Expenses]]</f>
        <v>14632.37999999999</v>
      </c>
      <c r="M1294" t="s">
        <v>2194</v>
      </c>
      <c r="N1294" t="str">
        <f>_xlfn.XLOOKUP(Orders[[#This Row],[CustomerID]],Customers[CustomerID],Customers[CustomerName])</f>
        <v>Emeka Abubakar</v>
      </c>
      <c r="O1294" t="str">
        <f>_xlfn.XLOOKUP(Orders[[#This Row],[CustomerID]],Customers[CustomerID],Customers[City])</f>
        <v>Florida</v>
      </c>
      <c r="P1294" t="str">
        <f>_xlfn.XLOOKUP(Orders[[#This Row],[CustomerID]],Customers[CustomerID],Customers[Gender])</f>
        <v>Male</v>
      </c>
      <c r="Q1294">
        <f>_xlfn.XLOOKUP(Orders[[#This Row],[CustomerID]],Customers[CustomerID],Customers[CustomerAge])</f>
        <v>28</v>
      </c>
      <c r="R1294" t="str">
        <f>IF(Orders[[#This Row],[CustomerAge]]&gt;=35, "Older", "Young")</f>
        <v>Young</v>
      </c>
      <c r="S1294" t="str">
        <f>_xlfn.XLOOKUP(Orders[[#This Row],[ProductID]],Products[ProductID],Products[ProductName])</f>
        <v>Gold Rings</v>
      </c>
      <c r="T1294" t="str">
        <f>_xlfn.XLOOKUP(Orders[[#This Row],[ProductID]],Products[ProductID],Products[Category])</f>
        <v>Accessories</v>
      </c>
    </row>
    <row r="1295" spans="1:20" x14ac:dyDescent="0.25">
      <c r="A1295" s="4" t="s">
        <v>1484</v>
      </c>
      <c r="B1295" s="5">
        <v>46020</v>
      </c>
      <c r="C1295" s="15">
        <f>WEEKNUM(Orders[[#This Row],[OrderDate]])</f>
        <v>53</v>
      </c>
      <c r="D1295" s="15" t="str">
        <f>TEXT(Orders[[#This Row],[OrderDate]],"mmmm")</f>
        <v>December</v>
      </c>
      <c r="E1295" s="4" t="s">
        <v>481</v>
      </c>
      <c r="F1295" s="4" t="s">
        <v>23</v>
      </c>
      <c r="G1295" s="4">
        <v>7</v>
      </c>
      <c r="H1295" s="12">
        <v>10511.099999999999</v>
      </c>
      <c r="I1295" s="13">
        <v>8934.4349999999995</v>
      </c>
      <c r="J1295" s="13">
        <f>Orders[[#This Row],[Quantity]]*Orders[[#This Row],[Selling Price]]</f>
        <v>73577.699999999983</v>
      </c>
      <c r="K1295" s="13">
        <f>Orders[[#This Row],[Quantity]]*Orders[[#This Row],[Cost Price]]</f>
        <v>62541.044999999998</v>
      </c>
      <c r="L1295" s="13">
        <f>Orders[[#This Row],[Revenue]]-Orders[[#This Row],[Expenses]]</f>
        <v>11036.654999999984</v>
      </c>
      <c r="M1295" t="s">
        <v>2219</v>
      </c>
      <c r="N1295" t="str">
        <f>_xlfn.XLOOKUP(Orders[[#This Row],[CustomerID]],Customers[CustomerID],Customers[CustomerName])</f>
        <v>Abiola Bello</v>
      </c>
      <c r="O1295" t="str">
        <f>_xlfn.XLOOKUP(Orders[[#This Row],[CustomerID]],Customers[CustomerID],Customers[City])</f>
        <v>Illinois</v>
      </c>
      <c r="P1295" t="str">
        <f>_xlfn.XLOOKUP(Orders[[#This Row],[CustomerID]],Customers[CustomerID],Customers[Gender])</f>
        <v>Male</v>
      </c>
      <c r="Q1295">
        <f>_xlfn.XLOOKUP(Orders[[#This Row],[CustomerID]],Customers[CustomerID],Customers[CustomerAge])</f>
        <v>33</v>
      </c>
      <c r="R1295" t="str">
        <f>IF(Orders[[#This Row],[CustomerAge]]&gt;=35, "Older", "Young")</f>
        <v>Young</v>
      </c>
      <c r="S1295" t="str">
        <f>_xlfn.XLOOKUP(Orders[[#This Row],[ProductID]],Products[ProductID],Products[ProductName])</f>
        <v>Gym Gloves</v>
      </c>
      <c r="T1295" t="str">
        <f>_xlfn.XLOOKUP(Orders[[#This Row],[ProductID]],Products[ProductID],Products[Category])</f>
        <v>Gym</v>
      </c>
    </row>
    <row r="1296" spans="1:20" x14ac:dyDescent="0.25">
      <c r="A1296" s="4" t="s">
        <v>1485</v>
      </c>
      <c r="B1296" s="5">
        <v>45939</v>
      </c>
      <c r="C1296" s="15">
        <f>WEEKNUM(Orders[[#This Row],[OrderDate]])</f>
        <v>41</v>
      </c>
      <c r="D1296" s="15" t="str">
        <f>TEXT(Orders[[#This Row],[OrderDate]],"mmmm")</f>
        <v>October</v>
      </c>
      <c r="E1296" s="4" t="s">
        <v>272</v>
      </c>
      <c r="F1296" s="4" t="s">
        <v>189</v>
      </c>
      <c r="G1296" s="4">
        <v>9</v>
      </c>
      <c r="H1296" s="12">
        <v>13208.800000000001</v>
      </c>
      <c r="I1296" s="13">
        <v>11227.480000000001</v>
      </c>
      <c r="J1296" s="13">
        <f>Orders[[#This Row],[Quantity]]*Orders[[#This Row],[Selling Price]]</f>
        <v>118879.20000000001</v>
      </c>
      <c r="K1296" s="13">
        <f>Orders[[#This Row],[Quantity]]*Orders[[#This Row],[Cost Price]]</f>
        <v>101047.32</v>
      </c>
      <c r="L1296" s="13">
        <f>Orders[[#This Row],[Revenue]]-Orders[[#This Row],[Expenses]]</f>
        <v>17831.880000000005</v>
      </c>
      <c r="M1296" t="s">
        <v>2208</v>
      </c>
      <c r="N1296" t="str">
        <f>_xlfn.XLOOKUP(Orders[[#This Row],[CustomerID]],Customers[CustomerID],Customers[CustomerName])</f>
        <v>Blessing Bello</v>
      </c>
      <c r="O1296" t="str">
        <f>_xlfn.XLOOKUP(Orders[[#This Row],[CustomerID]],Customers[CustomerID],Customers[City])</f>
        <v>Florida</v>
      </c>
      <c r="P1296" t="str">
        <f>_xlfn.XLOOKUP(Orders[[#This Row],[CustomerID]],Customers[CustomerID],Customers[Gender])</f>
        <v>Female</v>
      </c>
      <c r="Q1296">
        <f>_xlfn.XLOOKUP(Orders[[#This Row],[CustomerID]],Customers[CustomerID],Customers[CustomerAge])</f>
        <v>38</v>
      </c>
      <c r="R1296" t="str">
        <f>IF(Orders[[#This Row],[CustomerAge]]&gt;=35, "Older", "Young")</f>
        <v>Older</v>
      </c>
      <c r="S1296" t="str">
        <f>_xlfn.XLOOKUP(Orders[[#This Row],[ProductID]],Products[ProductID],Products[ProductName])</f>
        <v>Scrabble</v>
      </c>
      <c r="T1296" t="str">
        <f>_xlfn.XLOOKUP(Orders[[#This Row],[ProductID]],Products[ProductID],Products[Category])</f>
        <v>Games</v>
      </c>
    </row>
    <row r="1297" spans="1:20" x14ac:dyDescent="0.25">
      <c r="A1297" s="4" t="s">
        <v>1486</v>
      </c>
      <c r="B1297" s="5">
        <v>46001</v>
      </c>
      <c r="C1297" s="15">
        <f>WEEKNUM(Orders[[#This Row],[OrderDate]])</f>
        <v>50</v>
      </c>
      <c r="D1297" s="15" t="str">
        <f>TEXT(Orders[[#This Row],[OrderDate]],"mmmm")</f>
        <v>December</v>
      </c>
      <c r="E1297" s="4" t="s">
        <v>524</v>
      </c>
      <c r="F1297" s="4" t="s">
        <v>20</v>
      </c>
      <c r="G1297" s="4">
        <v>7</v>
      </c>
      <c r="H1297" s="12">
        <v>2380.8000000000002</v>
      </c>
      <c r="I1297" s="13">
        <v>2023.6800000000003</v>
      </c>
      <c r="J1297" s="13">
        <f>Orders[[#This Row],[Quantity]]*Orders[[#This Row],[Selling Price]]</f>
        <v>16665.600000000002</v>
      </c>
      <c r="K1297" s="13">
        <f>Orders[[#This Row],[Quantity]]*Orders[[#This Row],[Cost Price]]</f>
        <v>14165.760000000002</v>
      </c>
      <c r="L1297" s="13">
        <f>Orders[[#This Row],[Revenue]]-Orders[[#This Row],[Expenses]]</f>
        <v>2499.84</v>
      </c>
      <c r="M1297" t="s">
        <v>2195</v>
      </c>
      <c r="N1297" t="str">
        <f>_xlfn.XLOOKUP(Orders[[#This Row],[CustomerID]],Customers[CustomerID],Customers[CustomerName])</f>
        <v>Chinedu Igwe</v>
      </c>
      <c r="O1297" t="str">
        <f>_xlfn.XLOOKUP(Orders[[#This Row],[CustomerID]],Customers[CustomerID],Customers[City])</f>
        <v>Florida</v>
      </c>
      <c r="P1297" t="str">
        <f>_xlfn.XLOOKUP(Orders[[#This Row],[CustomerID]],Customers[CustomerID],Customers[Gender])</f>
        <v>Male</v>
      </c>
      <c r="Q1297">
        <f>_xlfn.XLOOKUP(Orders[[#This Row],[CustomerID]],Customers[CustomerID],Customers[CustomerAge])</f>
        <v>21</v>
      </c>
      <c r="R1297" t="str">
        <f>IF(Orders[[#This Row],[CustomerAge]]&gt;=35, "Older", "Young")</f>
        <v>Young</v>
      </c>
      <c r="S1297" t="str">
        <f>_xlfn.XLOOKUP(Orders[[#This Row],[ProductID]],Products[ProductID],Products[ProductName])</f>
        <v>Gym Bag</v>
      </c>
      <c r="T1297" t="str">
        <f>_xlfn.XLOOKUP(Orders[[#This Row],[ProductID]],Products[ProductID],Products[Category])</f>
        <v>Gym</v>
      </c>
    </row>
    <row r="1298" spans="1:20" x14ac:dyDescent="0.25">
      <c r="A1298" s="4" t="s">
        <v>1487</v>
      </c>
      <c r="B1298" s="5">
        <v>45934</v>
      </c>
      <c r="C1298" s="15">
        <f>WEEKNUM(Orders[[#This Row],[OrderDate]])</f>
        <v>40</v>
      </c>
      <c r="D1298" s="15" t="str">
        <f>TEXT(Orders[[#This Row],[OrderDate]],"mmmm")</f>
        <v>October</v>
      </c>
      <c r="E1298" s="4" t="s">
        <v>671</v>
      </c>
      <c r="F1298" s="4" t="s">
        <v>28</v>
      </c>
      <c r="G1298" s="4">
        <v>5</v>
      </c>
      <c r="H1298" s="12">
        <v>16381.6</v>
      </c>
      <c r="I1298" s="13">
        <v>13924.36</v>
      </c>
      <c r="J1298" s="13">
        <f>Orders[[#This Row],[Quantity]]*Orders[[#This Row],[Selling Price]]</f>
        <v>81908</v>
      </c>
      <c r="K1298" s="13">
        <f>Orders[[#This Row],[Quantity]]*Orders[[#This Row],[Cost Price]]</f>
        <v>69621.8</v>
      </c>
      <c r="L1298" s="13">
        <f>Orders[[#This Row],[Revenue]]-Orders[[#This Row],[Expenses]]</f>
        <v>12286.199999999997</v>
      </c>
      <c r="M1298" t="s">
        <v>2203</v>
      </c>
      <c r="N1298" t="str">
        <f>_xlfn.XLOOKUP(Orders[[#This Row],[CustomerID]],Customers[CustomerID],Customers[CustomerName])</f>
        <v>Tunde Abubakar</v>
      </c>
      <c r="O1298" t="str">
        <f>_xlfn.XLOOKUP(Orders[[#This Row],[CustomerID]],Customers[CustomerID],Customers[City])</f>
        <v>Texas</v>
      </c>
      <c r="P1298" t="str">
        <f>_xlfn.XLOOKUP(Orders[[#This Row],[CustomerID]],Customers[CustomerID],Customers[Gender])</f>
        <v>Male</v>
      </c>
      <c r="Q1298">
        <f>_xlfn.XLOOKUP(Orders[[#This Row],[CustomerID]],Customers[CustomerID],Customers[CustomerAge])</f>
        <v>26</v>
      </c>
      <c r="R1298" t="str">
        <f>IF(Orders[[#This Row],[CustomerAge]]&gt;=35, "Older", "Young")</f>
        <v>Young</v>
      </c>
      <c r="S1298" t="str">
        <f>_xlfn.XLOOKUP(Orders[[#This Row],[ProductID]],Products[ProductID],Products[ProductName])</f>
        <v>Sneakers</v>
      </c>
      <c r="T1298" t="str">
        <f>_xlfn.XLOOKUP(Orders[[#This Row],[ProductID]],Products[ProductID],Products[Category])</f>
        <v>Sports</v>
      </c>
    </row>
    <row r="1299" spans="1:20" x14ac:dyDescent="0.25">
      <c r="A1299" s="4" t="s">
        <v>1488</v>
      </c>
      <c r="B1299" s="5">
        <v>45966</v>
      </c>
      <c r="C1299" s="15">
        <f>WEEKNUM(Orders[[#This Row],[OrderDate]])</f>
        <v>45</v>
      </c>
      <c r="D1299" s="15" t="str">
        <f>TEXT(Orders[[#This Row],[OrderDate]],"mmmm")</f>
        <v>November</v>
      </c>
      <c r="E1299" s="4" t="s">
        <v>107</v>
      </c>
      <c r="F1299" s="4" t="s">
        <v>28</v>
      </c>
      <c r="G1299" s="4">
        <v>3</v>
      </c>
      <c r="H1299" s="12">
        <v>14976.7</v>
      </c>
      <c r="I1299" s="13">
        <v>12730.195</v>
      </c>
      <c r="J1299" s="13">
        <f>Orders[[#This Row],[Quantity]]*Orders[[#This Row],[Selling Price]]</f>
        <v>44930.100000000006</v>
      </c>
      <c r="K1299" s="13">
        <f>Orders[[#This Row],[Quantity]]*Orders[[#This Row],[Cost Price]]</f>
        <v>38190.584999999999</v>
      </c>
      <c r="L1299" s="13">
        <f>Orders[[#This Row],[Revenue]]-Orders[[#This Row],[Expenses]]</f>
        <v>6739.5150000000067</v>
      </c>
      <c r="M1299" t="s">
        <v>2199</v>
      </c>
      <c r="N1299" t="str">
        <f>_xlfn.XLOOKUP(Orders[[#This Row],[CustomerID]],Customers[CustomerID],Customers[CustomerName])</f>
        <v>Blessing Eze</v>
      </c>
      <c r="O1299" t="str">
        <f>_xlfn.XLOOKUP(Orders[[#This Row],[CustomerID]],Customers[CustomerID],Customers[City])</f>
        <v>Texas</v>
      </c>
      <c r="P1299" t="str">
        <f>_xlfn.XLOOKUP(Orders[[#This Row],[CustomerID]],Customers[CustomerID],Customers[Gender])</f>
        <v>Female</v>
      </c>
      <c r="Q1299">
        <f>_xlfn.XLOOKUP(Orders[[#This Row],[CustomerID]],Customers[CustomerID],Customers[CustomerAge])</f>
        <v>44</v>
      </c>
      <c r="R1299" t="str">
        <f>IF(Orders[[#This Row],[CustomerAge]]&gt;=35, "Older", "Young")</f>
        <v>Older</v>
      </c>
      <c r="S1299" t="str">
        <f>_xlfn.XLOOKUP(Orders[[#This Row],[ProductID]],Products[ProductID],Products[ProductName])</f>
        <v>Sneakers</v>
      </c>
      <c r="T1299" t="str">
        <f>_xlfn.XLOOKUP(Orders[[#This Row],[ProductID]],Products[ProductID],Products[Category])</f>
        <v>Sports</v>
      </c>
    </row>
    <row r="1300" spans="1:20" x14ac:dyDescent="0.25">
      <c r="A1300" s="4" t="s">
        <v>1489</v>
      </c>
      <c r="B1300" s="5">
        <v>46003</v>
      </c>
      <c r="C1300" s="15">
        <f>WEEKNUM(Orders[[#This Row],[OrderDate]])</f>
        <v>50</v>
      </c>
      <c r="D1300" s="15" t="str">
        <f>TEXT(Orders[[#This Row],[OrderDate]],"mmmm")</f>
        <v>December</v>
      </c>
      <c r="E1300" s="4" t="s">
        <v>83</v>
      </c>
      <c r="F1300" s="4" t="s">
        <v>46</v>
      </c>
      <c r="G1300" s="4">
        <v>1</v>
      </c>
      <c r="H1300" s="12">
        <v>5041.1000000000004</v>
      </c>
      <c r="I1300" s="13">
        <v>4284.9350000000004</v>
      </c>
      <c r="J1300" s="13">
        <f>Orders[[#This Row],[Quantity]]*Orders[[#This Row],[Selling Price]]</f>
        <v>5041.1000000000004</v>
      </c>
      <c r="K1300" s="13">
        <f>Orders[[#This Row],[Quantity]]*Orders[[#This Row],[Cost Price]]</f>
        <v>4284.9350000000004</v>
      </c>
      <c r="L1300" s="13">
        <f>Orders[[#This Row],[Revenue]]-Orders[[#This Row],[Expenses]]</f>
        <v>756.16499999999996</v>
      </c>
      <c r="M1300" t="s">
        <v>2208</v>
      </c>
      <c r="N1300" t="str">
        <f>_xlfn.XLOOKUP(Orders[[#This Row],[CustomerID]],Customers[CustomerID],Customers[CustomerName])</f>
        <v>Funke Danladi</v>
      </c>
      <c r="O1300" t="str">
        <f>_xlfn.XLOOKUP(Orders[[#This Row],[CustomerID]],Customers[CustomerID],Customers[City])</f>
        <v>Florida</v>
      </c>
      <c r="P1300" t="str">
        <f>_xlfn.XLOOKUP(Orders[[#This Row],[CustomerID]],Customers[CustomerID],Customers[Gender])</f>
        <v>Female</v>
      </c>
      <c r="Q1300">
        <f>_xlfn.XLOOKUP(Orders[[#This Row],[CustomerID]],Customers[CustomerID],Customers[CustomerAge])</f>
        <v>26</v>
      </c>
      <c r="R1300" t="str">
        <f>IF(Orders[[#This Row],[CustomerAge]]&gt;=35, "Older", "Young")</f>
        <v>Young</v>
      </c>
      <c r="S1300" t="str">
        <f>_xlfn.XLOOKUP(Orders[[#This Row],[ProductID]],Products[ProductID],Products[ProductName])</f>
        <v>Turtle Neck</v>
      </c>
      <c r="T1300" t="str">
        <f>_xlfn.XLOOKUP(Orders[[#This Row],[ProductID]],Products[ProductID],Products[Category])</f>
        <v>Clothing</v>
      </c>
    </row>
    <row r="1301" spans="1:20" x14ac:dyDescent="0.25">
      <c r="A1301" s="4" t="s">
        <v>1490</v>
      </c>
      <c r="B1301" s="5">
        <v>45998</v>
      </c>
      <c r="C1301" s="15">
        <f>WEEKNUM(Orders[[#This Row],[OrderDate]])</f>
        <v>50</v>
      </c>
      <c r="D1301" s="15" t="str">
        <f>TEXT(Orders[[#This Row],[OrderDate]],"mmmm")</f>
        <v>December</v>
      </c>
      <c r="E1301" s="4" t="s">
        <v>291</v>
      </c>
      <c r="F1301" s="4" t="s">
        <v>60</v>
      </c>
      <c r="G1301" s="4">
        <v>2</v>
      </c>
      <c r="H1301" s="12">
        <v>13704.5</v>
      </c>
      <c r="I1301" s="13">
        <v>11648.825000000001</v>
      </c>
      <c r="J1301" s="13">
        <f>Orders[[#This Row],[Quantity]]*Orders[[#This Row],[Selling Price]]</f>
        <v>27409</v>
      </c>
      <c r="K1301" s="13">
        <f>Orders[[#This Row],[Quantity]]*Orders[[#This Row],[Cost Price]]</f>
        <v>23297.65</v>
      </c>
      <c r="L1301" s="13">
        <f>Orders[[#This Row],[Revenue]]-Orders[[#This Row],[Expenses]]</f>
        <v>4111.3499999999985</v>
      </c>
      <c r="M1301" t="s">
        <v>2199</v>
      </c>
      <c r="N1301" t="str">
        <f>_xlfn.XLOOKUP(Orders[[#This Row],[CustomerID]],Customers[CustomerID],Customers[CustomerName])</f>
        <v>Okon Igwe</v>
      </c>
      <c r="O1301" t="str">
        <f>_xlfn.XLOOKUP(Orders[[#This Row],[CustomerID]],Customers[CustomerID],Customers[City])</f>
        <v>Texas</v>
      </c>
      <c r="P1301" t="str">
        <f>_xlfn.XLOOKUP(Orders[[#This Row],[CustomerID]],Customers[CustomerID],Customers[Gender])</f>
        <v>Male</v>
      </c>
      <c r="Q1301">
        <f>_xlfn.XLOOKUP(Orders[[#This Row],[CustomerID]],Customers[CustomerID],Customers[CustomerAge])</f>
        <v>33</v>
      </c>
      <c r="R1301" t="str">
        <f>IF(Orders[[#This Row],[CustomerAge]]&gt;=35, "Older", "Young")</f>
        <v>Young</v>
      </c>
      <c r="S1301" t="str">
        <f>_xlfn.XLOOKUP(Orders[[#This Row],[ProductID]],Products[ProductID],Products[ProductName])</f>
        <v>Silver Rings</v>
      </c>
      <c r="T1301" t="str">
        <f>_xlfn.XLOOKUP(Orders[[#This Row],[ProductID]],Products[ProductID],Products[Category])</f>
        <v>Accessories</v>
      </c>
    </row>
    <row r="1302" spans="1:20" x14ac:dyDescent="0.25">
      <c r="A1302" s="4" t="s">
        <v>1491</v>
      </c>
      <c r="B1302" s="5">
        <v>45997</v>
      </c>
      <c r="C1302" s="15">
        <f>WEEKNUM(Orders[[#This Row],[OrderDate]])</f>
        <v>49</v>
      </c>
      <c r="D1302" s="15" t="str">
        <f>TEXT(Orders[[#This Row],[OrderDate]],"mmmm")</f>
        <v>December</v>
      </c>
      <c r="E1302" s="4" t="s">
        <v>305</v>
      </c>
      <c r="F1302" s="4" t="s">
        <v>15</v>
      </c>
      <c r="G1302" s="4">
        <v>7</v>
      </c>
      <c r="H1302" s="12">
        <v>13037</v>
      </c>
      <c r="I1302" s="13">
        <v>11081.45</v>
      </c>
      <c r="J1302" s="13">
        <f>Orders[[#This Row],[Quantity]]*Orders[[#This Row],[Selling Price]]</f>
        <v>91259</v>
      </c>
      <c r="K1302" s="13">
        <f>Orders[[#This Row],[Quantity]]*Orders[[#This Row],[Cost Price]]</f>
        <v>77570.150000000009</v>
      </c>
      <c r="L1302" s="13">
        <f>Orders[[#This Row],[Revenue]]-Orders[[#This Row],[Expenses]]</f>
        <v>13688.849999999991</v>
      </c>
      <c r="M1302" t="s">
        <v>2202</v>
      </c>
      <c r="N1302" t="str">
        <f>_xlfn.XLOOKUP(Orders[[#This Row],[CustomerID]],Customers[CustomerID],Customers[CustomerName])</f>
        <v>Tunde Danladi</v>
      </c>
      <c r="O1302" t="str">
        <f>_xlfn.XLOOKUP(Orders[[#This Row],[CustomerID]],Customers[CustomerID],Customers[City])</f>
        <v>California</v>
      </c>
      <c r="P1302" t="str">
        <f>_xlfn.XLOOKUP(Orders[[#This Row],[CustomerID]],Customers[CustomerID],Customers[Gender])</f>
        <v>Male</v>
      </c>
      <c r="Q1302">
        <f>_xlfn.XLOOKUP(Orders[[#This Row],[CustomerID]],Customers[CustomerID],Customers[CustomerAge])</f>
        <v>40</v>
      </c>
      <c r="R1302" t="str">
        <f>IF(Orders[[#This Row],[CustomerAge]]&gt;=35, "Older", "Young")</f>
        <v>Older</v>
      </c>
      <c r="S1302" t="str">
        <f>_xlfn.XLOOKUP(Orders[[#This Row],[ProductID]],Products[ProductID],Products[ProductName])</f>
        <v>Monopoly</v>
      </c>
      <c r="T1302" t="str">
        <f>_xlfn.XLOOKUP(Orders[[#This Row],[ProductID]],Products[ProductID],Products[Category])</f>
        <v>Games</v>
      </c>
    </row>
    <row r="1303" spans="1:20" x14ac:dyDescent="0.25">
      <c r="A1303" s="4" t="s">
        <v>1492</v>
      </c>
      <c r="B1303" s="5">
        <v>46019</v>
      </c>
      <c r="C1303" s="15">
        <f>WEEKNUM(Orders[[#This Row],[OrderDate]])</f>
        <v>53</v>
      </c>
      <c r="D1303" s="15" t="str">
        <f>TEXT(Orders[[#This Row],[OrderDate]],"mmmm")</f>
        <v>December</v>
      </c>
      <c r="E1303" s="4" t="s">
        <v>275</v>
      </c>
      <c r="F1303" s="4" t="s">
        <v>34</v>
      </c>
      <c r="G1303" s="4">
        <v>8</v>
      </c>
      <c r="H1303" s="12">
        <v>7994.9</v>
      </c>
      <c r="I1303" s="13">
        <v>6795.665</v>
      </c>
      <c r="J1303" s="13">
        <f>Orders[[#This Row],[Quantity]]*Orders[[#This Row],[Selling Price]]</f>
        <v>63959.199999999997</v>
      </c>
      <c r="K1303" s="13">
        <f>Orders[[#This Row],[Quantity]]*Orders[[#This Row],[Cost Price]]</f>
        <v>54365.32</v>
      </c>
      <c r="L1303" s="13">
        <f>Orders[[#This Row],[Revenue]]-Orders[[#This Row],[Expenses]]</f>
        <v>9593.8799999999974</v>
      </c>
      <c r="M1303" t="s">
        <v>2206</v>
      </c>
      <c r="N1303" t="str">
        <f>_xlfn.XLOOKUP(Orders[[#This Row],[CustomerID]],Customers[CustomerID],Customers[CustomerName])</f>
        <v>Ngozi Danladi</v>
      </c>
      <c r="O1303" t="str">
        <f>_xlfn.XLOOKUP(Orders[[#This Row],[CustomerID]],Customers[CustomerID],Customers[City])</f>
        <v>Texas</v>
      </c>
      <c r="P1303" t="str">
        <f>_xlfn.XLOOKUP(Orders[[#This Row],[CustomerID]],Customers[CustomerID],Customers[Gender])</f>
        <v>Female</v>
      </c>
      <c r="Q1303">
        <f>_xlfn.XLOOKUP(Orders[[#This Row],[CustomerID]],Customers[CustomerID],Customers[CustomerAge])</f>
        <v>25</v>
      </c>
      <c r="R1303" t="str">
        <f>IF(Orders[[#This Row],[CustomerAge]]&gt;=35, "Older", "Young")</f>
        <v>Young</v>
      </c>
      <c r="S1303" t="str">
        <f>_xlfn.XLOOKUP(Orders[[#This Row],[ProductID]],Products[ProductID],Products[ProductName])</f>
        <v>Gold Bracelets</v>
      </c>
      <c r="T1303" t="str">
        <f>_xlfn.XLOOKUP(Orders[[#This Row],[ProductID]],Products[ProductID],Products[Category])</f>
        <v>Accessories</v>
      </c>
    </row>
    <row r="1304" spans="1:20" x14ac:dyDescent="0.25">
      <c r="A1304" s="4" t="s">
        <v>1493</v>
      </c>
      <c r="B1304" s="5">
        <v>46017</v>
      </c>
      <c r="C1304" s="15">
        <f>WEEKNUM(Orders[[#This Row],[OrderDate]])</f>
        <v>52</v>
      </c>
      <c r="D1304" s="15" t="str">
        <f>TEXT(Orders[[#This Row],[OrderDate]],"mmmm")</f>
        <v>December</v>
      </c>
      <c r="E1304" s="4" t="s">
        <v>287</v>
      </c>
      <c r="F1304" s="4" t="s">
        <v>111</v>
      </c>
      <c r="G1304" s="4">
        <v>2</v>
      </c>
      <c r="H1304" s="12">
        <v>19086.8</v>
      </c>
      <c r="I1304" s="13">
        <v>16223.779999999999</v>
      </c>
      <c r="J1304" s="13">
        <f>Orders[[#This Row],[Quantity]]*Orders[[#This Row],[Selling Price]]</f>
        <v>38173.599999999999</v>
      </c>
      <c r="K1304" s="13">
        <f>Orders[[#This Row],[Quantity]]*Orders[[#This Row],[Cost Price]]</f>
        <v>32447.559999999998</v>
      </c>
      <c r="L1304" s="13">
        <f>Orders[[#This Row],[Revenue]]-Orders[[#This Row],[Expenses]]</f>
        <v>5726.0400000000009</v>
      </c>
      <c r="M1304" t="s">
        <v>2216</v>
      </c>
      <c r="N1304" t="str">
        <f>_xlfn.XLOOKUP(Orders[[#This Row],[CustomerID]],Customers[CustomerID],Customers[CustomerName])</f>
        <v>Okon Obi</v>
      </c>
      <c r="O1304" t="str">
        <f>_xlfn.XLOOKUP(Orders[[#This Row],[CustomerID]],Customers[CustomerID],Customers[City])</f>
        <v>Texas</v>
      </c>
      <c r="P1304" t="str">
        <f>_xlfn.XLOOKUP(Orders[[#This Row],[CustomerID]],Customers[CustomerID],Customers[Gender])</f>
        <v>Male</v>
      </c>
      <c r="Q1304">
        <f>_xlfn.XLOOKUP(Orders[[#This Row],[CustomerID]],Customers[CustomerID],Customers[CustomerAge])</f>
        <v>55</v>
      </c>
      <c r="R1304" t="str">
        <f>IF(Orders[[#This Row],[CustomerAge]]&gt;=35, "Older", "Young")</f>
        <v>Older</v>
      </c>
      <c r="S1304" t="str">
        <f>_xlfn.XLOOKUP(Orders[[#This Row],[ProductID]],Products[ProductID],Products[ProductName])</f>
        <v>Refrigerator</v>
      </c>
      <c r="T1304" t="str">
        <f>_xlfn.XLOOKUP(Orders[[#This Row],[ProductID]],Products[ProductID],Products[Category])</f>
        <v>Electronics</v>
      </c>
    </row>
    <row r="1305" spans="1:20" x14ac:dyDescent="0.25">
      <c r="A1305" s="4" t="s">
        <v>1494</v>
      </c>
      <c r="B1305" s="5">
        <v>45999</v>
      </c>
      <c r="C1305" s="15">
        <f>WEEKNUM(Orders[[#This Row],[OrderDate]])</f>
        <v>50</v>
      </c>
      <c r="D1305" s="15" t="str">
        <f>TEXT(Orders[[#This Row],[OrderDate]],"mmmm")</f>
        <v>December</v>
      </c>
      <c r="E1305" s="4" t="s">
        <v>43</v>
      </c>
      <c r="F1305" s="4" t="s">
        <v>151</v>
      </c>
      <c r="G1305" s="4">
        <v>3</v>
      </c>
      <c r="H1305" s="12">
        <v>6254.6</v>
      </c>
      <c r="I1305" s="13">
        <v>5316.41</v>
      </c>
      <c r="J1305" s="13">
        <f>Orders[[#This Row],[Quantity]]*Orders[[#This Row],[Selling Price]]</f>
        <v>18763.800000000003</v>
      </c>
      <c r="K1305" s="13">
        <f>Orders[[#This Row],[Quantity]]*Orders[[#This Row],[Cost Price]]</f>
        <v>15949.23</v>
      </c>
      <c r="L1305" s="13">
        <f>Orders[[#This Row],[Revenue]]-Orders[[#This Row],[Expenses]]</f>
        <v>2814.5700000000033</v>
      </c>
      <c r="M1305" t="s">
        <v>2210</v>
      </c>
      <c r="N1305" t="str">
        <f>_xlfn.XLOOKUP(Orders[[#This Row],[CustomerID]],Customers[CustomerID],Customers[CustomerName])</f>
        <v>Mustafa Danladi</v>
      </c>
      <c r="O1305" t="str">
        <f>_xlfn.XLOOKUP(Orders[[#This Row],[CustomerID]],Customers[CustomerID],Customers[City])</f>
        <v>Georgia</v>
      </c>
      <c r="P1305" t="str">
        <f>_xlfn.XLOOKUP(Orders[[#This Row],[CustomerID]],Customers[CustomerID],Customers[Gender])</f>
        <v>Male</v>
      </c>
      <c r="Q1305">
        <f>_xlfn.XLOOKUP(Orders[[#This Row],[CustomerID]],Customers[CustomerID],Customers[CustomerAge])</f>
        <v>49</v>
      </c>
      <c r="R1305" t="str">
        <f>IF(Orders[[#This Row],[CustomerAge]]&gt;=35, "Older", "Young")</f>
        <v>Older</v>
      </c>
      <c r="S1305" t="str">
        <f>_xlfn.XLOOKUP(Orders[[#This Row],[ProductID]],Products[ProductID],Products[ProductName])</f>
        <v>Checkers</v>
      </c>
      <c r="T1305" t="str">
        <f>_xlfn.XLOOKUP(Orders[[#This Row],[ProductID]],Products[ProductID],Products[Category])</f>
        <v>Games</v>
      </c>
    </row>
    <row r="1306" spans="1:20" x14ac:dyDescent="0.25">
      <c r="A1306" s="4" t="s">
        <v>1495</v>
      </c>
      <c r="B1306" s="5">
        <v>46002</v>
      </c>
      <c r="C1306" s="15">
        <f>WEEKNUM(Orders[[#This Row],[OrderDate]])</f>
        <v>50</v>
      </c>
      <c r="D1306" s="15" t="str">
        <f>TEXT(Orders[[#This Row],[OrderDate]],"mmmm")</f>
        <v>December</v>
      </c>
      <c r="E1306" s="4" t="s">
        <v>182</v>
      </c>
      <c r="F1306" s="4" t="s">
        <v>20</v>
      </c>
      <c r="G1306" s="4">
        <v>5</v>
      </c>
      <c r="H1306" s="12">
        <v>10222.5</v>
      </c>
      <c r="I1306" s="13">
        <v>8689.125</v>
      </c>
      <c r="J1306" s="13">
        <f>Orders[[#This Row],[Quantity]]*Orders[[#This Row],[Selling Price]]</f>
        <v>51112.5</v>
      </c>
      <c r="K1306" s="13">
        <f>Orders[[#This Row],[Quantity]]*Orders[[#This Row],[Cost Price]]</f>
        <v>43445.625</v>
      </c>
      <c r="L1306" s="13">
        <f>Orders[[#This Row],[Revenue]]-Orders[[#This Row],[Expenses]]</f>
        <v>7666.875</v>
      </c>
      <c r="M1306" t="s">
        <v>2193</v>
      </c>
      <c r="N1306" t="str">
        <f>_xlfn.XLOOKUP(Orders[[#This Row],[CustomerID]],Customers[CustomerID],Customers[CustomerName])</f>
        <v>Abiola Okonkwo</v>
      </c>
      <c r="O1306" t="str">
        <f>_xlfn.XLOOKUP(Orders[[#This Row],[CustomerID]],Customers[CustomerID],Customers[City])</f>
        <v>Georgia</v>
      </c>
      <c r="P1306" t="str">
        <f>_xlfn.XLOOKUP(Orders[[#This Row],[CustomerID]],Customers[CustomerID],Customers[Gender])</f>
        <v>Male</v>
      </c>
      <c r="Q1306">
        <f>_xlfn.XLOOKUP(Orders[[#This Row],[CustomerID]],Customers[CustomerID],Customers[CustomerAge])</f>
        <v>39</v>
      </c>
      <c r="R1306" t="str">
        <f>IF(Orders[[#This Row],[CustomerAge]]&gt;=35, "Older", "Young")</f>
        <v>Older</v>
      </c>
      <c r="S1306" t="str">
        <f>_xlfn.XLOOKUP(Orders[[#This Row],[ProductID]],Products[ProductID],Products[ProductName])</f>
        <v>Gym Bag</v>
      </c>
      <c r="T1306" t="str">
        <f>_xlfn.XLOOKUP(Orders[[#This Row],[ProductID]],Products[ProductID],Products[Category])</f>
        <v>Gym</v>
      </c>
    </row>
    <row r="1307" spans="1:20" x14ac:dyDescent="0.25">
      <c r="A1307" s="4" t="s">
        <v>1496</v>
      </c>
      <c r="B1307" s="5">
        <v>46007</v>
      </c>
      <c r="C1307" s="15">
        <f>WEEKNUM(Orders[[#This Row],[OrderDate]])</f>
        <v>51</v>
      </c>
      <c r="D1307" s="15" t="str">
        <f>TEXT(Orders[[#This Row],[OrderDate]],"mmmm")</f>
        <v>December</v>
      </c>
      <c r="E1307" s="4" t="s">
        <v>142</v>
      </c>
      <c r="F1307" s="4" t="s">
        <v>70</v>
      </c>
      <c r="G1307" s="4">
        <v>5</v>
      </c>
      <c r="H1307" s="12">
        <v>11055.699999999999</v>
      </c>
      <c r="I1307" s="13">
        <v>9397.3449999999993</v>
      </c>
      <c r="J1307" s="13">
        <f>Orders[[#This Row],[Quantity]]*Orders[[#This Row],[Selling Price]]</f>
        <v>55278.499999999993</v>
      </c>
      <c r="K1307" s="13">
        <f>Orders[[#This Row],[Quantity]]*Orders[[#This Row],[Cost Price]]</f>
        <v>46986.724999999999</v>
      </c>
      <c r="L1307" s="13">
        <f>Orders[[#This Row],[Revenue]]-Orders[[#This Row],[Expenses]]</f>
        <v>8291.7749999999942</v>
      </c>
      <c r="M1307" t="s">
        <v>2200</v>
      </c>
      <c r="N1307" t="str">
        <f>_xlfn.XLOOKUP(Orders[[#This Row],[CustomerID]],Customers[CustomerID],Customers[CustomerName])</f>
        <v>Obi Adeyemi</v>
      </c>
      <c r="O1307" t="str">
        <f>_xlfn.XLOOKUP(Orders[[#This Row],[CustomerID]],Customers[CustomerID],Customers[City])</f>
        <v>Florida</v>
      </c>
      <c r="P1307" t="str">
        <f>_xlfn.XLOOKUP(Orders[[#This Row],[CustomerID]],Customers[CustomerID],Customers[Gender])</f>
        <v>Male</v>
      </c>
      <c r="Q1307">
        <f>_xlfn.XLOOKUP(Orders[[#This Row],[CustomerID]],Customers[CustomerID],Customers[CustomerAge])</f>
        <v>31</v>
      </c>
      <c r="R1307" t="str">
        <f>IF(Orders[[#This Row],[CustomerAge]]&gt;=35, "Older", "Young")</f>
        <v>Young</v>
      </c>
      <c r="S1307" t="str">
        <f>_xlfn.XLOOKUP(Orders[[#This Row],[ProductID]],Products[ProductID],Products[ProductName])</f>
        <v>Yoga Mat</v>
      </c>
      <c r="T1307" t="str">
        <f>_xlfn.XLOOKUP(Orders[[#This Row],[ProductID]],Products[ProductID],Products[Category])</f>
        <v>Gym</v>
      </c>
    </row>
    <row r="1308" spans="1:20" x14ac:dyDescent="0.25">
      <c r="A1308" s="4" t="s">
        <v>1497</v>
      </c>
      <c r="B1308" s="5">
        <v>45952</v>
      </c>
      <c r="C1308" s="15">
        <f>WEEKNUM(Orders[[#This Row],[OrderDate]])</f>
        <v>43</v>
      </c>
      <c r="D1308" s="15" t="str">
        <f>TEXT(Orders[[#This Row],[OrderDate]],"mmmm")</f>
        <v>October</v>
      </c>
      <c r="E1308" s="4" t="s">
        <v>87</v>
      </c>
      <c r="F1308" s="4" t="s">
        <v>63</v>
      </c>
      <c r="G1308" s="4">
        <v>3</v>
      </c>
      <c r="H1308" s="12">
        <v>4556.2</v>
      </c>
      <c r="I1308" s="13">
        <v>3872.77</v>
      </c>
      <c r="J1308" s="13">
        <f>Orders[[#This Row],[Quantity]]*Orders[[#This Row],[Selling Price]]</f>
        <v>13668.599999999999</v>
      </c>
      <c r="K1308" s="13">
        <f>Orders[[#This Row],[Quantity]]*Orders[[#This Row],[Cost Price]]</f>
        <v>11618.31</v>
      </c>
      <c r="L1308" s="13">
        <f>Orders[[#This Row],[Revenue]]-Orders[[#This Row],[Expenses]]</f>
        <v>2050.2899999999991</v>
      </c>
      <c r="M1308" t="s">
        <v>2199</v>
      </c>
      <c r="N1308" t="str">
        <f>_xlfn.XLOOKUP(Orders[[#This Row],[CustomerID]],Customers[CustomerID],Customers[CustomerName])</f>
        <v>Efe Igwe</v>
      </c>
      <c r="O1308" t="str">
        <f>_xlfn.XLOOKUP(Orders[[#This Row],[CustomerID]],Customers[CustomerID],Customers[City])</f>
        <v>Illinois</v>
      </c>
      <c r="P1308" t="str">
        <f>_xlfn.XLOOKUP(Orders[[#This Row],[CustomerID]],Customers[CustomerID],Customers[Gender])</f>
        <v>Female</v>
      </c>
      <c r="Q1308">
        <f>_xlfn.XLOOKUP(Orders[[#This Row],[CustomerID]],Customers[CustomerID],Customers[CustomerAge])</f>
        <v>34</v>
      </c>
      <c r="R1308" t="str">
        <f>IF(Orders[[#This Row],[CustomerAge]]&gt;=35, "Older", "Young")</f>
        <v>Young</v>
      </c>
      <c r="S1308" t="str">
        <f>_xlfn.XLOOKUP(Orders[[#This Row],[ProductID]],Products[ProductID],Products[ProductName])</f>
        <v>Tennis Bat</v>
      </c>
      <c r="T1308" t="str">
        <f>_xlfn.XLOOKUP(Orders[[#This Row],[ProductID]],Products[ProductID],Products[Category])</f>
        <v>Sports</v>
      </c>
    </row>
    <row r="1309" spans="1:20" x14ac:dyDescent="0.25">
      <c r="A1309" s="4" t="s">
        <v>1498</v>
      </c>
      <c r="B1309" s="5">
        <v>46007</v>
      </c>
      <c r="C1309" s="15">
        <f>WEEKNUM(Orders[[#This Row],[OrderDate]])</f>
        <v>51</v>
      </c>
      <c r="D1309" s="15" t="str">
        <f>TEXT(Orders[[#This Row],[OrderDate]],"mmmm")</f>
        <v>December</v>
      </c>
      <c r="E1309" s="4" t="s">
        <v>62</v>
      </c>
      <c r="F1309" s="4" t="s">
        <v>63</v>
      </c>
      <c r="G1309" s="4">
        <v>1</v>
      </c>
      <c r="H1309" s="12">
        <v>750.69999999999993</v>
      </c>
      <c r="I1309" s="13">
        <v>638.09499999999991</v>
      </c>
      <c r="J1309" s="13">
        <f>Orders[[#This Row],[Quantity]]*Orders[[#This Row],[Selling Price]]</f>
        <v>750.69999999999993</v>
      </c>
      <c r="K1309" s="13">
        <f>Orders[[#This Row],[Quantity]]*Orders[[#This Row],[Cost Price]]</f>
        <v>638.09499999999991</v>
      </c>
      <c r="L1309" s="13">
        <f>Orders[[#This Row],[Revenue]]-Orders[[#This Row],[Expenses]]</f>
        <v>112.60500000000002</v>
      </c>
      <c r="M1309" t="s">
        <v>2210</v>
      </c>
      <c r="N1309" t="str">
        <f>_xlfn.XLOOKUP(Orders[[#This Row],[CustomerID]],Customers[CustomerID],Customers[CustomerName])</f>
        <v>Ronke Okonkwo</v>
      </c>
      <c r="O1309" t="str">
        <f>_xlfn.XLOOKUP(Orders[[#This Row],[CustomerID]],Customers[CustomerID],Customers[City])</f>
        <v>Texas</v>
      </c>
      <c r="P1309" t="str">
        <f>_xlfn.XLOOKUP(Orders[[#This Row],[CustomerID]],Customers[CustomerID],Customers[Gender])</f>
        <v>Female</v>
      </c>
      <c r="Q1309">
        <f>_xlfn.XLOOKUP(Orders[[#This Row],[CustomerID]],Customers[CustomerID],Customers[CustomerAge])</f>
        <v>36</v>
      </c>
      <c r="R1309" t="str">
        <f>IF(Orders[[#This Row],[CustomerAge]]&gt;=35, "Older", "Young")</f>
        <v>Older</v>
      </c>
      <c r="S1309" t="str">
        <f>_xlfn.XLOOKUP(Orders[[#This Row],[ProductID]],Products[ProductID],Products[ProductName])</f>
        <v>Tennis Bat</v>
      </c>
      <c r="T1309" t="str">
        <f>_xlfn.XLOOKUP(Orders[[#This Row],[ProductID]],Products[ProductID],Products[Category])</f>
        <v>Sports</v>
      </c>
    </row>
    <row r="1310" spans="1:20" x14ac:dyDescent="0.25">
      <c r="A1310" s="4" t="s">
        <v>1499</v>
      </c>
      <c r="B1310" s="5">
        <v>45932</v>
      </c>
      <c r="C1310" s="15">
        <f>WEEKNUM(Orders[[#This Row],[OrderDate]])</f>
        <v>40</v>
      </c>
      <c r="D1310" s="15" t="str">
        <f>TEXT(Orders[[#This Row],[OrderDate]],"mmmm")</f>
        <v>October</v>
      </c>
      <c r="E1310" s="4" t="s">
        <v>234</v>
      </c>
      <c r="F1310" s="4" t="s">
        <v>57</v>
      </c>
      <c r="G1310" s="4">
        <v>6</v>
      </c>
      <c r="H1310" s="12">
        <v>5304.7000000000007</v>
      </c>
      <c r="I1310" s="13">
        <v>4508.9950000000008</v>
      </c>
      <c r="J1310" s="13">
        <f>Orders[[#This Row],[Quantity]]*Orders[[#This Row],[Selling Price]]</f>
        <v>31828.200000000004</v>
      </c>
      <c r="K1310" s="13">
        <f>Orders[[#This Row],[Quantity]]*Orders[[#This Row],[Cost Price]]</f>
        <v>27053.970000000005</v>
      </c>
      <c r="L1310" s="13">
        <f>Orders[[#This Row],[Revenue]]-Orders[[#This Row],[Expenses]]</f>
        <v>4774.2299999999996</v>
      </c>
      <c r="M1310" t="s">
        <v>2192</v>
      </c>
      <c r="N1310" t="str">
        <f>_xlfn.XLOOKUP(Orders[[#This Row],[CustomerID]],Customers[CustomerID],Customers[CustomerName])</f>
        <v>Adanma Ojo</v>
      </c>
      <c r="O1310" t="str">
        <f>_xlfn.XLOOKUP(Orders[[#This Row],[CustomerID]],Customers[CustomerID],Customers[City])</f>
        <v>Texas</v>
      </c>
      <c r="P1310" t="str">
        <f>_xlfn.XLOOKUP(Orders[[#This Row],[CustomerID]],Customers[CustomerID],Customers[Gender])</f>
        <v>Female</v>
      </c>
      <c r="Q1310">
        <f>_xlfn.XLOOKUP(Orders[[#This Row],[CustomerID]],Customers[CustomerID],Customers[CustomerAge])</f>
        <v>18</v>
      </c>
      <c r="R1310" t="str">
        <f>IF(Orders[[#This Row],[CustomerAge]]&gt;=35, "Older", "Young")</f>
        <v>Young</v>
      </c>
      <c r="S1310" t="str">
        <f>_xlfn.XLOOKUP(Orders[[#This Row],[ProductID]],Products[ProductID],Products[ProductName])</f>
        <v>Badminton Racket</v>
      </c>
      <c r="T1310" t="str">
        <f>_xlfn.XLOOKUP(Orders[[#This Row],[ProductID]],Products[ProductID],Products[Category])</f>
        <v>Sports</v>
      </c>
    </row>
    <row r="1311" spans="1:20" x14ac:dyDescent="0.25">
      <c r="A1311" s="4" t="s">
        <v>1500</v>
      </c>
      <c r="B1311" s="5">
        <v>45971</v>
      </c>
      <c r="C1311" s="15">
        <f>WEEKNUM(Orders[[#This Row],[OrderDate]])</f>
        <v>46</v>
      </c>
      <c r="D1311" s="15" t="str">
        <f>TEXT(Orders[[#This Row],[OrderDate]],"mmmm")</f>
        <v>November</v>
      </c>
      <c r="E1311" s="4" t="s">
        <v>221</v>
      </c>
      <c r="F1311" s="4" t="s">
        <v>34</v>
      </c>
      <c r="G1311" s="4">
        <v>4</v>
      </c>
      <c r="H1311" s="12">
        <v>1736.6999999999998</v>
      </c>
      <c r="I1311" s="13">
        <v>1476.1949999999999</v>
      </c>
      <c r="J1311" s="13">
        <f>Orders[[#This Row],[Quantity]]*Orders[[#This Row],[Selling Price]]</f>
        <v>6946.7999999999993</v>
      </c>
      <c r="K1311" s="13">
        <f>Orders[[#This Row],[Quantity]]*Orders[[#This Row],[Cost Price]]</f>
        <v>5904.78</v>
      </c>
      <c r="L1311" s="13">
        <f>Orders[[#This Row],[Revenue]]-Orders[[#This Row],[Expenses]]</f>
        <v>1042.0199999999995</v>
      </c>
      <c r="M1311" t="s">
        <v>2193</v>
      </c>
      <c r="N1311" t="str">
        <f>_xlfn.XLOOKUP(Orders[[#This Row],[CustomerID]],Customers[CustomerID],Customers[CustomerName])</f>
        <v>Obi Bello</v>
      </c>
      <c r="O1311" t="str">
        <f>_xlfn.XLOOKUP(Orders[[#This Row],[CustomerID]],Customers[CustomerID],Customers[City])</f>
        <v>Texas</v>
      </c>
      <c r="P1311" t="str">
        <f>_xlfn.XLOOKUP(Orders[[#This Row],[CustomerID]],Customers[CustomerID],Customers[Gender])</f>
        <v>Male</v>
      </c>
      <c r="Q1311">
        <f>_xlfn.XLOOKUP(Orders[[#This Row],[CustomerID]],Customers[CustomerID],Customers[CustomerAge])</f>
        <v>18</v>
      </c>
      <c r="R1311" t="str">
        <f>IF(Orders[[#This Row],[CustomerAge]]&gt;=35, "Older", "Young")</f>
        <v>Young</v>
      </c>
      <c r="S1311" t="str">
        <f>_xlfn.XLOOKUP(Orders[[#This Row],[ProductID]],Products[ProductID],Products[ProductName])</f>
        <v>Gold Bracelets</v>
      </c>
      <c r="T1311" t="str">
        <f>_xlfn.XLOOKUP(Orders[[#This Row],[ProductID]],Products[ProductID],Products[Category])</f>
        <v>Accessories</v>
      </c>
    </row>
    <row r="1312" spans="1:20" x14ac:dyDescent="0.25">
      <c r="A1312" s="4" t="s">
        <v>1501</v>
      </c>
      <c r="B1312" s="5">
        <v>46006</v>
      </c>
      <c r="C1312" s="15">
        <f>WEEKNUM(Orders[[#This Row],[OrderDate]])</f>
        <v>51</v>
      </c>
      <c r="D1312" s="15" t="str">
        <f>TEXT(Orders[[#This Row],[OrderDate]],"mmmm")</f>
        <v>December</v>
      </c>
      <c r="E1312" s="4" t="s">
        <v>83</v>
      </c>
      <c r="F1312" s="4" t="s">
        <v>111</v>
      </c>
      <c r="G1312" s="4">
        <v>8</v>
      </c>
      <c r="H1312" s="12">
        <v>10706.199999999999</v>
      </c>
      <c r="I1312" s="13">
        <v>9100.2699999999986</v>
      </c>
      <c r="J1312" s="13">
        <f>Orders[[#This Row],[Quantity]]*Orders[[#This Row],[Selling Price]]</f>
        <v>85649.599999999991</v>
      </c>
      <c r="K1312" s="13">
        <f>Orders[[#This Row],[Quantity]]*Orders[[#This Row],[Cost Price]]</f>
        <v>72802.159999999989</v>
      </c>
      <c r="L1312" s="13">
        <f>Orders[[#This Row],[Revenue]]-Orders[[#This Row],[Expenses]]</f>
        <v>12847.440000000002</v>
      </c>
      <c r="M1312" t="s">
        <v>2214</v>
      </c>
      <c r="N1312" t="str">
        <f>_xlfn.XLOOKUP(Orders[[#This Row],[CustomerID]],Customers[CustomerID],Customers[CustomerName])</f>
        <v>Funke Danladi</v>
      </c>
      <c r="O1312" t="str">
        <f>_xlfn.XLOOKUP(Orders[[#This Row],[CustomerID]],Customers[CustomerID],Customers[City])</f>
        <v>Florida</v>
      </c>
      <c r="P1312" t="str">
        <f>_xlfn.XLOOKUP(Orders[[#This Row],[CustomerID]],Customers[CustomerID],Customers[Gender])</f>
        <v>Female</v>
      </c>
      <c r="Q1312">
        <f>_xlfn.XLOOKUP(Orders[[#This Row],[CustomerID]],Customers[CustomerID],Customers[CustomerAge])</f>
        <v>26</v>
      </c>
      <c r="R1312" t="str">
        <f>IF(Orders[[#This Row],[CustomerAge]]&gt;=35, "Older", "Young")</f>
        <v>Young</v>
      </c>
      <c r="S1312" t="str">
        <f>_xlfn.XLOOKUP(Orders[[#This Row],[ProductID]],Products[ProductID],Products[ProductName])</f>
        <v>Refrigerator</v>
      </c>
      <c r="T1312" t="str">
        <f>_xlfn.XLOOKUP(Orders[[#This Row],[ProductID]],Products[ProductID],Products[Category])</f>
        <v>Electronics</v>
      </c>
    </row>
    <row r="1313" spans="1:20" x14ac:dyDescent="0.25">
      <c r="A1313" s="4" t="s">
        <v>1502</v>
      </c>
      <c r="B1313" s="5">
        <v>45985</v>
      </c>
      <c r="C1313" s="15">
        <f>WEEKNUM(Orders[[#This Row],[OrderDate]])</f>
        <v>48</v>
      </c>
      <c r="D1313" s="15" t="str">
        <f>TEXT(Orders[[#This Row],[OrderDate]],"mmmm")</f>
        <v>November</v>
      </c>
      <c r="E1313" s="4" t="s">
        <v>129</v>
      </c>
      <c r="F1313" s="4" t="s">
        <v>20</v>
      </c>
      <c r="G1313" s="4">
        <v>8</v>
      </c>
      <c r="H1313" s="12">
        <v>8948.9</v>
      </c>
      <c r="I1313" s="13">
        <v>7606.5649999999996</v>
      </c>
      <c r="J1313" s="13">
        <f>Orders[[#This Row],[Quantity]]*Orders[[#This Row],[Selling Price]]</f>
        <v>71591.199999999997</v>
      </c>
      <c r="K1313" s="13">
        <f>Orders[[#This Row],[Quantity]]*Orders[[#This Row],[Cost Price]]</f>
        <v>60852.52</v>
      </c>
      <c r="L1313" s="13">
        <f>Orders[[#This Row],[Revenue]]-Orders[[#This Row],[Expenses]]</f>
        <v>10738.68</v>
      </c>
      <c r="M1313" t="s">
        <v>2195</v>
      </c>
      <c r="N1313" t="str">
        <f>_xlfn.XLOOKUP(Orders[[#This Row],[CustomerID]],Customers[CustomerID],Customers[CustomerName])</f>
        <v>Chioma Ojo</v>
      </c>
      <c r="O1313" t="str">
        <f>_xlfn.XLOOKUP(Orders[[#This Row],[CustomerID]],Customers[CustomerID],Customers[City])</f>
        <v>Washington</v>
      </c>
      <c r="P1313" t="str">
        <f>_xlfn.XLOOKUP(Orders[[#This Row],[CustomerID]],Customers[CustomerID],Customers[Gender])</f>
        <v>Female</v>
      </c>
      <c r="Q1313">
        <f>_xlfn.XLOOKUP(Orders[[#This Row],[CustomerID]],Customers[CustomerID],Customers[CustomerAge])</f>
        <v>46</v>
      </c>
      <c r="R1313" t="str">
        <f>IF(Orders[[#This Row],[CustomerAge]]&gt;=35, "Older", "Young")</f>
        <v>Older</v>
      </c>
      <c r="S1313" t="str">
        <f>_xlfn.XLOOKUP(Orders[[#This Row],[ProductID]],Products[ProductID],Products[ProductName])</f>
        <v>Gym Bag</v>
      </c>
      <c r="T1313" t="str">
        <f>_xlfn.XLOOKUP(Orders[[#This Row],[ProductID]],Products[ProductID],Products[Category])</f>
        <v>Gym</v>
      </c>
    </row>
    <row r="1314" spans="1:20" x14ac:dyDescent="0.25">
      <c r="A1314" s="4" t="s">
        <v>1503</v>
      </c>
      <c r="B1314" s="5">
        <v>46020</v>
      </c>
      <c r="C1314" s="15">
        <f>WEEKNUM(Orders[[#This Row],[OrderDate]])</f>
        <v>53</v>
      </c>
      <c r="D1314" s="15" t="str">
        <f>TEXT(Orders[[#This Row],[OrderDate]],"mmmm")</f>
        <v>December</v>
      </c>
      <c r="E1314" s="4" t="s">
        <v>205</v>
      </c>
      <c r="F1314" s="4" t="s">
        <v>157</v>
      </c>
      <c r="G1314" s="4">
        <v>7</v>
      </c>
      <c r="H1314" s="12">
        <v>15191.6</v>
      </c>
      <c r="I1314" s="13">
        <v>12912.86</v>
      </c>
      <c r="J1314" s="13">
        <f>Orders[[#This Row],[Quantity]]*Orders[[#This Row],[Selling Price]]</f>
        <v>106341.2</v>
      </c>
      <c r="K1314" s="13">
        <f>Orders[[#This Row],[Quantity]]*Orders[[#This Row],[Cost Price]]</f>
        <v>90390.02</v>
      </c>
      <c r="L1314" s="13">
        <f>Orders[[#This Row],[Revenue]]-Orders[[#This Row],[Expenses]]</f>
        <v>15951.179999999993</v>
      </c>
      <c r="M1314" t="s">
        <v>2199</v>
      </c>
      <c r="N1314" t="str">
        <f>_xlfn.XLOOKUP(Orders[[#This Row],[CustomerID]],Customers[CustomerID],Customers[CustomerName])</f>
        <v>Jide Adeyemi</v>
      </c>
      <c r="O1314" t="str">
        <f>_xlfn.XLOOKUP(Orders[[#This Row],[CustomerID]],Customers[CustomerID],Customers[City])</f>
        <v>Washington</v>
      </c>
      <c r="P1314" t="str">
        <f>_xlfn.XLOOKUP(Orders[[#This Row],[CustomerID]],Customers[CustomerID],Customers[Gender])</f>
        <v>Male</v>
      </c>
      <c r="Q1314">
        <f>_xlfn.XLOOKUP(Orders[[#This Row],[CustomerID]],Customers[CustomerID],Customers[CustomerAge])</f>
        <v>19</v>
      </c>
      <c r="R1314" t="str">
        <f>IF(Orders[[#This Row],[CustomerAge]]&gt;=35, "Older", "Young")</f>
        <v>Young</v>
      </c>
      <c r="S1314" t="str">
        <f>_xlfn.XLOOKUP(Orders[[#This Row],[ProductID]],Products[ProductID],Products[ProductName])</f>
        <v>Football</v>
      </c>
      <c r="T1314" t="str">
        <f>_xlfn.XLOOKUP(Orders[[#This Row],[ProductID]],Products[ProductID],Products[Category])</f>
        <v>Sports</v>
      </c>
    </row>
    <row r="1315" spans="1:20" x14ac:dyDescent="0.25">
      <c r="A1315" s="4" t="s">
        <v>1504</v>
      </c>
      <c r="B1315" s="5">
        <v>45949</v>
      </c>
      <c r="C1315" s="15">
        <f>WEEKNUM(Orders[[#This Row],[OrderDate]])</f>
        <v>43</v>
      </c>
      <c r="D1315" s="15" t="str">
        <f>TEXT(Orders[[#This Row],[OrderDate]],"mmmm")</f>
        <v>October</v>
      </c>
      <c r="E1315" s="4" t="s">
        <v>410</v>
      </c>
      <c r="F1315" s="4" t="s">
        <v>189</v>
      </c>
      <c r="G1315" s="4">
        <v>4</v>
      </c>
      <c r="H1315" s="12">
        <v>9706.2000000000007</v>
      </c>
      <c r="I1315" s="13">
        <v>8250.27</v>
      </c>
      <c r="J1315" s="13">
        <f>Orders[[#This Row],[Quantity]]*Orders[[#This Row],[Selling Price]]</f>
        <v>38824.800000000003</v>
      </c>
      <c r="K1315" s="13">
        <f>Orders[[#This Row],[Quantity]]*Orders[[#This Row],[Cost Price]]</f>
        <v>33001.08</v>
      </c>
      <c r="L1315" s="13">
        <f>Orders[[#This Row],[Revenue]]-Orders[[#This Row],[Expenses]]</f>
        <v>5823.7200000000012</v>
      </c>
      <c r="M1315" t="s">
        <v>2197</v>
      </c>
      <c r="N1315" t="str">
        <f>_xlfn.XLOOKUP(Orders[[#This Row],[CustomerID]],Customers[CustomerID],Customers[CustomerName])</f>
        <v>Jane Thomas</v>
      </c>
      <c r="O1315" t="str">
        <f>_xlfn.XLOOKUP(Orders[[#This Row],[CustomerID]],Customers[CustomerID],Customers[City])</f>
        <v>Texas</v>
      </c>
      <c r="P1315" t="str">
        <f>_xlfn.XLOOKUP(Orders[[#This Row],[CustomerID]],Customers[CustomerID],Customers[Gender])</f>
        <v>Male</v>
      </c>
      <c r="Q1315">
        <f>_xlfn.XLOOKUP(Orders[[#This Row],[CustomerID]],Customers[CustomerID],Customers[CustomerAge])</f>
        <v>21</v>
      </c>
      <c r="R1315" t="str">
        <f>IF(Orders[[#This Row],[CustomerAge]]&gt;=35, "Older", "Young")</f>
        <v>Young</v>
      </c>
      <c r="S1315" t="str">
        <f>_xlfn.XLOOKUP(Orders[[#This Row],[ProductID]],Products[ProductID],Products[ProductName])</f>
        <v>Scrabble</v>
      </c>
      <c r="T1315" t="str">
        <f>_xlfn.XLOOKUP(Orders[[#This Row],[ProductID]],Products[ProductID],Products[Category])</f>
        <v>Games</v>
      </c>
    </row>
    <row r="1316" spans="1:20" x14ac:dyDescent="0.25">
      <c r="A1316" s="4" t="s">
        <v>1505</v>
      </c>
      <c r="B1316" s="5">
        <v>46001</v>
      </c>
      <c r="C1316" s="15">
        <f>WEEKNUM(Orders[[#This Row],[OrderDate]])</f>
        <v>50</v>
      </c>
      <c r="D1316" s="15" t="str">
        <f>TEXT(Orders[[#This Row],[OrderDate]],"mmmm")</f>
        <v>December</v>
      </c>
      <c r="E1316" s="4" t="s">
        <v>174</v>
      </c>
      <c r="F1316" s="4" t="s">
        <v>28</v>
      </c>
      <c r="G1316" s="4">
        <v>3</v>
      </c>
      <c r="H1316" s="12">
        <v>9306.4</v>
      </c>
      <c r="I1316" s="13">
        <v>7910.44</v>
      </c>
      <c r="J1316" s="13">
        <f>Orders[[#This Row],[Quantity]]*Orders[[#This Row],[Selling Price]]</f>
        <v>27919.199999999997</v>
      </c>
      <c r="K1316" s="13">
        <f>Orders[[#This Row],[Quantity]]*Orders[[#This Row],[Cost Price]]</f>
        <v>23731.32</v>
      </c>
      <c r="L1316" s="13">
        <f>Orders[[#This Row],[Revenue]]-Orders[[#This Row],[Expenses]]</f>
        <v>4187.8799999999974</v>
      </c>
      <c r="M1316" t="s">
        <v>2218</v>
      </c>
      <c r="N1316" t="str">
        <f>_xlfn.XLOOKUP(Orders[[#This Row],[CustomerID]],Customers[CustomerID],Customers[CustomerName])</f>
        <v>Zainab Obi</v>
      </c>
      <c r="O1316" t="str">
        <f>_xlfn.XLOOKUP(Orders[[#This Row],[CustomerID]],Customers[CustomerID],Customers[City])</f>
        <v>California</v>
      </c>
      <c r="P1316" t="str">
        <f>_xlfn.XLOOKUP(Orders[[#This Row],[CustomerID]],Customers[CustomerID],Customers[Gender])</f>
        <v>Female</v>
      </c>
      <c r="Q1316">
        <f>_xlfn.XLOOKUP(Orders[[#This Row],[CustomerID]],Customers[CustomerID],Customers[CustomerAge])</f>
        <v>18</v>
      </c>
      <c r="R1316" t="str">
        <f>IF(Orders[[#This Row],[CustomerAge]]&gt;=35, "Older", "Young")</f>
        <v>Young</v>
      </c>
      <c r="S1316" t="str">
        <f>_xlfn.XLOOKUP(Orders[[#This Row],[ProductID]],Products[ProductID],Products[ProductName])</f>
        <v>Sneakers</v>
      </c>
      <c r="T1316" t="str">
        <f>_xlfn.XLOOKUP(Orders[[#This Row],[ProductID]],Products[ProductID],Products[Category])</f>
        <v>Sports</v>
      </c>
    </row>
    <row r="1317" spans="1:20" x14ac:dyDescent="0.25">
      <c r="A1317" s="4" t="s">
        <v>1506</v>
      </c>
      <c r="B1317" s="5">
        <v>45977</v>
      </c>
      <c r="C1317" s="15">
        <f>WEEKNUM(Orders[[#This Row],[OrderDate]])</f>
        <v>47</v>
      </c>
      <c r="D1317" s="15" t="str">
        <f>TEXT(Orders[[#This Row],[OrderDate]],"mmmm")</f>
        <v>November</v>
      </c>
      <c r="E1317" s="4" t="s">
        <v>264</v>
      </c>
      <c r="F1317" s="4" t="s">
        <v>31</v>
      </c>
      <c r="G1317" s="4">
        <v>3</v>
      </c>
      <c r="H1317" s="12">
        <v>1660.9</v>
      </c>
      <c r="I1317" s="13">
        <v>1411.7650000000001</v>
      </c>
      <c r="J1317" s="13">
        <f>Orders[[#This Row],[Quantity]]*Orders[[#This Row],[Selling Price]]</f>
        <v>4982.7000000000007</v>
      </c>
      <c r="K1317" s="13">
        <f>Orders[[#This Row],[Quantity]]*Orders[[#This Row],[Cost Price]]</f>
        <v>4235.2950000000001</v>
      </c>
      <c r="L1317" s="13">
        <f>Orders[[#This Row],[Revenue]]-Orders[[#This Row],[Expenses]]</f>
        <v>747.40500000000065</v>
      </c>
      <c r="M1317" t="s">
        <v>2212</v>
      </c>
      <c r="N1317" t="str">
        <f>_xlfn.XLOOKUP(Orders[[#This Row],[CustomerID]],Customers[CustomerID],Customers[CustomerName])</f>
        <v>Ronke Adeyemi</v>
      </c>
      <c r="O1317" t="str">
        <f>_xlfn.XLOOKUP(Orders[[#This Row],[CustomerID]],Customers[CustomerID],Customers[City])</f>
        <v>Georgia</v>
      </c>
      <c r="P1317" t="str">
        <f>_xlfn.XLOOKUP(Orders[[#This Row],[CustomerID]],Customers[CustomerID],Customers[Gender])</f>
        <v>Female</v>
      </c>
      <c r="Q1317">
        <f>_xlfn.XLOOKUP(Orders[[#This Row],[CustomerID]],Customers[CustomerID],Customers[CustomerAge])</f>
        <v>19</v>
      </c>
      <c r="R1317" t="str">
        <f>IF(Orders[[#This Row],[CustomerAge]]&gt;=35, "Older", "Young")</f>
        <v>Young</v>
      </c>
      <c r="S1317" t="str">
        <f>_xlfn.XLOOKUP(Orders[[#This Row],[ProductID]],Products[ProductID],Products[ProductName])</f>
        <v>Kids Games</v>
      </c>
      <c r="T1317" t="str">
        <f>_xlfn.XLOOKUP(Orders[[#This Row],[ProductID]],Products[ProductID],Products[Category])</f>
        <v>Games</v>
      </c>
    </row>
    <row r="1318" spans="1:20" x14ac:dyDescent="0.25">
      <c r="A1318" s="4" t="s">
        <v>1507</v>
      </c>
      <c r="B1318" s="5">
        <v>45969</v>
      </c>
      <c r="C1318" s="15">
        <f>WEEKNUM(Orders[[#This Row],[OrderDate]])</f>
        <v>45</v>
      </c>
      <c r="D1318" s="15" t="str">
        <f>TEXT(Orders[[#This Row],[OrderDate]],"mmmm")</f>
        <v>November</v>
      </c>
      <c r="E1318" s="4" t="s">
        <v>103</v>
      </c>
      <c r="F1318" s="4" t="s">
        <v>15</v>
      </c>
      <c r="G1318" s="4">
        <v>4</v>
      </c>
      <c r="H1318" s="12">
        <v>854.09999999999991</v>
      </c>
      <c r="I1318" s="13">
        <v>725.9849999999999</v>
      </c>
      <c r="J1318" s="13">
        <f>Orders[[#This Row],[Quantity]]*Orders[[#This Row],[Selling Price]]</f>
        <v>3416.3999999999996</v>
      </c>
      <c r="K1318" s="13">
        <f>Orders[[#This Row],[Quantity]]*Orders[[#This Row],[Cost Price]]</f>
        <v>2903.9399999999996</v>
      </c>
      <c r="L1318" s="13">
        <f>Orders[[#This Row],[Revenue]]-Orders[[#This Row],[Expenses]]</f>
        <v>512.46</v>
      </c>
      <c r="M1318" t="s">
        <v>2212</v>
      </c>
      <c r="N1318" t="str">
        <f>_xlfn.XLOOKUP(Orders[[#This Row],[CustomerID]],Customers[CustomerID],Customers[CustomerName])</f>
        <v>Chioma Adeyemi</v>
      </c>
      <c r="O1318" t="str">
        <f>_xlfn.XLOOKUP(Orders[[#This Row],[CustomerID]],Customers[CustomerID],Customers[City])</f>
        <v>Georgia</v>
      </c>
      <c r="P1318" t="str">
        <f>_xlfn.XLOOKUP(Orders[[#This Row],[CustomerID]],Customers[CustomerID],Customers[Gender])</f>
        <v>Female</v>
      </c>
      <c r="Q1318">
        <f>_xlfn.XLOOKUP(Orders[[#This Row],[CustomerID]],Customers[CustomerID],Customers[CustomerAge])</f>
        <v>31</v>
      </c>
      <c r="R1318" t="str">
        <f>IF(Orders[[#This Row],[CustomerAge]]&gt;=35, "Older", "Young")</f>
        <v>Young</v>
      </c>
      <c r="S1318" t="str">
        <f>_xlfn.XLOOKUP(Orders[[#This Row],[ProductID]],Products[ProductID],Products[ProductName])</f>
        <v>Monopoly</v>
      </c>
      <c r="T1318" t="str">
        <f>_xlfn.XLOOKUP(Orders[[#This Row],[ProductID]],Products[ProductID],Products[Category])</f>
        <v>Games</v>
      </c>
    </row>
    <row r="1319" spans="1:20" x14ac:dyDescent="0.25">
      <c r="A1319" s="4" t="s">
        <v>1508</v>
      </c>
      <c r="B1319" s="5">
        <v>45948</v>
      </c>
      <c r="C1319" s="15">
        <f>WEEKNUM(Orders[[#This Row],[OrderDate]])</f>
        <v>42</v>
      </c>
      <c r="D1319" s="15" t="str">
        <f>TEXT(Orders[[#This Row],[OrderDate]],"mmmm")</f>
        <v>October</v>
      </c>
      <c r="E1319" s="4" t="s">
        <v>11</v>
      </c>
      <c r="F1319" s="4" t="s">
        <v>60</v>
      </c>
      <c r="G1319" s="4">
        <v>5</v>
      </c>
      <c r="H1319" s="12">
        <v>4551.1000000000004</v>
      </c>
      <c r="I1319" s="13">
        <v>3868.4350000000004</v>
      </c>
      <c r="J1319" s="13">
        <f>Orders[[#This Row],[Quantity]]*Orders[[#This Row],[Selling Price]]</f>
        <v>22755.5</v>
      </c>
      <c r="K1319" s="13">
        <f>Orders[[#This Row],[Quantity]]*Orders[[#This Row],[Cost Price]]</f>
        <v>19342.175000000003</v>
      </c>
      <c r="L1319" s="13">
        <f>Orders[[#This Row],[Revenue]]-Orders[[#This Row],[Expenses]]</f>
        <v>3413.3249999999971</v>
      </c>
      <c r="M1319" t="s">
        <v>2217</v>
      </c>
      <c r="N1319" t="str">
        <f>_xlfn.XLOOKUP(Orders[[#This Row],[CustomerID]],Customers[CustomerID],Customers[CustomerName])</f>
        <v>Efe Ojo</v>
      </c>
      <c r="O1319" t="str">
        <f>_xlfn.XLOOKUP(Orders[[#This Row],[CustomerID]],Customers[CustomerID],Customers[City])</f>
        <v>Texas</v>
      </c>
      <c r="P1319" t="str">
        <f>_xlfn.XLOOKUP(Orders[[#This Row],[CustomerID]],Customers[CustomerID],Customers[Gender])</f>
        <v>Female</v>
      </c>
      <c r="Q1319">
        <f>_xlfn.XLOOKUP(Orders[[#This Row],[CustomerID]],Customers[CustomerID],Customers[CustomerAge])</f>
        <v>55</v>
      </c>
      <c r="R1319" t="str">
        <f>IF(Orders[[#This Row],[CustomerAge]]&gt;=35, "Older", "Young")</f>
        <v>Older</v>
      </c>
      <c r="S1319" t="str">
        <f>_xlfn.XLOOKUP(Orders[[#This Row],[ProductID]],Products[ProductID],Products[ProductName])</f>
        <v>Silver Rings</v>
      </c>
      <c r="T1319" t="str">
        <f>_xlfn.XLOOKUP(Orders[[#This Row],[ProductID]],Products[ProductID],Products[Category])</f>
        <v>Accessories</v>
      </c>
    </row>
    <row r="1320" spans="1:20" x14ac:dyDescent="0.25">
      <c r="A1320" s="4" t="s">
        <v>1509</v>
      </c>
      <c r="B1320" s="5">
        <v>45962</v>
      </c>
      <c r="C1320" s="15">
        <f>WEEKNUM(Orders[[#This Row],[OrderDate]])</f>
        <v>44</v>
      </c>
      <c r="D1320" s="15" t="str">
        <f>TEXT(Orders[[#This Row],[OrderDate]],"mmmm")</f>
        <v>November</v>
      </c>
      <c r="E1320" s="4" t="s">
        <v>59</v>
      </c>
      <c r="F1320" s="4" t="s">
        <v>120</v>
      </c>
      <c r="G1320" s="4">
        <v>5</v>
      </c>
      <c r="H1320" s="12">
        <v>10172.9</v>
      </c>
      <c r="I1320" s="13">
        <v>8646.9650000000001</v>
      </c>
      <c r="J1320" s="13">
        <f>Orders[[#This Row],[Quantity]]*Orders[[#This Row],[Selling Price]]</f>
        <v>50864.5</v>
      </c>
      <c r="K1320" s="13">
        <f>Orders[[#This Row],[Quantity]]*Orders[[#This Row],[Cost Price]]</f>
        <v>43234.824999999997</v>
      </c>
      <c r="L1320" s="13">
        <f>Orders[[#This Row],[Revenue]]-Orders[[#This Row],[Expenses]]</f>
        <v>7629.6750000000029</v>
      </c>
      <c r="M1320" t="s">
        <v>2203</v>
      </c>
      <c r="N1320" t="str">
        <f>_xlfn.XLOOKUP(Orders[[#This Row],[CustomerID]],Customers[CustomerID],Customers[CustomerName])</f>
        <v>Adanma Danladi</v>
      </c>
      <c r="O1320" t="str">
        <f>_xlfn.XLOOKUP(Orders[[#This Row],[CustomerID]],Customers[CustomerID],Customers[City])</f>
        <v>Texas</v>
      </c>
      <c r="P1320" t="str">
        <f>_xlfn.XLOOKUP(Orders[[#This Row],[CustomerID]],Customers[CustomerID],Customers[Gender])</f>
        <v>Female</v>
      </c>
      <c r="Q1320">
        <f>_xlfn.XLOOKUP(Orders[[#This Row],[CustomerID]],Customers[CustomerID],Customers[CustomerAge])</f>
        <v>24</v>
      </c>
      <c r="R1320" t="str">
        <f>IF(Orders[[#This Row],[CustomerAge]]&gt;=35, "Older", "Young")</f>
        <v>Young</v>
      </c>
      <c r="S1320" t="str">
        <f>_xlfn.XLOOKUP(Orders[[#This Row],[ProductID]],Products[ProductID],Products[ProductName])</f>
        <v>Chess</v>
      </c>
      <c r="T1320" t="str">
        <f>_xlfn.XLOOKUP(Orders[[#This Row],[ProductID]],Products[ProductID],Products[Category])</f>
        <v>Games</v>
      </c>
    </row>
    <row r="1321" spans="1:20" x14ac:dyDescent="0.25">
      <c r="A1321" s="4" t="s">
        <v>1510</v>
      </c>
      <c r="B1321" s="5">
        <v>46012</v>
      </c>
      <c r="C1321" s="15">
        <f>WEEKNUM(Orders[[#This Row],[OrderDate]])</f>
        <v>52</v>
      </c>
      <c r="D1321" s="15" t="str">
        <f>TEXT(Orders[[#This Row],[OrderDate]],"mmmm")</f>
        <v>December</v>
      </c>
      <c r="E1321" s="4" t="s">
        <v>96</v>
      </c>
      <c r="F1321" s="4" t="s">
        <v>120</v>
      </c>
      <c r="G1321" s="4">
        <v>6</v>
      </c>
      <c r="H1321" s="12">
        <v>3939.7000000000003</v>
      </c>
      <c r="I1321" s="13">
        <v>3348.7450000000003</v>
      </c>
      <c r="J1321" s="13">
        <f>Orders[[#This Row],[Quantity]]*Orders[[#This Row],[Selling Price]]</f>
        <v>23638.2</v>
      </c>
      <c r="K1321" s="13">
        <f>Orders[[#This Row],[Quantity]]*Orders[[#This Row],[Cost Price]]</f>
        <v>20092.47</v>
      </c>
      <c r="L1321" s="13">
        <f>Orders[[#This Row],[Revenue]]-Orders[[#This Row],[Expenses]]</f>
        <v>3545.7299999999996</v>
      </c>
      <c r="M1321" t="s">
        <v>2193</v>
      </c>
      <c r="N1321" t="str">
        <f>_xlfn.XLOOKUP(Orders[[#This Row],[CustomerID]],Customers[CustomerID],Customers[CustomerName])</f>
        <v>Amina Abubakar</v>
      </c>
      <c r="O1321" t="str">
        <f>_xlfn.XLOOKUP(Orders[[#This Row],[CustomerID]],Customers[CustomerID],Customers[City])</f>
        <v>Texas</v>
      </c>
      <c r="P1321" t="str">
        <f>_xlfn.XLOOKUP(Orders[[#This Row],[CustomerID]],Customers[CustomerID],Customers[Gender])</f>
        <v>Female</v>
      </c>
      <c r="Q1321">
        <f>_xlfn.XLOOKUP(Orders[[#This Row],[CustomerID]],Customers[CustomerID],Customers[CustomerAge])</f>
        <v>35</v>
      </c>
      <c r="R1321" t="str">
        <f>IF(Orders[[#This Row],[CustomerAge]]&gt;=35, "Older", "Young")</f>
        <v>Older</v>
      </c>
      <c r="S1321" t="str">
        <f>_xlfn.XLOOKUP(Orders[[#This Row],[ProductID]],Products[ProductID],Products[ProductName])</f>
        <v>Chess</v>
      </c>
      <c r="T1321" t="str">
        <f>_xlfn.XLOOKUP(Orders[[#This Row],[ProductID]],Products[ProductID],Products[Category])</f>
        <v>Games</v>
      </c>
    </row>
    <row r="1322" spans="1:20" x14ac:dyDescent="0.25">
      <c r="A1322" s="4" t="s">
        <v>1511</v>
      </c>
      <c r="B1322" s="5">
        <v>45998</v>
      </c>
      <c r="C1322" s="15">
        <f>WEEKNUM(Orders[[#This Row],[OrderDate]])</f>
        <v>50</v>
      </c>
      <c r="D1322" s="15" t="str">
        <f>TEXT(Orders[[#This Row],[OrderDate]],"mmmm")</f>
        <v>December</v>
      </c>
      <c r="E1322" s="4" t="s">
        <v>116</v>
      </c>
      <c r="F1322" s="4" t="s">
        <v>31</v>
      </c>
      <c r="G1322" s="4">
        <v>2</v>
      </c>
      <c r="H1322" s="12">
        <v>19224.400000000001</v>
      </c>
      <c r="I1322" s="13">
        <v>16340.740000000002</v>
      </c>
      <c r="J1322" s="13">
        <f>Orders[[#This Row],[Quantity]]*Orders[[#This Row],[Selling Price]]</f>
        <v>38448.800000000003</v>
      </c>
      <c r="K1322" s="13">
        <f>Orders[[#This Row],[Quantity]]*Orders[[#This Row],[Cost Price]]</f>
        <v>32681.480000000003</v>
      </c>
      <c r="L1322" s="13">
        <f>Orders[[#This Row],[Revenue]]-Orders[[#This Row],[Expenses]]</f>
        <v>5767.32</v>
      </c>
      <c r="M1322" t="s">
        <v>2210</v>
      </c>
      <c r="N1322" t="str">
        <f>_xlfn.XLOOKUP(Orders[[#This Row],[CustomerID]],Customers[CustomerID],Customers[CustomerName])</f>
        <v>Uche Bello</v>
      </c>
      <c r="O1322" t="str">
        <f>_xlfn.XLOOKUP(Orders[[#This Row],[CustomerID]],Customers[CustomerID],Customers[City])</f>
        <v>Texas</v>
      </c>
      <c r="P1322" t="str">
        <f>_xlfn.XLOOKUP(Orders[[#This Row],[CustomerID]],Customers[CustomerID],Customers[Gender])</f>
        <v>Male</v>
      </c>
      <c r="Q1322">
        <f>_xlfn.XLOOKUP(Orders[[#This Row],[CustomerID]],Customers[CustomerID],Customers[CustomerAge])</f>
        <v>21</v>
      </c>
      <c r="R1322" t="str">
        <f>IF(Orders[[#This Row],[CustomerAge]]&gt;=35, "Older", "Young")</f>
        <v>Young</v>
      </c>
      <c r="S1322" t="str">
        <f>_xlfn.XLOOKUP(Orders[[#This Row],[ProductID]],Products[ProductID],Products[ProductName])</f>
        <v>Kids Games</v>
      </c>
      <c r="T1322" t="str">
        <f>_xlfn.XLOOKUP(Orders[[#This Row],[ProductID]],Products[ProductID],Products[Category])</f>
        <v>Games</v>
      </c>
    </row>
    <row r="1323" spans="1:20" x14ac:dyDescent="0.25">
      <c r="A1323" s="4" t="s">
        <v>1512</v>
      </c>
      <c r="B1323" s="5">
        <v>46022</v>
      </c>
      <c r="C1323" s="15">
        <f>WEEKNUM(Orders[[#This Row],[OrderDate]])</f>
        <v>53</v>
      </c>
      <c r="D1323" s="15" t="str">
        <f>TEXT(Orders[[#This Row],[OrderDate]],"mmmm")</f>
        <v>December</v>
      </c>
      <c r="E1323" s="4" t="s">
        <v>33</v>
      </c>
      <c r="F1323" s="4" t="s">
        <v>34</v>
      </c>
      <c r="G1323" s="4">
        <v>1</v>
      </c>
      <c r="H1323" s="12">
        <v>8752.4</v>
      </c>
      <c r="I1323" s="13">
        <v>7439.54</v>
      </c>
      <c r="J1323" s="13">
        <f>Orders[[#This Row],[Quantity]]*Orders[[#This Row],[Selling Price]]</f>
        <v>8752.4</v>
      </c>
      <c r="K1323" s="13">
        <f>Orders[[#This Row],[Quantity]]*Orders[[#This Row],[Cost Price]]</f>
        <v>7439.54</v>
      </c>
      <c r="L1323" s="13">
        <f>Orders[[#This Row],[Revenue]]-Orders[[#This Row],[Expenses]]</f>
        <v>1312.8599999999997</v>
      </c>
      <c r="M1323" t="s">
        <v>2216</v>
      </c>
      <c r="N1323" t="str">
        <f>_xlfn.XLOOKUP(Orders[[#This Row],[CustomerID]],Customers[CustomerID],Customers[CustomerName])</f>
        <v>Okon Balogun</v>
      </c>
      <c r="O1323" t="str">
        <f>_xlfn.XLOOKUP(Orders[[#This Row],[CustomerID]],Customers[CustomerID],Customers[City])</f>
        <v>Texas</v>
      </c>
      <c r="P1323" t="str">
        <f>_xlfn.XLOOKUP(Orders[[#This Row],[CustomerID]],Customers[CustomerID],Customers[Gender])</f>
        <v>Male</v>
      </c>
      <c r="Q1323">
        <f>_xlfn.XLOOKUP(Orders[[#This Row],[CustomerID]],Customers[CustomerID],Customers[CustomerAge])</f>
        <v>28</v>
      </c>
      <c r="R1323" t="str">
        <f>IF(Orders[[#This Row],[CustomerAge]]&gt;=35, "Older", "Young")</f>
        <v>Young</v>
      </c>
      <c r="S1323" t="str">
        <f>_xlfn.XLOOKUP(Orders[[#This Row],[ProductID]],Products[ProductID],Products[ProductName])</f>
        <v>Gold Bracelets</v>
      </c>
      <c r="T1323" t="str">
        <f>_xlfn.XLOOKUP(Orders[[#This Row],[ProductID]],Products[ProductID],Products[Category])</f>
        <v>Accessories</v>
      </c>
    </row>
    <row r="1324" spans="1:20" x14ac:dyDescent="0.25">
      <c r="A1324" s="4" t="s">
        <v>1513</v>
      </c>
      <c r="B1324" s="5">
        <v>46003</v>
      </c>
      <c r="C1324" s="15">
        <f>WEEKNUM(Orders[[#This Row],[OrderDate]])</f>
        <v>50</v>
      </c>
      <c r="D1324" s="15" t="str">
        <f>TEXT(Orders[[#This Row],[OrderDate]],"mmmm")</f>
        <v>December</v>
      </c>
      <c r="E1324" s="4" t="s">
        <v>163</v>
      </c>
      <c r="F1324" s="4" t="s">
        <v>31</v>
      </c>
      <c r="G1324" s="4">
        <v>2</v>
      </c>
      <c r="H1324" s="12">
        <v>10856.300000000001</v>
      </c>
      <c r="I1324" s="13">
        <v>9227.8550000000014</v>
      </c>
      <c r="J1324" s="13">
        <f>Orders[[#This Row],[Quantity]]*Orders[[#This Row],[Selling Price]]</f>
        <v>21712.600000000002</v>
      </c>
      <c r="K1324" s="13">
        <f>Orders[[#This Row],[Quantity]]*Orders[[#This Row],[Cost Price]]</f>
        <v>18455.710000000003</v>
      </c>
      <c r="L1324" s="13">
        <f>Orders[[#This Row],[Revenue]]-Orders[[#This Row],[Expenses]]</f>
        <v>3256.8899999999994</v>
      </c>
      <c r="M1324" t="s">
        <v>2220</v>
      </c>
      <c r="N1324" t="str">
        <f>_xlfn.XLOOKUP(Orders[[#This Row],[CustomerID]],Customers[CustomerID],Customers[CustomerName])</f>
        <v>Folasade Danladi</v>
      </c>
      <c r="O1324" t="str">
        <f>_xlfn.XLOOKUP(Orders[[#This Row],[CustomerID]],Customers[CustomerID],Customers[City])</f>
        <v>Texas</v>
      </c>
      <c r="P1324" t="str">
        <f>_xlfn.XLOOKUP(Orders[[#This Row],[CustomerID]],Customers[CustomerID],Customers[Gender])</f>
        <v>Female</v>
      </c>
      <c r="Q1324">
        <f>_xlfn.XLOOKUP(Orders[[#This Row],[CustomerID]],Customers[CustomerID],Customers[CustomerAge])</f>
        <v>32</v>
      </c>
      <c r="R1324" t="str">
        <f>IF(Orders[[#This Row],[CustomerAge]]&gt;=35, "Older", "Young")</f>
        <v>Young</v>
      </c>
      <c r="S1324" t="str">
        <f>_xlfn.XLOOKUP(Orders[[#This Row],[ProductID]],Products[ProductID],Products[ProductName])</f>
        <v>Kids Games</v>
      </c>
      <c r="T1324" t="str">
        <f>_xlfn.XLOOKUP(Orders[[#This Row],[ProductID]],Products[ProductID],Products[Category])</f>
        <v>Games</v>
      </c>
    </row>
    <row r="1325" spans="1:20" x14ac:dyDescent="0.25">
      <c r="A1325" s="4" t="s">
        <v>1514</v>
      </c>
      <c r="B1325" s="5">
        <v>45984</v>
      </c>
      <c r="C1325" s="15">
        <f>WEEKNUM(Orders[[#This Row],[OrderDate]])</f>
        <v>48</v>
      </c>
      <c r="D1325" s="15" t="str">
        <f>TEXT(Orders[[#This Row],[OrderDate]],"mmmm")</f>
        <v>November</v>
      </c>
      <c r="E1325" s="4" t="s">
        <v>287</v>
      </c>
      <c r="F1325" s="4" t="s">
        <v>92</v>
      </c>
      <c r="G1325" s="4">
        <v>10</v>
      </c>
      <c r="H1325" s="12">
        <v>13324.300000000001</v>
      </c>
      <c r="I1325" s="13">
        <v>11325.655000000001</v>
      </c>
      <c r="J1325" s="13">
        <f>Orders[[#This Row],[Quantity]]*Orders[[#This Row],[Selling Price]]</f>
        <v>133243</v>
      </c>
      <c r="K1325" s="13">
        <f>Orders[[#This Row],[Quantity]]*Orders[[#This Row],[Cost Price]]</f>
        <v>113256.55</v>
      </c>
      <c r="L1325" s="13">
        <f>Orders[[#This Row],[Revenue]]-Orders[[#This Row],[Expenses]]</f>
        <v>19986.449999999997</v>
      </c>
      <c r="M1325" t="s">
        <v>2206</v>
      </c>
      <c r="N1325" t="str">
        <f>_xlfn.XLOOKUP(Orders[[#This Row],[CustomerID]],Customers[CustomerID],Customers[CustomerName])</f>
        <v>Okon Obi</v>
      </c>
      <c r="O1325" t="str">
        <f>_xlfn.XLOOKUP(Orders[[#This Row],[CustomerID]],Customers[CustomerID],Customers[City])</f>
        <v>Texas</v>
      </c>
      <c r="P1325" t="str">
        <f>_xlfn.XLOOKUP(Orders[[#This Row],[CustomerID]],Customers[CustomerID],Customers[Gender])</f>
        <v>Male</v>
      </c>
      <c r="Q1325">
        <f>_xlfn.XLOOKUP(Orders[[#This Row],[CustomerID]],Customers[CustomerID],Customers[CustomerAge])</f>
        <v>55</v>
      </c>
      <c r="R1325" t="str">
        <f>IF(Orders[[#This Row],[CustomerAge]]&gt;=35, "Older", "Young")</f>
        <v>Older</v>
      </c>
      <c r="S1325" t="str">
        <f>_xlfn.XLOOKUP(Orders[[#This Row],[ProductID]],Products[ProductID],Products[ProductName])</f>
        <v>Chest Expander</v>
      </c>
      <c r="T1325" t="str">
        <f>_xlfn.XLOOKUP(Orders[[#This Row],[ProductID]],Products[ProductID],Products[Category])</f>
        <v>Gym</v>
      </c>
    </row>
    <row r="1326" spans="1:20" x14ac:dyDescent="0.25">
      <c r="A1326" s="4" t="s">
        <v>1515</v>
      </c>
      <c r="B1326" s="5">
        <v>45979</v>
      </c>
      <c r="C1326" s="15">
        <f>WEEKNUM(Orders[[#This Row],[OrderDate]])</f>
        <v>47</v>
      </c>
      <c r="D1326" s="15" t="str">
        <f>TEXT(Orders[[#This Row],[OrderDate]],"mmmm")</f>
        <v>November</v>
      </c>
      <c r="E1326" s="4" t="s">
        <v>148</v>
      </c>
      <c r="F1326" s="4" t="s">
        <v>120</v>
      </c>
      <c r="G1326" s="4">
        <v>10</v>
      </c>
      <c r="H1326" s="12">
        <v>11399</v>
      </c>
      <c r="I1326" s="13">
        <v>9689.15</v>
      </c>
      <c r="J1326" s="13">
        <f>Orders[[#This Row],[Quantity]]*Orders[[#This Row],[Selling Price]]</f>
        <v>113990</v>
      </c>
      <c r="K1326" s="13">
        <f>Orders[[#This Row],[Quantity]]*Orders[[#This Row],[Cost Price]]</f>
        <v>96891.5</v>
      </c>
      <c r="L1326" s="13">
        <f>Orders[[#This Row],[Revenue]]-Orders[[#This Row],[Expenses]]</f>
        <v>17098.5</v>
      </c>
      <c r="M1326" t="s">
        <v>2211</v>
      </c>
      <c r="N1326" t="str">
        <f>_xlfn.XLOOKUP(Orders[[#This Row],[CustomerID]],Customers[CustomerID],Customers[CustomerName])</f>
        <v>Zainab Abubakar</v>
      </c>
      <c r="O1326" t="str">
        <f>_xlfn.XLOOKUP(Orders[[#This Row],[CustomerID]],Customers[CustomerID],Customers[City])</f>
        <v>Florida</v>
      </c>
      <c r="P1326" t="str">
        <f>_xlfn.XLOOKUP(Orders[[#This Row],[CustomerID]],Customers[CustomerID],Customers[Gender])</f>
        <v>Female</v>
      </c>
      <c r="Q1326">
        <f>_xlfn.XLOOKUP(Orders[[#This Row],[CustomerID]],Customers[CustomerID],Customers[CustomerAge])</f>
        <v>29</v>
      </c>
      <c r="R1326" t="str">
        <f>IF(Orders[[#This Row],[CustomerAge]]&gt;=35, "Older", "Young")</f>
        <v>Young</v>
      </c>
      <c r="S1326" t="str">
        <f>_xlfn.XLOOKUP(Orders[[#This Row],[ProductID]],Products[ProductID],Products[ProductName])</f>
        <v>Chess</v>
      </c>
      <c r="T1326" t="str">
        <f>_xlfn.XLOOKUP(Orders[[#This Row],[ProductID]],Products[ProductID],Products[Category])</f>
        <v>Games</v>
      </c>
    </row>
    <row r="1327" spans="1:20" x14ac:dyDescent="0.25">
      <c r="A1327" s="4" t="s">
        <v>1516</v>
      </c>
      <c r="B1327" s="5">
        <v>46015</v>
      </c>
      <c r="C1327" s="15">
        <f>WEEKNUM(Orders[[#This Row],[OrderDate]])</f>
        <v>52</v>
      </c>
      <c r="D1327" s="15" t="str">
        <f>TEXT(Orders[[#This Row],[OrderDate]],"mmmm")</f>
        <v>December</v>
      </c>
      <c r="E1327" s="4" t="s">
        <v>293</v>
      </c>
      <c r="F1327" s="4" t="s">
        <v>23</v>
      </c>
      <c r="G1327" s="4">
        <v>6</v>
      </c>
      <c r="H1327" s="12">
        <v>12701.199999999999</v>
      </c>
      <c r="I1327" s="13">
        <v>10796.019999999999</v>
      </c>
      <c r="J1327" s="13">
        <f>Orders[[#This Row],[Quantity]]*Orders[[#This Row],[Selling Price]]</f>
        <v>76207.199999999997</v>
      </c>
      <c r="K1327" s="13">
        <f>Orders[[#This Row],[Quantity]]*Orders[[#This Row],[Cost Price]]</f>
        <v>64776.119999999995</v>
      </c>
      <c r="L1327" s="13">
        <f>Orders[[#This Row],[Revenue]]-Orders[[#This Row],[Expenses]]</f>
        <v>11431.080000000002</v>
      </c>
      <c r="M1327" t="s">
        <v>2216</v>
      </c>
      <c r="N1327" t="str">
        <f>_xlfn.XLOOKUP(Orders[[#This Row],[CustomerID]],Customers[CustomerID],Customers[CustomerName])</f>
        <v>Tunde Eze</v>
      </c>
      <c r="O1327" t="str">
        <f>_xlfn.XLOOKUP(Orders[[#This Row],[CustomerID]],Customers[CustomerID],Customers[City])</f>
        <v>Florida</v>
      </c>
      <c r="P1327" t="str">
        <f>_xlfn.XLOOKUP(Orders[[#This Row],[CustomerID]],Customers[CustomerID],Customers[Gender])</f>
        <v>Male</v>
      </c>
      <c r="Q1327">
        <f>_xlfn.XLOOKUP(Orders[[#This Row],[CustomerID]],Customers[CustomerID],Customers[CustomerAge])</f>
        <v>46</v>
      </c>
      <c r="R1327" t="str">
        <f>IF(Orders[[#This Row],[CustomerAge]]&gt;=35, "Older", "Young")</f>
        <v>Older</v>
      </c>
      <c r="S1327" t="str">
        <f>_xlfn.XLOOKUP(Orders[[#This Row],[ProductID]],Products[ProductID],Products[ProductName])</f>
        <v>Gym Gloves</v>
      </c>
      <c r="T1327" t="str">
        <f>_xlfn.XLOOKUP(Orders[[#This Row],[ProductID]],Products[ProductID],Products[Category])</f>
        <v>Gym</v>
      </c>
    </row>
    <row r="1328" spans="1:20" x14ac:dyDescent="0.25">
      <c r="A1328" s="4" t="s">
        <v>1517</v>
      </c>
      <c r="B1328" s="5">
        <v>45932</v>
      </c>
      <c r="C1328" s="15">
        <f>WEEKNUM(Orders[[#This Row],[OrderDate]])</f>
        <v>40</v>
      </c>
      <c r="D1328" s="15" t="str">
        <f>TEXT(Orders[[#This Row],[OrderDate]],"mmmm")</f>
        <v>October</v>
      </c>
      <c r="E1328" s="4" t="s">
        <v>159</v>
      </c>
      <c r="F1328" s="4" t="s">
        <v>25</v>
      </c>
      <c r="G1328" s="4">
        <v>5</v>
      </c>
      <c r="H1328" s="12">
        <v>8554</v>
      </c>
      <c r="I1328" s="13">
        <v>7270.9</v>
      </c>
      <c r="J1328" s="13">
        <f>Orders[[#This Row],[Quantity]]*Orders[[#This Row],[Selling Price]]</f>
        <v>42770</v>
      </c>
      <c r="K1328" s="13">
        <f>Orders[[#This Row],[Quantity]]*Orders[[#This Row],[Cost Price]]</f>
        <v>36354.5</v>
      </c>
      <c r="L1328" s="13">
        <f>Orders[[#This Row],[Revenue]]-Orders[[#This Row],[Expenses]]</f>
        <v>6415.5</v>
      </c>
      <c r="M1328" t="s">
        <v>2195</v>
      </c>
      <c r="N1328" t="str">
        <f>_xlfn.XLOOKUP(Orders[[#This Row],[CustomerID]],Customers[CustomerID],Customers[CustomerName])</f>
        <v>Ibrahim Okonkwo</v>
      </c>
      <c r="O1328" t="str">
        <f>_xlfn.XLOOKUP(Orders[[#This Row],[CustomerID]],Customers[CustomerID],Customers[City])</f>
        <v>Florida</v>
      </c>
      <c r="P1328" t="str">
        <f>_xlfn.XLOOKUP(Orders[[#This Row],[CustomerID]],Customers[CustomerID],Customers[Gender])</f>
        <v>Male</v>
      </c>
      <c r="Q1328">
        <f>_xlfn.XLOOKUP(Orders[[#This Row],[CustomerID]],Customers[CustomerID],Customers[CustomerAge])</f>
        <v>49</v>
      </c>
      <c r="R1328" t="str">
        <f>IF(Orders[[#This Row],[CustomerAge]]&gt;=35, "Older", "Young")</f>
        <v>Older</v>
      </c>
      <c r="S1328" t="str">
        <f>_xlfn.XLOOKUP(Orders[[#This Row],[ProductID]],Products[ProductID],Products[ProductName])</f>
        <v>Gold Rings</v>
      </c>
      <c r="T1328" t="str">
        <f>_xlfn.XLOOKUP(Orders[[#This Row],[ProductID]],Products[ProductID],Products[Category])</f>
        <v>Accessories</v>
      </c>
    </row>
    <row r="1329" spans="1:20" x14ac:dyDescent="0.25">
      <c r="A1329" s="4" t="s">
        <v>1518</v>
      </c>
      <c r="B1329" s="5">
        <v>46010</v>
      </c>
      <c r="C1329" s="15">
        <f>WEEKNUM(Orders[[#This Row],[OrderDate]])</f>
        <v>51</v>
      </c>
      <c r="D1329" s="15" t="str">
        <f>TEXT(Orders[[#This Row],[OrderDate]],"mmmm")</f>
        <v>December</v>
      </c>
      <c r="E1329" s="4" t="s">
        <v>282</v>
      </c>
      <c r="F1329" s="4" t="s">
        <v>60</v>
      </c>
      <c r="G1329" s="4">
        <v>8</v>
      </c>
      <c r="H1329" s="12">
        <v>14195.5</v>
      </c>
      <c r="I1329" s="13">
        <v>12066.174999999999</v>
      </c>
      <c r="J1329" s="13">
        <f>Orders[[#This Row],[Quantity]]*Orders[[#This Row],[Selling Price]]</f>
        <v>113564</v>
      </c>
      <c r="K1329" s="13">
        <f>Orders[[#This Row],[Quantity]]*Orders[[#This Row],[Cost Price]]</f>
        <v>96529.4</v>
      </c>
      <c r="L1329" s="13">
        <f>Orders[[#This Row],[Revenue]]-Orders[[#This Row],[Expenses]]</f>
        <v>17034.600000000006</v>
      </c>
      <c r="M1329" t="s">
        <v>2202</v>
      </c>
      <c r="N1329" t="str">
        <f>_xlfn.XLOOKUP(Orders[[#This Row],[CustomerID]],Customers[CustomerID],Customers[CustomerName])</f>
        <v>Bisi Ojo</v>
      </c>
      <c r="O1329" t="str">
        <f>_xlfn.XLOOKUP(Orders[[#This Row],[CustomerID]],Customers[CustomerID],Customers[City])</f>
        <v>Texas</v>
      </c>
      <c r="P1329" t="str">
        <f>_xlfn.XLOOKUP(Orders[[#This Row],[CustomerID]],Customers[CustomerID],Customers[Gender])</f>
        <v>Female</v>
      </c>
      <c r="Q1329">
        <f>_xlfn.XLOOKUP(Orders[[#This Row],[CustomerID]],Customers[CustomerID],Customers[CustomerAge])</f>
        <v>26</v>
      </c>
      <c r="R1329" t="str">
        <f>IF(Orders[[#This Row],[CustomerAge]]&gt;=35, "Older", "Young")</f>
        <v>Young</v>
      </c>
      <c r="S1329" t="str">
        <f>_xlfn.XLOOKUP(Orders[[#This Row],[ProductID]],Products[ProductID],Products[ProductName])</f>
        <v>Silver Rings</v>
      </c>
      <c r="T1329" t="str">
        <f>_xlfn.XLOOKUP(Orders[[#This Row],[ProductID]],Products[ProductID],Products[Category])</f>
        <v>Accessories</v>
      </c>
    </row>
    <row r="1330" spans="1:20" x14ac:dyDescent="0.25">
      <c r="A1330" s="4" t="s">
        <v>1519</v>
      </c>
      <c r="B1330" s="5">
        <v>45949</v>
      </c>
      <c r="C1330" s="15">
        <f>WEEKNUM(Orders[[#This Row],[OrderDate]])</f>
        <v>43</v>
      </c>
      <c r="D1330" s="15" t="str">
        <f>TEXT(Orders[[#This Row],[OrderDate]],"mmmm")</f>
        <v>October</v>
      </c>
      <c r="E1330" s="4" t="s">
        <v>481</v>
      </c>
      <c r="F1330" s="4" t="s">
        <v>120</v>
      </c>
      <c r="G1330" s="4">
        <v>10</v>
      </c>
      <c r="H1330" s="12">
        <v>19922.7</v>
      </c>
      <c r="I1330" s="13">
        <v>16934.295000000002</v>
      </c>
      <c r="J1330" s="13">
        <f>Orders[[#This Row],[Quantity]]*Orders[[#This Row],[Selling Price]]</f>
        <v>199227</v>
      </c>
      <c r="K1330" s="13">
        <f>Orders[[#This Row],[Quantity]]*Orders[[#This Row],[Cost Price]]</f>
        <v>169342.95</v>
      </c>
      <c r="L1330" s="13">
        <f>Orders[[#This Row],[Revenue]]-Orders[[#This Row],[Expenses]]</f>
        <v>29884.049999999988</v>
      </c>
      <c r="M1330" t="s">
        <v>2215</v>
      </c>
      <c r="N1330" t="str">
        <f>_xlfn.XLOOKUP(Orders[[#This Row],[CustomerID]],Customers[CustomerID],Customers[CustomerName])</f>
        <v>Abiola Bello</v>
      </c>
      <c r="O1330" t="str">
        <f>_xlfn.XLOOKUP(Orders[[#This Row],[CustomerID]],Customers[CustomerID],Customers[City])</f>
        <v>Illinois</v>
      </c>
      <c r="P1330" t="str">
        <f>_xlfn.XLOOKUP(Orders[[#This Row],[CustomerID]],Customers[CustomerID],Customers[Gender])</f>
        <v>Male</v>
      </c>
      <c r="Q1330">
        <f>_xlfn.XLOOKUP(Orders[[#This Row],[CustomerID]],Customers[CustomerID],Customers[CustomerAge])</f>
        <v>33</v>
      </c>
      <c r="R1330" t="str">
        <f>IF(Orders[[#This Row],[CustomerAge]]&gt;=35, "Older", "Young")</f>
        <v>Young</v>
      </c>
      <c r="S1330" t="str">
        <f>_xlfn.XLOOKUP(Orders[[#This Row],[ProductID]],Products[ProductID],Products[ProductName])</f>
        <v>Chess</v>
      </c>
      <c r="T1330" t="str">
        <f>_xlfn.XLOOKUP(Orders[[#This Row],[ProductID]],Products[ProductID],Products[Category])</f>
        <v>Games</v>
      </c>
    </row>
    <row r="1331" spans="1:20" x14ac:dyDescent="0.25">
      <c r="A1331" s="4" t="s">
        <v>1520</v>
      </c>
      <c r="B1331" s="5">
        <v>46011</v>
      </c>
      <c r="C1331" s="15">
        <f>WEEKNUM(Orders[[#This Row],[OrderDate]])</f>
        <v>51</v>
      </c>
      <c r="D1331" s="15" t="str">
        <f>TEXT(Orders[[#This Row],[OrderDate]],"mmmm")</f>
        <v>December</v>
      </c>
      <c r="E1331" s="4" t="s">
        <v>107</v>
      </c>
      <c r="F1331" s="4" t="s">
        <v>130</v>
      </c>
      <c r="G1331" s="4">
        <v>6</v>
      </c>
      <c r="H1331" s="12">
        <v>4124.3</v>
      </c>
      <c r="I1331" s="13">
        <v>3505.6550000000002</v>
      </c>
      <c r="J1331" s="13">
        <f>Orders[[#This Row],[Quantity]]*Orders[[#This Row],[Selling Price]]</f>
        <v>24745.800000000003</v>
      </c>
      <c r="K1331" s="13">
        <f>Orders[[#This Row],[Quantity]]*Orders[[#This Row],[Cost Price]]</f>
        <v>21033.93</v>
      </c>
      <c r="L1331" s="13">
        <f>Orders[[#This Row],[Revenue]]-Orders[[#This Row],[Expenses]]</f>
        <v>3711.8700000000026</v>
      </c>
      <c r="M1331" t="s">
        <v>2214</v>
      </c>
      <c r="N1331" t="str">
        <f>_xlfn.XLOOKUP(Orders[[#This Row],[CustomerID]],Customers[CustomerID],Customers[CustomerName])</f>
        <v>Blessing Eze</v>
      </c>
      <c r="O1331" t="str">
        <f>_xlfn.XLOOKUP(Orders[[#This Row],[CustomerID]],Customers[CustomerID],Customers[City])</f>
        <v>Texas</v>
      </c>
      <c r="P1331" t="str">
        <f>_xlfn.XLOOKUP(Orders[[#This Row],[CustomerID]],Customers[CustomerID],Customers[Gender])</f>
        <v>Female</v>
      </c>
      <c r="Q1331">
        <f>_xlfn.XLOOKUP(Orders[[#This Row],[CustomerID]],Customers[CustomerID],Customers[CustomerAge])</f>
        <v>44</v>
      </c>
      <c r="R1331" t="str">
        <f>IF(Orders[[#This Row],[CustomerAge]]&gt;=35, "Older", "Young")</f>
        <v>Older</v>
      </c>
      <c r="S1331" t="str">
        <f>_xlfn.XLOOKUP(Orders[[#This Row],[ProductID]],Products[ProductID],Products[ProductName])</f>
        <v>Gold Earrings And Necklaces</v>
      </c>
      <c r="T1331" t="str">
        <f>_xlfn.XLOOKUP(Orders[[#This Row],[ProductID]],Products[ProductID],Products[Category])</f>
        <v>Accessories</v>
      </c>
    </row>
    <row r="1332" spans="1:20" x14ac:dyDescent="0.25">
      <c r="A1332" s="4" t="s">
        <v>1521</v>
      </c>
      <c r="B1332" s="5">
        <v>46013</v>
      </c>
      <c r="C1332" s="15">
        <f>WEEKNUM(Orders[[#This Row],[OrderDate]])</f>
        <v>52</v>
      </c>
      <c r="D1332" s="15" t="str">
        <f>TEXT(Orders[[#This Row],[OrderDate]],"mmmm")</f>
        <v>December</v>
      </c>
      <c r="E1332" s="4" t="s">
        <v>481</v>
      </c>
      <c r="F1332" s="4" t="s">
        <v>57</v>
      </c>
      <c r="G1332" s="4">
        <v>7</v>
      </c>
      <c r="H1332" s="12">
        <v>16797.7</v>
      </c>
      <c r="I1332" s="13">
        <v>14278.045</v>
      </c>
      <c r="J1332" s="13">
        <f>Orders[[#This Row],[Quantity]]*Orders[[#This Row],[Selling Price]]</f>
        <v>117583.90000000001</v>
      </c>
      <c r="K1332" s="13">
        <f>Orders[[#This Row],[Quantity]]*Orders[[#This Row],[Cost Price]]</f>
        <v>99946.315000000002</v>
      </c>
      <c r="L1332" s="13">
        <f>Orders[[#This Row],[Revenue]]-Orders[[#This Row],[Expenses]]</f>
        <v>17637.585000000006</v>
      </c>
      <c r="M1332" t="s">
        <v>2218</v>
      </c>
      <c r="N1332" t="str">
        <f>_xlfn.XLOOKUP(Orders[[#This Row],[CustomerID]],Customers[CustomerID],Customers[CustomerName])</f>
        <v>Abiola Bello</v>
      </c>
      <c r="O1332" t="str">
        <f>_xlfn.XLOOKUP(Orders[[#This Row],[CustomerID]],Customers[CustomerID],Customers[City])</f>
        <v>Illinois</v>
      </c>
      <c r="P1332" t="str">
        <f>_xlfn.XLOOKUP(Orders[[#This Row],[CustomerID]],Customers[CustomerID],Customers[Gender])</f>
        <v>Male</v>
      </c>
      <c r="Q1332">
        <f>_xlfn.XLOOKUP(Orders[[#This Row],[CustomerID]],Customers[CustomerID],Customers[CustomerAge])</f>
        <v>33</v>
      </c>
      <c r="R1332" t="str">
        <f>IF(Orders[[#This Row],[CustomerAge]]&gt;=35, "Older", "Young")</f>
        <v>Young</v>
      </c>
      <c r="S1332" t="str">
        <f>_xlfn.XLOOKUP(Orders[[#This Row],[ProductID]],Products[ProductID],Products[ProductName])</f>
        <v>Badminton Racket</v>
      </c>
      <c r="T1332" t="str">
        <f>_xlfn.XLOOKUP(Orders[[#This Row],[ProductID]],Products[ProductID],Products[Category])</f>
        <v>Sports</v>
      </c>
    </row>
    <row r="1333" spans="1:20" x14ac:dyDescent="0.25">
      <c r="A1333" s="4" t="s">
        <v>1522</v>
      </c>
      <c r="B1333" s="5">
        <v>46003</v>
      </c>
      <c r="C1333" s="15">
        <f>WEEKNUM(Orders[[#This Row],[OrderDate]])</f>
        <v>50</v>
      </c>
      <c r="D1333" s="15" t="str">
        <f>TEXT(Orders[[#This Row],[OrderDate]],"mmmm")</f>
        <v>December</v>
      </c>
      <c r="E1333" s="4" t="s">
        <v>439</v>
      </c>
      <c r="F1333" s="4" t="s">
        <v>46</v>
      </c>
      <c r="G1333" s="4">
        <v>4</v>
      </c>
      <c r="H1333" s="12">
        <v>9334.1999999999989</v>
      </c>
      <c r="I1333" s="13">
        <v>7934.0699999999988</v>
      </c>
      <c r="J1333" s="13">
        <f>Orders[[#This Row],[Quantity]]*Orders[[#This Row],[Selling Price]]</f>
        <v>37336.799999999996</v>
      </c>
      <c r="K1333" s="13">
        <f>Orders[[#This Row],[Quantity]]*Orders[[#This Row],[Cost Price]]</f>
        <v>31736.279999999995</v>
      </c>
      <c r="L1333" s="13">
        <f>Orders[[#This Row],[Revenue]]-Orders[[#This Row],[Expenses]]</f>
        <v>5600.52</v>
      </c>
      <c r="M1333" t="s">
        <v>2195</v>
      </c>
      <c r="N1333" t="str">
        <f>_xlfn.XLOOKUP(Orders[[#This Row],[CustomerID]],Customers[CustomerID],Customers[CustomerName])</f>
        <v>Efe Abubakar</v>
      </c>
      <c r="O1333" t="str">
        <f>_xlfn.XLOOKUP(Orders[[#This Row],[CustomerID]],Customers[CustomerID],Customers[City])</f>
        <v>Texas</v>
      </c>
      <c r="P1333" t="str">
        <f>_xlfn.XLOOKUP(Orders[[#This Row],[CustomerID]],Customers[CustomerID],Customers[Gender])</f>
        <v>Female</v>
      </c>
      <c r="Q1333">
        <f>_xlfn.XLOOKUP(Orders[[#This Row],[CustomerID]],Customers[CustomerID],Customers[CustomerAge])</f>
        <v>50</v>
      </c>
      <c r="R1333" t="str">
        <f>IF(Orders[[#This Row],[CustomerAge]]&gt;=35, "Older", "Young")</f>
        <v>Older</v>
      </c>
      <c r="S1333" t="str">
        <f>_xlfn.XLOOKUP(Orders[[#This Row],[ProductID]],Products[ProductID],Products[ProductName])</f>
        <v>Turtle Neck</v>
      </c>
      <c r="T1333" t="str">
        <f>_xlfn.XLOOKUP(Orders[[#This Row],[ProductID]],Products[ProductID],Products[Category])</f>
        <v>Clothing</v>
      </c>
    </row>
    <row r="1334" spans="1:20" x14ac:dyDescent="0.25">
      <c r="A1334" s="4" t="s">
        <v>1523</v>
      </c>
      <c r="B1334" s="5">
        <v>45967</v>
      </c>
      <c r="C1334" s="15">
        <f>WEEKNUM(Orders[[#This Row],[OrderDate]])</f>
        <v>45</v>
      </c>
      <c r="D1334" s="15" t="str">
        <f>TEXT(Orders[[#This Row],[OrderDate]],"mmmm")</f>
        <v>November</v>
      </c>
      <c r="E1334" s="4" t="s">
        <v>148</v>
      </c>
      <c r="F1334" s="4" t="s">
        <v>70</v>
      </c>
      <c r="G1334" s="4">
        <v>4</v>
      </c>
      <c r="H1334" s="12">
        <v>19007.5</v>
      </c>
      <c r="I1334" s="13">
        <v>16156.375</v>
      </c>
      <c r="J1334" s="13">
        <f>Orders[[#This Row],[Quantity]]*Orders[[#This Row],[Selling Price]]</f>
        <v>76030</v>
      </c>
      <c r="K1334" s="13">
        <f>Orders[[#This Row],[Quantity]]*Orders[[#This Row],[Cost Price]]</f>
        <v>64625.5</v>
      </c>
      <c r="L1334" s="13">
        <f>Orders[[#This Row],[Revenue]]-Orders[[#This Row],[Expenses]]</f>
        <v>11404.5</v>
      </c>
      <c r="M1334" t="s">
        <v>2208</v>
      </c>
      <c r="N1334" t="str">
        <f>_xlfn.XLOOKUP(Orders[[#This Row],[CustomerID]],Customers[CustomerID],Customers[CustomerName])</f>
        <v>Zainab Abubakar</v>
      </c>
      <c r="O1334" t="str">
        <f>_xlfn.XLOOKUP(Orders[[#This Row],[CustomerID]],Customers[CustomerID],Customers[City])</f>
        <v>Florida</v>
      </c>
      <c r="P1334" t="str">
        <f>_xlfn.XLOOKUP(Orders[[#This Row],[CustomerID]],Customers[CustomerID],Customers[Gender])</f>
        <v>Female</v>
      </c>
      <c r="Q1334">
        <f>_xlfn.XLOOKUP(Orders[[#This Row],[CustomerID]],Customers[CustomerID],Customers[CustomerAge])</f>
        <v>29</v>
      </c>
      <c r="R1334" t="str">
        <f>IF(Orders[[#This Row],[CustomerAge]]&gt;=35, "Older", "Young")</f>
        <v>Young</v>
      </c>
      <c r="S1334" t="str">
        <f>_xlfn.XLOOKUP(Orders[[#This Row],[ProductID]],Products[ProductID],Products[ProductName])</f>
        <v>Yoga Mat</v>
      </c>
      <c r="T1334" t="str">
        <f>_xlfn.XLOOKUP(Orders[[#This Row],[ProductID]],Products[ProductID],Products[Category])</f>
        <v>Gym</v>
      </c>
    </row>
    <row r="1335" spans="1:20" x14ac:dyDescent="0.25">
      <c r="A1335" s="4" t="s">
        <v>1524</v>
      </c>
      <c r="B1335" s="5">
        <v>45961</v>
      </c>
      <c r="C1335" s="15">
        <f>WEEKNUM(Orders[[#This Row],[OrderDate]])</f>
        <v>44</v>
      </c>
      <c r="D1335" s="15" t="str">
        <f>TEXT(Orders[[#This Row],[OrderDate]],"mmmm")</f>
        <v>October</v>
      </c>
      <c r="E1335" s="4" t="s">
        <v>89</v>
      </c>
      <c r="F1335" s="4" t="s">
        <v>46</v>
      </c>
      <c r="G1335" s="4">
        <v>8</v>
      </c>
      <c r="H1335" s="12">
        <v>14051.300000000001</v>
      </c>
      <c r="I1335" s="13">
        <v>11943.605000000001</v>
      </c>
      <c r="J1335" s="13">
        <f>Orders[[#This Row],[Quantity]]*Orders[[#This Row],[Selling Price]]</f>
        <v>112410.40000000001</v>
      </c>
      <c r="K1335" s="13">
        <f>Orders[[#This Row],[Quantity]]*Orders[[#This Row],[Cost Price]]</f>
        <v>95548.840000000011</v>
      </c>
      <c r="L1335" s="13">
        <f>Orders[[#This Row],[Revenue]]-Orders[[#This Row],[Expenses]]</f>
        <v>16861.559999999998</v>
      </c>
      <c r="M1335" t="s">
        <v>2202</v>
      </c>
      <c r="N1335" t="str">
        <f>_xlfn.XLOOKUP(Orders[[#This Row],[CustomerID]],Customers[CustomerID],Customers[CustomerName])</f>
        <v>Blessing Balogun</v>
      </c>
      <c r="O1335" t="str">
        <f>_xlfn.XLOOKUP(Orders[[#This Row],[CustomerID]],Customers[CustomerID],Customers[City])</f>
        <v>Washington</v>
      </c>
      <c r="P1335" t="str">
        <f>_xlfn.XLOOKUP(Orders[[#This Row],[CustomerID]],Customers[CustomerID],Customers[Gender])</f>
        <v>Female</v>
      </c>
      <c r="Q1335">
        <f>_xlfn.XLOOKUP(Orders[[#This Row],[CustomerID]],Customers[CustomerID],Customers[CustomerAge])</f>
        <v>19</v>
      </c>
      <c r="R1335" t="str">
        <f>IF(Orders[[#This Row],[CustomerAge]]&gt;=35, "Older", "Young")</f>
        <v>Young</v>
      </c>
      <c r="S1335" t="str">
        <f>_xlfn.XLOOKUP(Orders[[#This Row],[ProductID]],Products[ProductID],Products[ProductName])</f>
        <v>Turtle Neck</v>
      </c>
      <c r="T1335" t="str">
        <f>_xlfn.XLOOKUP(Orders[[#This Row],[ProductID]],Products[ProductID],Products[Category])</f>
        <v>Clothing</v>
      </c>
    </row>
    <row r="1336" spans="1:20" x14ac:dyDescent="0.25">
      <c r="A1336" s="4" t="s">
        <v>1525</v>
      </c>
      <c r="B1336" s="5">
        <v>45963</v>
      </c>
      <c r="C1336" s="15">
        <f>WEEKNUM(Orders[[#This Row],[OrderDate]])</f>
        <v>45</v>
      </c>
      <c r="D1336" s="15" t="str">
        <f>TEXT(Orders[[#This Row],[OrderDate]],"mmmm")</f>
        <v>November</v>
      </c>
      <c r="E1336" s="4" t="s">
        <v>327</v>
      </c>
      <c r="F1336" s="4" t="s">
        <v>208</v>
      </c>
      <c r="G1336" s="4">
        <v>6</v>
      </c>
      <c r="H1336" s="12">
        <v>18615.7</v>
      </c>
      <c r="I1336" s="13">
        <v>15823.345000000001</v>
      </c>
      <c r="J1336" s="13">
        <f>Orders[[#This Row],[Quantity]]*Orders[[#This Row],[Selling Price]]</f>
        <v>111694.20000000001</v>
      </c>
      <c r="K1336" s="13">
        <f>Orders[[#This Row],[Quantity]]*Orders[[#This Row],[Cost Price]]</f>
        <v>94940.07</v>
      </c>
      <c r="L1336" s="13">
        <f>Orders[[#This Row],[Revenue]]-Orders[[#This Row],[Expenses]]</f>
        <v>16754.130000000005</v>
      </c>
      <c r="M1336" t="s">
        <v>2196</v>
      </c>
      <c r="N1336" t="str">
        <f>_xlfn.XLOOKUP(Orders[[#This Row],[CustomerID]],Customers[CustomerID],Customers[CustomerName])</f>
        <v>Folasade Ojo</v>
      </c>
      <c r="O1336" t="str">
        <f>_xlfn.XLOOKUP(Orders[[#This Row],[CustomerID]],Customers[CustomerID],Customers[City])</f>
        <v>Washington</v>
      </c>
      <c r="P1336" t="str">
        <f>_xlfn.XLOOKUP(Orders[[#This Row],[CustomerID]],Customers[CustomerID],Customers[Gender])</f>
        <v>Female</v>
      </c>
      <c r="Q1336">
        <f>_xlfn.XLOOKUP(Orders[[#This Row],[CustomerID]],Customers[CustomerID],Customers[CustomerAge])</f>
        <v>24</v>
      </c>
      <c r="R1336" t="str">
        <f>IF(Orders[[#This Row],[CustomerAge]]&gt;=35, "Older", "Young")</f>
        <v>Young</v>
      </c>
      <c r="S1336" t="str">
        <f>_xlfn.XLOOKUP(Orders[[#This Row],[ProductID]],Products[ProductID],Products[ProductName])</f>
        <v>Skipping Rope</v>
      </c>
      <c r="T1336" t="str">
        <f>_xlfn.XLOOKUP(Orders[[#This Row],[ProductID]],Products[ProductID],Products[Category])</f>
        <v>Sports</v>
      </c>
    </row>
    <row r="1337" spans="1:20" x14ac:dyDescent="0.25">
      <c r="A1337" s="4" t="s">
        <v>1526</v>
      </c>
      <c r="B1337" s="5">
        <v>45992</v>
      </c>
      <c r="C1337" s="15">
        <f>WEEKNUM(Orders[[#This Row],[OrderDate]])</f>
        <v>49</v>
      </c>
      <c r="D1337" s="15" t="str">
        <f>TEXT(Orders[[#This Row],[OrderDate]],"mmmm")</f>
        <v>December</v>
      </c>
      <c r="E1337" s="4" t="s">
        <v>295</v>
      </c>
      <c r="F1337" s="4" t="s">
        <v>84</v>
      </c>
      <c r="G1337" s="4">
        <v>4</v>
      </c>
      <c r="H1337" s="12">
        <v>19406.600000000002</v>
      </c>
      <c r="I1337" s="13">
        <v>16495.61</v>
      </c>
      <c r="J1337" s="13">
        <f>Orders[[#This Row],[Quantity]]*Orders[[#This Row],[Selling Price]]</f>
        <v>77626.400000000009</v>
      </c>
      <c r="K1337" s="13">
        <f>Orders[[#This Row],[Quantity]]*Orders[[#This Row],[Cost Price]]</f>
        <v>65982.44</v>
      </c>
      <c r="L1337" s="13">
        <f>Orders[[#This Row],[Revenue]]-Orders[[#This Row],[Expenses]]</f>
        <v>11643.960000000006</v>
      </c>
      <c r="M1337" t="s">
        <v>2199</v>
      </c>
      <c r="N1337" t="str">
        <f>_xlfn.XLOOKUP(Orders[[#This Row],[CustomerID]],Customers[CustomerID],Customers[CustomerName])</f>
        <v>Sani Obi</v>
      </c>
      <c r="O1337" t="str">
        <f>_xlfn.XLOOKUP(Orders[[#This Row],[CustomerID]],Customers[CustomerID],Customers[City])</f>
        <v>Texas</v>
      </c>
      <c r="P1337" t="str">
        <f>_xlfn.XLOOKUP(Orders[[#This Row],[CustomerID]],Customers[CustomerID],Customers[Gender])</f>
        <v>Male</v>
      </c>
      <c r="Q1337">
        <f>_xlfn.XLOOKUP(Orders[[#This Row],[CustomerID]],Customers[CustomerID],Customers[CustomerAge])</f>
        <v>31</v>
      </c>
      <c r="R1337" t="str">
        <f>IF(Orders[[#This Row],[CustomerAge]]&gt;=35, "Older", "Young")</f>
        <v>Young</v>
      </c>
      <c r="S1337" t="str">
        <f>_xlfn.XLOOKUP(Orders[[#This Row],[ProductID]],Products[ProductID],Products[ProductName])</f>
        <v>Gym Wears</v>
      </c>
      <c r="T1337" t="str">
        <f>_xlfn.XLOOKUP(Orders[[#This Row],[ProductID]],Products[ProductID],Products[Category])</f>
        <v>Clothing</v>
      </c>
    </row>
    <row r="1338" spans="1:20" x14ac:dyDescent="0.25">
      <c r="A1338" s="4" t="s">
        <v>1527</v>
      </c>
      <c r="B1338" s="5">
        <v>45986</v>
      </c>
      <c r="C1338" s="15">
        <f>WEEKNUM(Orders[[#This Row],[OrderDate]])</f>
        <v>48</v>
      </c>
      <c r="D1338" s="15" t="str">
        <f>TEXT(Orders[[#This Row],[OrderDate]],"mmmm")</f>
        <v>November</v>
      </c>
      <c r="E1338" s="4" t="s">
        <v>218</v>
      </c>
      <c r="F1338" s="4" t="s">
        <v>9</v>
      </c>
      <c r="G1338" s="4">
        <v>10</v>
      </c>
      <c r="H1338" s="12">
        <v>19176.099999999999</v>
      </c>
      <c r="I1338" s="13">
        <v>16299.684999999999</v>
      </c>
      <c r="J1338" s="13">
        <f>Orders[[#This Row],[Quantity]]*Orders[[#This Row],[Selling Price]]</f>
        <v>191761</v>
      </c>
      <c r="K1338" s="13">
        <f>Orders[[#This Row],[Quantity]]*Orders[[#This Row],[Cost Price]]</f>
        <v>162996.85</v>
      </c>
      <c r="L1338" s="13">
        <f>Orders[[#This Row],[Revenue]]-Orders[[#This Row],[Expenses]]</f>
        <v>28764.149999999994</v>
      </c>
      <c r="M1338" t="s">
        <v>2212</v>
      </c>
      <c r="N1338" t="str">
        <f>_xlfn.XLOOKUP(Orders[[#This Row],[CustomerID]],Customers[CustomerID],Customers[CustomerName])</f>
        <v>Temi Danladi</v>
      </c>
      <c r="O1338" t="str">
        <f>_xlfn.XLOOKUP(Orders[[#This Row],[CustomerID]],Customers[CustomerID],Customers[City])</f>
        <v>Florida</v>
      </c>
      <c r="P1338" t="str">
        <f>_xlfn.XLOOKUP(Orders[[#This Row],[CustomerID]],Customers[CustomerID],Customers[Gender])</f>
        <v>Female</v>
      </c>
      <c r="Q1338">
        <f>_xlfn.XLOOKUP(Orders[[#This Row],[CustomerID]],Customers[CustomerID],Customers[CustomerAge])</f>
        <v>48</v>
      </c>
      <c r="R1338" t="str">
        <f>IF(Orders[[#This Row],[CustomerAge]]&gt;=35, "Older", "Young")</f>
        <v>Older</v>
      </c>
      <c r="S1338" t="str">
        <f>_xlfn.XLOOKUP(Orders[[#This Row],[ProductID]],Products[ProductID],Products[ProductName])</f>
        <v>Beaded Earrings And Necklaces</v>
      </c>
      <c r="T1338" t="str">
        <f>_xlfn.XLOOKUP(Orders[[#This Row],[ProductID]],Products[ProductID],Products[Category])</f>
        <v>Accessories</v>
      </c>
    </row>
    <row r="1339" spans="1:20" x14ac:dyDescent="0.25">
      <c r="A1339" s="4" t="s">
        <v>1528</v>
      </c>
      <c r="B1339" s="5">
        <v>46007</v>
      </c>
      <c r="C1339" s="15">
        <f>WEEKNUM(Orders[[#This Row],[OrderDate]])</f>
        <v>51</v>
      </c>
      <c r="D1339" s="15" t="str">
        <f>TEXT(Orders[[#This Row],[OrderDate]],"mmmm")</f>
        <v>December</v>
      </c>
      <c r="E1339" s="4" t="s">
        <v>87</v>
      </c>
      <c r="F1339" s="4" t="s">
        <v>12</v>
      </c>
      <c r="G1339" s="4">
        <v>6</v>
      </c>
      <c r="H1339" s="12">
        <v>16555.8</v>
      </c>
      <c r="I1339" s="13">
        <v>14072.43</v>
      </c>
      <c r="J1339" s="13">
        <f>Orders[[#This Row],[Quantity]]*Orders[[#This Row],[Selling Price]]</f>
        <v>99334.799999999988</v>
      </c>
      <c r="K1339" s="13">
        <f>Orders[[#This Row],[Quantity]]*Orders[[#This Row],[Cost Price]]</f>
        <v>84434.58</v>
      </c>
      <c r="L1339" s="13">
        <f>Orders[[#This Row],[Revenue]]-Orders[[#This Row],[Expenses]]</f>
        <v>14900.219999999987</v>
      </c>
      <c r="M1339" t="s">
        <v>2213</v>
      </c>
      <c r="N1339" t="str">
        <f>_xlfn.XLOOKUP(Orders[[#This Row],[CustomerID]],Customers[CustomerID],Customers[CustomerName])</f>
        <v>Efe Igwe</v>
      </c>
      <c r="O1339" t="str">
        <f>_xlfn.XLOOKUP(Orders[[#This Row],[CustomerID]],Customers[CustomerID],Customers[City])</f>
        <v>Illinois</v>
      </c>
      <c r="P1339" t="str">
        <f>_xlfn.XLOOKUP(Orders[[#This Row],[CustomerID]],Customers[CustomerID],Customers[Gender])</f>
        <v>Female</v>
      </c>
      <c r="Q1339">
        <f>_xlfn.XLOOKUP(Orders[[#This Row],[CustomerID]],Customers[CustomerID],Customers[CustomerAge])</f>
        <v>34</v>
      </c>
      <c r="R1339" t="str">
        <f>IF(Orders[[#This Row],[CustomerAge]]&gt;=35, "Older", "Young")</f>
        <v>Young</v>
      </c>
      <c r="S1339" t="str">
        <f>_xlfn.XLOOKUP(Orders[[#This Row],[ProductID]],Products[ProductID],Products[ProductName])</f>
        <v>Boubou</v>
      </c>
      <c r="T1339" t="str">
        <f>_xlfn.XLOOKUP(Orders[[#This Row],[ProductID]],Products[ProductID],Products[Category])</f>
        <v>Clothing</v>
      </c>
    </row>
    <row r="1340" spans="1:20" x14ac:dyDescent="0.25">
      <c r="A1340" s="4" t="s">
        <v>1529</v>
      </c>
      <c r="B1340" s="5">
        <v>45984</v>
      </c>
      <c r="C1340" s="15">
        <f>WEEKNUM(Orders[[#This Row],[OrderDate]])</f>
        <v>48</v>
      </c>
      <c r="D1340" s="15" t="str">
        <f>TEXT(Orders[[#This Row],[OrderDate]],"mmmm")</f>
        <v>November</v>
      </c>
      <c r="E1340" s="4" t="s">
        <v>178</v>
      </c>
      <c r="F1340" s="4" t="s">
        <v>189</v>
      </c>
      <c r="G1340" s="4">
        <v>8</v>
      </c>
      <c r="H1340" s="12">
        <v>17494.100000000002</v>
      </c>
      <c r="I1340" s="13">
        <v>14869.985000000002</v>
      </c>
      <c r="J1340" s="13">
        <f>Orders[[#This Row],[Quantity]]*Orders[[#This Row],[Selling Price]]</f>
        <v>139952.80000000002</v>
      </c>
      <c r="K1340" s="13">
        <f>Orders[[#This Row],[Quantity]]*Orders[[#This Row],[Cost Price]]</f>
        <v>118959.88000000002</v>
      </c>
      <c r="L1340" s="13">
        <f>Orders[[#This Row],[Revenue]]-Orders[[#This Row],[Expenses]]</f>
        <v>20992.92</v>
      </c>
      <c r="M1340" t="s">
        <v>2207</v>
      </c>
      <c r="N1340" t="str">
        <f>_xlfn.XLOOKUP(Orders[[#This Row],[CustomerID]],Customers[CustomerID],Customers[CustomerName])</f>
        <v>Ibrahim Igwe</v>
      </c>
      <c r="O1340" t="str">
        <f>_xlfn.XLOOKUP(Orders[[#This Row],[CustomerID]],Customers[CustomerID],Customers[City])</f>
        <v>Florida</v>
      </c>
      <c r="P1340" t="str">
        <f>_xlfn.XLOOKUP(Orders[[#This Row],[CustomerID]],Customers[CustomerID],Customers[Gender])</f>
        <v>Male</v>
      </c>
      <c r="Q1340">
        <f>_xlfn.XLOOKUP(Orders[[#This Row],[CustomerID]],Customers[CustomerID],Customers[CustomerAge])</f>
        <v>19</v>
      </c>
      <c r="R1340" t="str">
        <f>IF(Orders[[#This Row],[CustomerAge]]&gt;=35, "Older", "Young")</f>
        <v>Young</v>
      </c>
      <c r="S1340" t="str">
        <f>_xlfn.XLOOKUP(Orders[[#This Row],[ProductID]],Products[ProductID],Products[ProductName])</f>
        <v>Scrabble</v>
      </c>
      <c r="T1340" t="str">
        <f>_xlfn.XLOOKUP(Orders[[#This Row],[ProductID]],Products[ProductID],Products[Category])</f>
        <v>Games</v>
      </c>
    </row>
    <row r="1341" spans="1:20" x14ac:dyDescent="0.25">
      <c r="A1341" s="4" t="s">
        <v>1530</v>
      </c>
      <c r="B1341" s="5">
        <v>46022</v>
      </c>
      <c r="C1341" s="15">
        <f>WEEKNUM(Orders[[#This Row],[OrderDate]])</f>
        <v>53</v>
      </c>
      <c r="D1341" s="15" t="str">
        <f>TEXT(Orders[[#This Row],[OrderDate]],"mmmm")</f>
        <v>December</v>
      </c>
      <c r="E1341" s="4" t="s">
        <v>521</v>
      </c>
      <c r="F1341" s="4" t="s">
        <v>208</v>
      </c>
      <c r="G1341" s="4">
        <v>6</v>
      </c>
      <c r="H1341" s="12">
        <v>8811.2999999999993</v>
      </c>
      <c r="I1341" s="13">
        <v>7489.6049999999996</v>
      </c>
      <c r="J1341" s="13">
        <f>Orders[[#This Row],[Quantity]]*Orders[[#This Row],[Selling Price]]</f>
        <v>52867.799999999996</v>
      </c>
      <c r="K1341" s="13">
        <f>Orders[[#This Row],[Quantity]]*Orders[[#This Row],[Cost Price]]</f>
        <v>44937.63</v>
      </c>
      <c r="L1341" s="13">
        <f>Orders[[#This Row],[Revenue]]-Orders[[#This Row],[Expenses]]</f>
        <v>7930.1699999999983</v>
      </c>
      <c r="M1341" t="s">
        <v>2215</v>
      </c>
      <c r="N1341" t="str">
        <f>_xlfn.XLOOKUP(Orders[[#This Row],[CustomerID]],Customers[CustomerID],Customers[CustomerName])</f>
        <v>Ronke Eze</v>
      </c>
      <c r="O1341" t="str">
        <f>_xlfn.XLOOKUP(Orders[[#This Row],[CustomerID]],Customers[CustomerID],Customers[City])</f>
        <v>Illinois</v>
      </c>
      <c r="P1341" t="str">
        <f>_xlfn.XLOOKUP(Orders[[#This Row],[CustomerID]],Customers[CustomerID],Customers[Gender])</f>
        <v>Female</v>
      </c>
      <c r="Q1341">
        <f>_xlfn.XLOOKUP(Orders[[#This Row],[CustomerID]],Customers[CustomerID],Customers[CustomerAge])</f>
        <v>25</v>
      </c>
      <c r="R1341" t="str">
        <f>IF(Orders[[#This Row],[CustomerAge]]&gt;=35, "Older", "Young")</f>
        <v>Young</v>
      </c>
      <c r="S1341" t="str">
        <f>_xlfn.XLOOKUP(Orders[[#This Row],[ProductID]],Products[ProductID],Products[ProductName])</f>
        <v>Skipping Rope</v>
      </c>
      <c r="T1341" t="str">
        <f>_xlfn.XLOOKUP(Orders[[#This Row],[ProductID]],Products[ProductID],Products[Category])</f>
        <v>Sports</v>
      </c>
    </row>
    <row r="1342" spans="1:20" x14ac:dyDescent="0.25">
      <c r="A1342" s="4" t="s">
        <v>1531</v>
      </c>
      <c r="B1342" s="5">
        <v>45964</v>
      </c>
      <c r="C1342" s="15">
        <f>WEEKNUM(Orders[[#This Row],[OrderDate]])</f>
        <v>45</v>
      </c>
      <c r="D1342" s="15" t="str">
        <f>TEXT(Orders[[#This Row],[OrderDate]],"mmmm")</f>
        <v>November</v>
      </c>
      <c r="E1342" s="4" t="s">
        <v>410</v>
      </c>
      <c r="F1342" s="4" t="s">
        <v>151</v>
      </c>
      <c r="G1342" s="4">
        <v>7</v>
      </c>
      <c r="H1342" s="12">
        <v>6871.7</v>
      </c>
      <c r="I1342" s="13">
        <v>5840.9449999999997</v>
      </c>
      <c r="J1342" s="13">
        <f>Orders[[#This Row],[Quantity]]*Orders[[#This Row],[Selling Price]]</f>
        <v>48101.9</v>
      </c>
      <c r="K1342" s="13">
        <f>Orders[[#This Row],[Quantity]]*Orders[[#This Row],[Cost Price]]</f>
        <v>40886.614999999998</v>
      </c>
      <c r="L1342" s="13">
        <f>Orders[[#This Row],[Revenue]]-Orders[[#This Row],[Expenses]]</f>
        <v>7215.2850000000035</v>
      </c>
      <c r="M1342" t="s">
        <v>2196</v>
      </c>
      <c r="N1342" t="str">
        <f>_xlfn.XLOOKUP(Orders[[#This Row],[CustomerID]],Customers[CustomerID],Customers[CustomerName])</f>
        <v>Jane Thomas</v>
      </c>
      <c r="O1342" t="str">
        <f>_xlfn.XLOOKUP(Orders[[#This Row],[CustomerID]],Customers[CustomerID],Customers[City])</f>
        <v>Texas</v>
      </c>
      <c r="P1342" t="str">
        <f>_xlfn.XLOOKUP(Orders[[#This Row],[CustomerID]],Customers[CustomerID],Customers[Gender])</f>
        <v>Male</v>
      </c>
      <c r="Q1342">
        <f>_xlfn.XLOOKUP(Orders[[#This Row],[CustomerID]],Customers[CustomerID],Customers[CustomerAge])</f>
        <v>21</v>
      </c>
      <c r="R1342" t="str">
        <f>IF(Orders[[#This Row],[CustomerAge]]&gt;=35, "Older", "Young")</f>
        <v>Young</v>
      </c>
      <c r="S1342" t="str">
        <f>_xlfn.XLOOKUP(Orders[[#This Row],[ProductID]],Products[ProductID],Products[ProductName])</f>
        <v>Checkers</v>
      </c>
      <c r="T1342" t="str">
        <f>_xlfn.XLOOKUP(Orders[[#This Row],[ProductID]],Products[ProductID],Products[Category])</f>
        <v>Games</v>
      </c>
    </row>
    <row r="1343" spans="1:20" x14ac:dyDescent="0.25">
      <c r="A1343" s="4" t="s">
        <v>1532</v>
      </c>
      <c r="B1343" s="5">
        <v>46010</v>
      </c>
      <c r="C1343" s="15">
        <f>WEEKNUM(Orders[[#This Row],[OrderDate]])</f>
        <v>51</v>
      </c>
      <c r="D1343" s="15" t="str">
        <f>TEXT(Orders[[#This Row],[OrderDate]],"mmmm")</f>
        <v>December</v>
      </c>
      <c r="E1343" s="4" t="s">
        <v>546</v>
      </c>
      <c r="F1343" s="4" t="s">
        <v>34</v>
      </c>
      <c r="G1343" s="4">
        <v>5</v>
      </c>
      <c r="H1343" s="12">
        <v>7412.1</v>
      </c>
      <c r="I1343" s="13">
        <v>6300.2849999999999</v>
      </c>
      <c r="J1343" s="13">
        <f>Orders[[#This Row],[Quantity]]*Orders[[#This Row],[Selling Price]]</f>
        <v>37060.5</v>
      </c>
      <c r="K1343" s="13">
        <f>Orders[[#This Row],[Quantity]]*Orders[[#This Row],[Cost Price]]</f>
        <v>31501.424999999999</v>
      </c>
      <c r="L1343" s="13">
        <f>Orders[[#This Row],[Revenue]]-Orders[[#This Row],[Expenses]]</f>
        <v>5559.0750000000007</v>
      </c>
      <c r="M1343" t="s">
        <v>2208</v>
      </c>
      <c r="N1343" t="str">
        <f>_xlfn.XLOOKUP(Orders[[#This Row],[CustomerID]],Customers[CustomerID],Customers[CustomerName])</f>
        <v>Bisi Eze</v>
      </c>
      <c r="O1343" t="str">
        <f>_xlfn.XLOOKUP(Orders[[#This Row],[CustomerID]],Customers[CustomerID],Customers[City])</f>
        <v>Texas</v>
      </c>
      <c r="P1343" t="str">
        <f>_xlfn.XLOOKUP(Orders[[#This Row],[CustomerID]],Customers[CustomerID],Customers[Gender])</f>
        <v>Female</v>
      </c>
      <c r="Q1343">
        <f>_xlfn.XLOOKUP(Orders[[#This Row],[CustomerID]],Customers[CustomerID],Customers[CustomerAge])</f>
        <v>32</v>
      </c>
      <c r="R1343" t="str">
        <f>IF(Orders[[#This Row],[CustomerAge]]&gt;=35, "Older", "Young")</f>
        <v>Young</v>
      </c>
      <c r="S1343" t="str">
        <f>_xlfn.XLOOKUP(Orders[[#This Row],[ProductID]],Products[ProductID],Products[ProductName])</f>
        <v>Gold Bracelets</v>
      </c>
      <c r="T1343" t="str">
        <f>_xlfn.XLOOKUP(Orders[[#This Row],[ProductID]],Products[ProductID],Products[Category])</f>
        <v>Accessories</v>
      </c>
    </row>
    <row r="1344" spans="1:20" x14ac:dyDescent="0.25">
      <c r="A1344" s="4" t="s">
        <v>1533</v>
      </c>
      <c r="B1344" s="5">
        <v>46010</v>
      </c>
      <c r="C1344" s="15">
        <f>WEEKNUM(Orders[[#This Row],[OrderDate]])</f>
        <v>51</v>
      </c>
      <c r="D1344" s="15" t="str">
        <f>TEXT(Orders[[#This Row],[OrderDate]],"mmmm")</f>
        <v>December</v>
      </c>
      <c r="E1344" s="4" t="s">
        <v>142</v>
      </c>
      <c r="F1344" s="4" t="s">
        <v>84</v>
      </c>
      <c r="G1344" s="4">
        <v>4</v>
      </c>
      <c r="H1344" s="12">
        <v>16844.3</v>
      </c>
      <c r="I1344" s="13">
        <v>14317.654999999999</v>
      </c>
      <c r="J1344" s="13">
        <f>Orders[[#This Row],[Quantity]]*Orders[[#This Row],[Selling Price]]</f>
        <v>67377.2</v>
      </c>
      <c r="K1344" s="13">
        <f>Orders[[#This Row],[Quantity]]*Orders[[#This Row],[Cost Price]]</f>
        <v>57270.619999999995</v>
      </c>
      <c r="L1344" s="13">
        <f>Orders[[#This Row],[Revenue]]-Orders[[#This Row],[Expenses]]</f>
        <v>10106.580000000002</v>
      </c>
      <c r="M1344" t="s">
        <v>2199</v>
      </c>
      <c r="N1344" t="str">
        <f>_xlfn.XLOOKUP(Orders[[#This Row],[CustomerID]],Customers[CustomerID],Customers[CustomerName])</f>
        <v>Obi Adeyemi</v>
      </c>
      <c r="O1344" t="str">
        <f>_xlfn.XLOOKUP(Orders[[#This Row],[CustomerID]],Customers[CustomerID],Customers[City])</f>
        <v>Florida</v>
      </c>
      <c r="P1344" t="str">
        <f>_xlfn.XLOOKUP(Orders[[#This Row],[CustomerID]],Customers[CustomerID],Customers[Gender])</f>
        <v>Male</v>
      </c>
      <c r="Q1344">
        <f>_xlfn.XLOOKUP(Orders[[#This Row],[CustomerID]],Customers[CustomerID],Customers[CustomerAge])</f>
        <v>31</v>
      </c>
      <c r="R1344" t="str">
        <f>IF(Orders[[#This Row],[CustomerAge]]&gt;=35, "Older", "Young")</f>
        <v>Young</v>
      </c>
      <c r="S1344" t="str">
        <f>_xlfn.XLOOKUP(Orders[[#This Row],[ProductID]],Products[ProductID],Products[ProductName])</f>
        <v>Gym Wears</v>
      </c>
      <c r="T1344" t="str">
        <f>_xlfn.XLOOKUP(Orders[[#This Row],[ProductID]],Products[ProductID],Products[Category])</f>
        <v>Clothing</v>
      </c>
    </row>
    <row r="1345" spans="1:20" x14ac:dyDescent="0.25">
      <c r="A1345" s="4" t="s">
        <v>1534</v>
      </c>
      <c r="B1345" s="5">
        <v>45977</v>
      </c>
      <c r="C1345" s="15">
        <f>WEEKNUM(Orders[[#This Row],[OrderDate]])</f>
        <v>47</v>
      </c>
      <c r="D1345" s="15" t="str">
        <f>TEXT(Orders[[#This Row],[OrderDate]],"mmmm")</f>
        <v>November</v>
      </c>
      <c r="E1345" s="4" t="s">
        <v>223</v>
      </c>
      <c r="F1345" s="4" t="s">
        <v>130</v>
      </c>
      <c r="G1345" s="4">
        <v>8</v>
      </c>
      <c r="H1345" s="12">
        <v>11733.800000000001</v>
      </c>
      <c r="I1345" s="13">
        <v>9973.7300000000014</v>
      </c>
      <c r="J1345" s="13">
        <f>Orders[[#This Row],[Quantity]]*Orders[[#This Row],[Selling Price]]</f>
        <v>93870.400000000009</v>
      </c>
      <c r="K1345" s="13">
        <f>Orders[[#This Row],[Quantity]]*Orders[[#This Row],[Cost Price]]</f>
        <v>79789.840000000011</v>
      </c>
      <c r="L1345" s="13">
        <f>Orders[[#This Row],[Revenue]]-Orders[[#This Row],[Expenses]]</f>
        <v>14080.559999999998</v>
      </c>
      <c r="M1345" t="s">
        <v>2199</v>
      </c>
      <c r="N1345" t="str">
        <f>_xlfn.XLOOKUP(Orders[[#This Row],[CustomerID]],Customers[CustomerID],Customers[CustomerName])</f>
        <v>Blessing Danladi</v>
      </c>
      <c r="O1345" t="str">
        <f>_xlfn.XLOOKUP(Orders[[#This Row],[CustomerID]],Customers[CustomerID],Customers[City])</f>
        <v>Washington</v>
      </c>
      <c r="P1345" t="str">
        <f>_xlfn.XLOOKUP(Orders[[#This Row],[CustomerID]],Customers[CustomerID],Customers[Gender])</f>
        <v>Female</v>
      </c>
      <c r="Q1345">
        <f>_xlfn.XLOOKUP(Orders[[#This Row],[CustomerID]],Customers[CustomerID],Customers[CustomerAge])</f>
        <v>20</v>
      </c>
      <c r="R1345" t="str">
        <f>IF(Orders[[#This Row],[CustomerAge]]&gt;=35, "Older", "Young")</f>
        <v>Young</v>
      </c>
      <c r="S1345" t="str">
        <f>_xlfn.XLOOKUP(Orders[[#This Row],[ProductID]],Products[ProductID],Products[ProductName])</f>
        <v>Gold Earrings And Necklaces</v>
      </c>
      <c r="T1345" t="str">
        <f>_xlfn.XLOOKUP(Orders[[#This Row],[ProductID]],Products[ProductID],Products[Category])</f>
        <v>Accessories</v>
      </c>
    </row>
    <row r="1346" spans="1:20" x14ac:dyDescent="0.25">
      <c r="A1346" s="4" t="s">
        <v>1535</v>
      </c>
      <c r="B1346" s="5">
        <v>45968</v>
      </c>
      <c r="C1346" s="15">
        <f>WEEKNUM(Orders[[#This Row],[OrderDate]])</f>
        <v>45</v>
      </c>
      <c r="D1346" s="15" t="str">
        <f>TEXT(Orders[[#This Row],[OrderDate]],"mmmm")</f>
        <v>November</v>
      </c>
      <c r="E1346" s="4" t="s">
        <v>89</v>
      </c>
      <c r="F1346" s="4" t="s">
        <v>120</v>
      </c>
      <c r="G1346" s="4">
        <v>3</v>
      </c>
      <c r="H1346" s="12">
        <v>14033.599999999999</v>
      </c>
      <c r="I1346" s="13">
        <v>11928.56</v>
      </c>
      <c r="J1346" s="13">
        <f>Orders[[#This Row],[Quantity]]*Orders[[#This Row],[Selling Price]]</f>
        <v>42100.799999999996</v>
      </c>
      <c r="K1346" s="13">
        <f>Orders[[#This Row],[Quantity]]*Orders[[#This Row],[Cost Price]]</f>
        <v>35785.68</v>
      </c>
      <c r="L1346" s="13">
        <f>Orders[[#This Row],[Revenue]]-Orders[[#This Row],[Expenses]]</f>
        <v>6315.1199999999953</v>
      </c>
      <c r="M1346" t="s">
        <v>2193</v>
      </c>
      <c r="N1346" t="str">
        <f>_xlfn.XLOOKUP(Orders[[#This Row],[CustomerID]],Customers[CustomerID],Customers[CustomerName])</f>
        <v>Blessing Balogun</v>
      </c>
      <c r="O1346" t="str">
        <f>_xlfn.XLOOKUP(Orders[[#This Row],[CustomerID]],Customers[CustomerID],Customers[City])</f>
        <v>Washington</v>
      </c>
      <c r="P1346" t="str">
        <f>_xlfn.XLOOKUP(Orders[[#This Row],[CustomerID]],Customers[CustomerID],Customers[Gender])</f>
        <v>Female</v>
      </c>
      <c r="Q1346">
        <f>_xlfn.XLOOKUP(Orders[[#This Row],[CustomerID]],Customers[CustomerID],Customers[CustomerAge])</f>
        <v>19</v>
      </c>
      <c r="R1346" t="str">
        <f>IF(Orders[[#This Row],[CustomerAge]]&gt;=35, "Older", "Young")</f>
        <v>Young</v>
      </c>
      <c r="S1346" t="str">
        <f>_xlfn.XLOOKUP(Orders[[#This Row],[ProductID]],Products[ProductID],Products[ProductName])</f>
        <v>Chess</v>
      </c>
      <c r="T1346" t="str">
        <f>_xlfn.XLOOKUP(Orders[[#This Row],[ProductID]],Products[ProductID],Products[Category])</f>
        <v>Games</v>
      </c>
    </row>
    <row r="1347" spans="1:20" x14ac:dyDescent="0.25">
      <c r="A1347" s="4" t="s">
        <v>1536</v>
      </c>
      <c r="B1347" s="5">
        <v>45956</v>
      </c>
      <c r="C1347" s="15">
        <f>WEEKNUM(Orders[[#This Row],[OrderDate]])</f>
        <v>44</v>
      </c>
      <c r="D1347" s="15" t="str">
        <f>TEXT(Orders[[#This Row],[OrderDate]],"mmmm")</f>
        <v>October</v>
      </c>
      <c r="E1347" s="4" t="s">
        <v>52</v>
      </c>
      <c r="F1347" s="4" t="s">
        <v>12</v>
      </c>
      <c r="G1347" s="4">
        <v>2</v>
      </c>
      <c r="H1347" s="12">
        <v>7435.4</v>
      </c>
      <c r="I1347" s="13">
        <v>6320.09</v>
      </c>
      <c r="J1347" s="13">
        <f>Orders[[#This Row],[Quantity]]*Orders[[#This Row],[Selling Price]]</f>
        <v>14870.8</v>
      </c>
      <c r="K1347" s="13">
        <f>Orders[[#This Row],[Quantity]]*Orders[[#This Row],[Cost Price]]</f>
        <v>12640.18</v>
      </c>
      <c r="L1347" s="13">
        <f>Orders[[#This Row],[Revenue]]-Orders[[#This Row],[Expenses]]</f>
        <v>2230.619999999999</v>
      </c>
      <c r="M1347" t="s">
        <v>2209</v>
      </c>
      <c r="N1347" t="str">
        <f>_xlfn.XLOOKUP(Orders[[#This Row],[CustomerID]],Customers[CustomerID],Customers[CustomerName])</f>
        <v>Folasade Ojo</v>
      </c>
      <c r="O1347" t="str">
        <f>_xlfn.XLOOKUP(Orders[[#This Row],[CustomerID]],Customers[CustomerID],Customers[City])</f>
        <v>Texas</v>
      </c>
      <c r="P1347" t="str">
        <f>_xlfn.XLOOKUP(Orders[[#This Row],[CustomerID]],Customers[CustomerID],Customers[Gender])</f>
        <v>Female</v>
      </c>
      <c r="Q1347">
        <f>_xlfn.XLOOKUP(Orders[[#This Row],[CustomerID]],Customers[CustomerID],Customers[CustomerAge])</f>
        <v>29</v>
      </c>
      <c r="R1347" t="str">
        <f>IF(Orders[[#This Row],[CustomerAge]]&gt;=35, "Older", "Young")</f>
        <v>Young</v>
      </c>
      <c r="S1347" t="str">
        <f>_xlfn.XLOOKUP(Orders[[#This Row],[ProductID]],Products[ProductID],Products[ProductName])</f>
        <v>Boubou</v>
      </c>
      <c r="T1347" t="str">
        <f>_xlfn.XLOOKUP(Orders[[#This Row],[ProductID]],Products[ProductID],Products[Category])</f>
        <v>Clothing</v>
      </c>
    </row>
    <row r="1348" spans="1:20" x14ac:dyDescent="0.25">
      <c r="A1348" s="4" t="s">
        <v>1537</v>
      </c>
      <c r="B1348" s="5">
        <v>46021</v>
      </c>
      <c r="C1348" s="15">
        <f>WEEKNUM(Orders[[#This Row],[OrderDate]])</f>
        <v>53</v>
      </c>
      <c r="D1348" s="15" t="str">
        <f>TEXT(Orders[[#This Row],[OrderDate]],"mmmm")</f>
        <v>December</v>
      </c>
      <c r="E1348" s="4" t="s">
        <v>322</v>
      </c>
      <c r="F1348" s="4" t="s">
        <v>63</v>
      </c>
      <c r="G1348" s="4">
        <v>8</v>
      </c>
      <c r="H1348" s="12">
        <v>5267.3</v>
      </c>
      <c r="I1348" s="13">
        <v>4477.2049999999999</v>
      </c>
      <c r="J1348" s="13">
        <f>Orders[[#This Row],[Quantity]]*Orders[[#This Row],[Selling Price]]</f>
        <v>42138.400000000001</v>
      </c>
      <c r="K1348" s="13">
        <f>Orders[[#This Row],[Quantity]]*Orders[[#This Row],[Cost Price]]</f>
        <v>35817.64</v>
      </c>
      <c r="L1348" s="13">
        <f>Orders[[#This Row],[Revenue]]-Orders[[#This Row],[Expenses]]</f>
        <v>6320.760000000002</v>
      </c>
      <c r="M1348" t="s">
        <v>2218</v>
      </c>
      <c r="N1348" t="str">
        <f>_xlfn.XLOOKUP(Orders[[#This Row],[CustomerID]],Customers[CustomerID],Customers[CustomerName])</f>
        <v>Ngozi Bello</v>
      </c>
      <c r="O1348" t="str">
        <f>_xlfn.XLOOKUP(Orders[[#This Row],[CustomerID]],Customers[CustomerID],Customers[City])</f>
        <v>Washington</v>
      </c>
      <c r="P1348" t="str">
        <f>_xlfn.XLOOKUP(Orders[[#This Row],[CustomerID]],Customers[CustomerID],Customers[Gender])</f>
        <v>Female</v>
      </c>
      <c r="Q1348">
        <f>_xlfn.XLOOKUP(Orders[[#This Row],[CustomerID]],Customers[CustomerID],Customers[CustomerAge])</f>
        <v>32</v>
      </c>
      <c r="R1348" t="str">
        <f>IF(Orders[[#This Row],[CustomerAge]]&gt;=35, "Older", "Young")</f>
        <v>Young</v>
      </c>
      <c r="S1348" t="str">
        <f>_xlfn.XLOOKUP(Orders[[#This Row],[ProductID]],Products[ProductID],Products[ProductName])</f>
        <v>Tennis Bat</v>
      </c>
      <c r="T1348" t="str">
        <f>_xlfn.XLOOKUP(Orders[[#This Row],[ProductID]],Products[ProductID],Products[Category])</f>
        <v>Sports</v>
      </c>
    </row>
    <row r="1349" spans="1:20" x14ac:dyDescent="0.25">
      <c r="A1349" s="4" t="s">
        <v>1538</v>
      </c>
      <c r="B1349" s="5">
        <v>45997</v>
      </c>
      <c r="C1349" s="15">
        <f>WEEKNUM(Orders[[#This Row],[OrderDate]])</f>
        <v>49</v>
      </c>
      <c r="D1349" s="15" t="str">
        <f>TEXT(Orders[[#This Row],[OrderDate]],"mmmm")</f>
        <v>December</v>
      </c>
      <c r="E1349" s="4" t="s">
        <v>256</v>
      </c>
      <c r="F1349" s="4" t="s">
        <v>253</v>
      </c>
      <c r="G1349" s="4">
        <v>5</v>
      </c>
      <c r="H1349" s="12">
        <v>10178</v>
      </c>
      <c r="I1349" s="13">
        <v>8651.2999999999993</v>
      </c>
      <c r="J1349" s="13">
        <f>Orders[[#This Row],[Quantity]]*Orders[[#This Row],[Selling Price]]</f>
        <v>50890</v>
      </c>
      <c r="K1349" s="13">
        <f>Orders[[#This Row],[Quantity]]*Orders[[#This Row],[Cost Price]]</f>
        <v>43256.5</v>
      </c>
      <c r="L1349" s="13">
        <f>Orders[[#This Row],[Revenue]]-Orders[[#This Row],[Expenses]]</f>
        <v>7633.5</v>
      </c>
      <c r="M1349" t="s">
        <v>2199</v>
      </c>
      <c r="N1349" t="str">
        <f>_xlfn.XLOOKUP(Orders[[#This Row],[CustomerID]],Customers[CustomerID],Customers[CustomerName])</f>
        <v>Efe Ojo</v>
      </c>
      <c r="O1349" t="str">
        <f>_xlfn.XLOOKUP(Orders[[#This Row],[CustomerID]],Customers[CustomerID],Customers[City])</f>
        <v>Georgia</v>
      </c>
      <c r="P1349" t="str">
        <f>_xlfn.XLOOKUP(Orders[[#This Row],[CustomerID]],Customers[CustomerID],Customers[Gender])</f>
        <v>Female</v>
      </c>
      <c r="Q1349">
        <f>_xlfn.XLOOKUP(Orders[[#This Row],[CustomerID]],Customers[CustomerID],Customers[CustomerAge])</f>
        <v>23</v>
      </c>
      <c r="R1349" t="str">
        <f>IF(Orders[[#This Row],[CustomerAge]]&gt;=35, "Older", "Young")</f>
        <v>Young</v>
      </c>
      <c r="S1349" t="str">
        <f>_xlfn.XLOOKUP(Orders[[#This Row],[ProductID]],Products[ProductID],Products[ProductName])</f>
        <v>Nose Rings</v>
      </c>
      <c r="T1349" t="str">
        <f>_xlfn.XLOOKUP(Orders[[#This Row],[ProductID]],Products[ProductID],Products[Category])</f>
        <v>Accessories</v>
      </c>
    </row>
    <row r="1350" spans="1:20" x14ac:dyDescent="0.25">
      <c r="A1350" s="4" t="s">
        <v>1539</v>
      </c>
      <c r="B1350" s="5">
        <v>45954</v>
      </c>
      <c r="C1350" s="15">
        <f>WEEKNUM(Orders[[#This Row],[OrderDate]])</f>
        <v>43</v>
      </c>
      <c r="D1350" s="15" t="str">
        <f>TEXT(Orders[[#This Row],[OrderDate]],"mmmm")</f>
        <v>October</v>
      </c>
      <c r="E1350" s="4" t="s">
        <v>146</v>
      </c>
      <c r="F1350" s="4" t="s">
        <v>37</v>
      </c>
      <c r="G1350" s="4">
        <v>9</v>
      </c>
      <c r="H1350" s="12">
        <v>2999.7000000000003</v>
      </c>
      <c r="I1350" s="13">
        <v>2549.7450000000003</v>
      </c>
      <c r="J1350" s="13">
        <f>Orders[[#This Row],[Quantity]]*Orders[[#This Row],[Selling Price]]</f>
        <v>26997.300000000003</v>
      </c>
      <c r="K1350" s="13">
        <f>Orders[[#This Row],[Quantity]]*Orders[[#This Row],[Cost Price]]</f>
        <v>22947.705000000002</v>
      </c>
      <c r="L1350" s="13">
        <f>Orders[[#This Row],[Revenue]]-Orders[[#This Row],[Expenses]]</f>
        <v>4049.5950000000012</v>
      </c>
      <c r="M1350" t="s">
        <v>2215</v>
      </c>
      <c r="N1350" t="str">
        <f>_xlfn.XLOOKUP(Orders[[#This Row],[CustomerID]],Customers[CustomerID],Customers[CustomerName])</f>
        <v>Mustafa Igwe</v>
      </c>
      <c r="O1350" t="str">
        <f>_xlfn.XLOOKUP(Orders[[#This Row],[CustomerID]],Customers[CustomerID],Customers[City])</f>
        <v>Texas</v>
      </c>
      <c r="P1350" t="str">
        <f>_xlfn.XLOOKUP(Orders[[#This Row],[CustomerID]],Customers[CustomerID],Customers[Gender])</f>
        <v>Male</v>
      </c>
      <c r="Q1350">
        <f>_xlfn.XLOOKUP(Orders[[#This Row],[CustomerID]],Customers[CustomerID],Customers[CustomerAge])</f>
        <v>27</v>
      </c>
      <c r="R1350" t="str">
        <f>IF(Orders[[#This Row],[CustomerAge]]&gt;=35, "Older", "Young")</f>
        <v>Young</v>
      </c>
      <c r="S1350" t="str">
        <f>_xlfn.XLOOKUP(Orders[[#This Row],[ProductID]],Products[ProductID],Products[ProductName])</f>
        <v>Iron</v>
      </c>
      <c r="T1350" t="str">
        <f>_xlfn.XLOOKUP(Orders[[#This Row],[ProductID]],Products[ProductID],Products[Category])</f>
        <v>Electronics</v>
      </c>
    </row>
    <row r="1351" spans="1:20" x14ac:dyDescent="0.25">
      <c r="A1351" s="4" t="s">
        <v>1540</v>
      </c>
      <c r="B1351" s="5">
        <v>45995</v>
      </c>
      <c r="C1351" s="15">
        <f>WEEKNUM(Orders[[#This Row],[OrderDate]])</f>
        <v>49</v>
      </c>
      <c r="D1351" s="15" t="str">
        <f>TEXT(Orders[[#This Row],[OrderDate]],"mmmm")</f>
        <v>December</v>
      </c>
      <c r="E1351" s="4" t="s">
        <v>182</v>
      </c>
      <c r="F1351" s="4" t="s">
        <v>81</v>
      </c>
      <c r="G1351" s="4">
        <v>8</v>
      </c>
      <c r="H1351" s="12">
        <v>18094</v>
      </c>
      <c r="I1351" s="13">
        <v>15379.9</v>
      </c>
      <c r="J1351" s="13">
        <f>Orders[[#This Row],[Quantity]]*Orders[[#This Row],[Selling Price]]</f>
        <v>144752</v>
      </c>
      <c r="K1351" s="13">
        <f>Orders[[#This Row],[Quantity]]*Orders[[#This Row],[Cost Price]]</f>
        <v>123039.2</v>
      </c>
      <c r="L1351" s="13">
        <f>Orders[[#This Row],[Revenue]]-Orders[[#This Row],[Expenses]]</f>
        <v>21712.800000000003</v>
      </c>
      <c r="M1351" t="s">
        <v>2218</v>
      </c>
      <c r="N1351" t="str">
        <f>_xlfn.XLOOKUP(Orders[[#This Row],[CustomerID]],Customers[CustomerID],Customers[CustomerName])</f>
        <v>Abiola Okonkwo</v>
      </c>
      <c r="O1351" t="str">
        <f>_xlfn.XLOOKUP(Orders[[#This Row],[CustomerID]],Customers[CustomerID],Customers[City])</f>
        <v>Georgia</v>
      </c>
      <c r="P1351" t="str">
        <f>_xlfn.XLOOKUP(Orders[[#This Row],[CustomerID]],Customers[CustomerID],Customers[Gender])</f>
        <v>Male</v>
      </c>
      <c r="Q1351">
        <f>_xlfn.XLOOKUP(Orders[[#This Row],[CustomerID]],Customers[CustomerID],Customers[CustomerAge])</f>
        <v>39</v>
      </c>
      <c r="R1351" t="str">
        <f>IF(Orders[[#This Row],[CustomerAge]]&gt;=35, "Older", "Young")</f>
        <v>Older</v>
      </c>
      <c r="S1351" t="str">
        <f>_xlfn.XLOOKUP(Orders[[#This Row],[ProductID]],Products[ProductID],Products[ProductName])</f>
        <v>Trousers</v>
      </c>
      <c r="T1351" t="str">
        <f>_xlfn.XLOOKUP(Orders[[#This Row],[ProductID]],Products[ProductID],Products[Category])</f>
        <v>Clothing</v>
      </c>
    </row>
    <row r="1352" spans="1:20" x14ac:dyDescent="0.25">
      <c r="A1352" s="4" t="s">
        <v>1541</v>
      </c>
      <c r="B1352" s="5">
        <v>45995</v>
      </c>
      <c r="C1352" s="15">
        <f>WEEKNUM(Orders[[#This Row],[OrderDate]])</f>
        <v>49</v>
      </c>
      <c r="D1352" s="15" t="str">
        <f>TEXT(Orders[[#This Row],[OrderDate]],"mmmm")</f>
        <v>December</v>
      </c>
      <c r="E1352" s="4" t="s">
        <v>252</v>
      </c>
      <c r="F1352" s="4" t="s">
        <v>57</v>
      </c>
      <c r="G1352" s="4">
        <v>4</v>
      </c>
      <c r="H1352" s="12">
        <v>6224.4000000000005</v>
      </c>
      <c r="I1352" s="13">
        <v>5290.7400000000007</v>
      </c>
      <c r="J1352" s="13">
        <f>Orders[[#This Row],[Quantity]]*Orders[[#This Row],[Selling Price]]</f>
        <v>24897.600000000002</v>
      </c>
      <c r="K1352" s="13">
        <f>Orders[[#This Row],[Quantity]]*Orders[[#This Row],[Cost Price]]</f>
        <v>21162.960000000003</v>
      </c>
      <c r="L1352" s="13">
        <f>Orders[[#This Row],[Revenue]]-Orders[[#This Row],[Expenses]]</f>
        <v>3734.6399999999994</v>
      </c>
      <c r="M1352" t="s">
        <v>2196</v>
      </c>
      <c r="N1352" t="str">
        <f>_xlfn.XLOOKUP(Orders[[#This Row],[CustomerID]],Customers[CustomerID],Customers[CustomerName])</f>
        <v>Chioma Adeyemi</v>
      </c>
      <c r="O1352" t="str">
        <f>_xlfn.XLOOKUP(Orders[[#This Row],[CustomerID]],Customers[CustomerID],Customers[City])</f>
        <v>Texas</v>
      </c>
      <c r="P1352" t="str">
        <f>_xlfn.XLOOKUP(Orders[[#This Row],[CustomerID]],Customers[CustomerID],Customers[Gender])</f>
        <v>Female</v>
      </c>
      <c r="Q1352">
        <f>_xlfn.XLOOKUP(Orders[[#This Row],[CustomerID]],Customers[CustomerID],Customers[CustomerAge])</f>
        <v>20</v>
      </c>
      <c r="R1352" t="str">
        <f>IF(Orders[[#This Row],[CustomerAge]]&gt;=35, "Older", "Young")</f>
        <v>Young</v>
      </c>
      <c r="S1352" t="str">
        <f>_xlfn.XLOOKUP(Orders[[#This Row],[ProductID]],Products[ProductID],Products[ProductName])</f>
        <v>Badminton Racket</v>
      </c>
      <c r="T1352" t="str">
        <f>_xlfn.XLOOKUP(Orders[[#This Row],[ProductID]],Products[ProductID],Products[Category])</f>
        <v>Sports</v>
      </c>
    </row>
    <row r="1353" spans="1:20" x14ac:dyDescent="0.25">
      <c r="A1353" s="4" t="s">
        <v>1542</v>
      </c>
      <c r="B1353" s="5">
        <v>45981</v>
      </c>
      <c r="C1353" s="15">
        <f>WEEKNUM(Orders[[#This Row],[OrderDate]])</f>
        <v>47</v>
      </c>
      <c r="D1353" s="15" t="str">
        <f>TEXT(Orders[[#This Row],[OrderDate]],"mmmm")</f>
        <v>November</v>
      </c>
      <c r="E1353" s="4" t="s">
        <v>201</v>
      </c>
      <c r="F1353" s="4" t="s">
        <v>168</v>
      </c>
      <c r="G1353" s="4">
        <v>4</v>
      </c>
      <c r="H1353" s="12">
        <v>1126.5</v>
      </c>
      <c r="I1353" s="13">
        <v>957.52499999999998</v>
      </c>
      <c r="J1353" s="13">
        <f>Orders[[#This Row],[Quantity]]*Orders[[#This Row],[Selling Price]]</f>
        <v>4506</v>
      </c>
      <c r="K1353" s="13">
        <f>Orders[[#This Row],[Quantity]]*Orders[[#This Row],[Cost Price]]</f>
        <v>3830.1</v>
      </c>
      <c r="L1353" s="13">
        <f>Orders[[#This Row],[Revenue]]-Orders[[#This Row],[Expenses]]</f>
        <v>675.90000000000009</v>
      </c>
      <c r="M1353" t="s">
        <v>2219</v>
      </c>
      <c r="N1353" t="str">
        <f>_xlfn.XLOOKUP(Orders[[#This Row],[CustomerID]],Customers[CustomerID],Customers[CustomerName])</f>
        <v>Sani Igwe</v>
      </c>
      <c r="O1353" t="str">
        <f>_xlfn.XLOOKUP(Orders[[#This Row],[CustomerID]],Customers[CustomerID],Customers[City])</f>
        <v>Georgia</v>
      </c>
      <c r="P1353" t="str">
        <f>_xlfn.XLOOKUP(Orders[[#This Row],[CustomerID]],Customers[CustomerID],Customers[Gender])</f>
        <v>Male</v>
      </c>
      <c r="Q1353">
        <f>_xlfn.XLOOKUP(Orders[[#This Row],[CustomerID]],Customers[CustomerID],Customers[CustomerAge])</f>
        <v>20</v>
      </c>
      <c r="R1353" t="str">
        <f>IF(Orders[[#This Row],[CustomerAge]]&gt;=35, "Older", "Young")</f>
        <v>Young</v>
      </c>
      <c r="S1353" t="str">
        <f>_xlfn.XLOOKUP(Orders[[#This Row],[ProductID]],Products[ProductID],Products[ProductName])</f>
        <v>Dumb Bells</v>
      </c>
      <c r="T1353" t="str">
        <f>_xlfn.XLOOKUP(Orders[[#This Row],[ProductID]],Products[ProductID],Products[Category])</f>
        <v>Gym</v>
      </c>
    </row>
    <row r="1354" spans="1:20" x14ac:dyDescent="0.25">
      <c r="A1354" s="4" t="s">
        <v>1543</v>
      </c>
      <c r="B1354" s="5">
        <v>45972</v>
      </c>
      <c r="C1354" s="15">
        <f>WEEKNUM(Orders[[#This Row],[OrderDate]])</f>
        <v>46</v>
      </c>
      <c r="D1354" s="15" t="str">
        <f>TEXT(Orders[[#This Row],[OrderDate]],"mmmm")</f>
        <v>November</v>
      </c>
      <c r="E1354" s="4" t="s">
        <v>426</v>
      </c>
      <c r="F1354" s="4" t="s">
        <v>46</v>
      </c>
      <c r="G1354" s="4">
        <v>3</v>
      </c>
      <c r="H1354" s="12">
        <v>12531.800000000001</v>
      </c>
      <c r="I1354" s="13">
        <v>10652.03</v>
      </c>
      <c r="J1354" s="13">
        <f>Orders[[#This Row],[Quantity]]*Orders[[#This Row],[Selling Price]]</f>
        <v>37595.4</v>
      </c>
      <c r="K1354" s="13">
        <f>Orders[[#This Row],[Quantity]]*Orders[[#This Row],[Cost Price]]</f>
        <v>31956.090000000004</v>
      </c>
      <c r="L1354" s="13">
        <f>Orders[[#This Row],[Revenue]]-Orders[[#This Row],[Expenses]]</f>
        <v>5639.3099999999977</v>
      </c>
      <c r="M1354" t="s">
        <v>2193</v>
      </c>
      <c r="N1354" t="str">
        <f>_xlfn.XLOOKUP(Orders[[#This Row],[CustomerID]],Customers[CustomerID],Customers[CustomerName])</f>
        <v>Chinedu Ojo</v>
      </c>
      <c r="O1354" t="str">
        <f>_xlfn.XLOOKUP(Orders[[#This Row],[CustomerID]],Customers[CustomerID],Customers[City])</f>
        <v>Washington</v>
      </c>
      <c r="P1354" t="str">
        <f>_xlfn.XLOOKUP(Orders[[#This Row],[CustomerID]],Customers[CustomerID],Customers[Gender])</f>
        <v>Male</v>
      </c>
      <c r="Q1354">
        <f>_xlfn.XLOOKUP(Orders[[#This Row],[CustomerID]],Customers[CustomerID],Customers[CustomerAge])</f>
        <v>18</v>
      </c>
      <c r="R1354" t="str">
        <f>IF(Orders[[#This Row],[CustomerAge]]&gt;=35, "Older", "Young")</f>
        <v>Young</v>
      </c>
      <c r="S1354" t="str">
        <f>_xlfn.XLOOKUP(Orders[[#This Row],[ProductID]],Products[ProductID],Products[ProductName])</f>
        <v>Turtle Neck</v>
      </c>
      <c r="T1354" t="str">
        <f>_xlfn.XLOOKUP(Orders[[#This Row],[ProductID]],Products[ProductID],Products[Category])</f>
        <v>Clothing</v>
      </c>
    </row>
    <row r="1355" spans="1:20" x14ac:dyDescent="0.25">
      <c r="A1355" s="4" t="s">
        <v>1544</v>
      </c>
      <c r="B1355" s="5">
        <v>45968</v>
      </c>
      <c r="C1355" s="15">
        <f>WEEKNUM(Orders[[#This Row],[OrderDate]])</f>
        <v>45</v>
      </c>
      <c r="D1355" s="15" t="str">
        <f>TEXT(Orders[[#This Row],[OrderDate]],"mmmm")</f>
        <v>November</v>
      </c>
      <c r="E1355" s="4" t="s">
        <v>287</v>
      </c>
      <c r="F1355" s="4" t="s">
        <v>60</v>
      </c>
      <c r="G1355" s="4">
        <v>7</v>
      </c>
      <c r="H1355" s="12">
        <v>1960.3</v>
      </c>
      <c r="I1355" s="13">
        <v>1666.2550000000001</v>
      </c>
      <c r="J1355" s="13">
        <f>Orders[[#This Row],[Quantity]]*Orders[[#This Row],[Selling Price]]</f>
        <v>13722.1</v>
      </c>
      <c r="K1355" s="13">
        <f>Orders[[#This Row],[Quantity]]*Orders[[#This Row],[Cost Price]]</f>
        <v>11663.785</v>
      </c>
      <c r="L1355" s="13">
        <f>Orders[[#This Row],[Revenue]]-Orders[[#This Row],[Expenses]]</f>
        <v>2058.3150000000005</v>
      </c>
      <c r="M1355" t="s">
        <v>2194</v>
      </c>
      <c r="N1355" t="str">
        <f>_xlfn.XLOOKUP(Orders[[#This Row],[CustomerID]],Customers[CustomerID],Customers[CustomerName])</f>
        <v>Okon Obi</v>
      </c>
      <c r="O1355" t="str">
        <f>_xlfn.XLOOKUP(Orders[[#This Row],[CustomerID]],Customers[CustomerID],Customers[City])</f>
        <v>Texas</v>
      </c>
      <c r="P1355" t="str">
        <f>_xlfn.XLOOKUP(Orders[[#This Row],[CustomerID]],Customers[CustomerID],Customers[Gender])</f>
        <v>Male</v>
      </c>
      <c r="Q1355">
        <f>_xlfn.XLOOKUP(Orders[[#This Row],[CustomerID]],Customers[CustomerID],Customers[CustomerAge])</f>
        <v>55</v>
      </c>
      <c r="R1355" t="str">
        <f>IF(Orders[[#This Row],[CustomerAge]]&gt;=35, "Older", "Young")</f>
        <v>Older</v>
      </c>
      <c r="S1355" t="str">
        <f>_xlfn.XLOOKUP(Orders[[#This Row],[ProductID]],Products[ProductID],Products[ProductName])</f>
        <v>Silver Rings</v>
      </c>
      <c r="T1355" t="str">
        <f>_xlfn.XLOOKUP(Orders[[#This Row],[ProductID]],Products[ProductID],Products[Category])</f>
        <v>Accessories</v>
      </c>
    </row>
    <row r="1356" spans="1:20" x14ac:dyDescent="0.25">
      <c r="A1356" s="4" t="s">
        <v>1545</v>
      </c>
      <c r="B1356" s="5">
        <v>45937</v>
      </c>
      <c r="C1356" s="15">
        <f>WEEKNUM(Orders[[#This Row],[OrderDate]])</f>
        <v>41</v>
      </c>
      <c r="D1356" s="15" t="str">
        <f>TEXT(Orders[[#This Row],[OrderDate]],"mmmm")</f>
        <v>October</v>
      </c>
      <c r="E1356" s="4" t="s">
        <v>239</v>
      </c>
      <c r="F1356" s="4" t="s">
        <v>57</v>
      </c>
      <c r="G1356" s="4">
        <v>5</v>
      </c>
      <c r="H1356" s="12">
        <v>14260.1</v>
      </c>
      <c r="I1356" s="13">
        <v>12121.085000000001</v>
      </c>
      <c r="J1356" s="13">
        <f>Orders[[#This Row],[Quantity]]*Orders[[#This Row],[Selling Price]]</f>
        <v>71300.5</v>
      </c>
      <c r="K1356" s="13">
        <f>Orders[[#This Row],[Quantity]]*Orders[[#This Row],[Cost Price]]</f>
        <v>60605.425000000003</v>
      </c>
      <c r="L1356" s="13">
        <f>Orders[[#This Row],[Revenue]]-Orders[[#This Row],[Expenses]]</f>
        <v>10695.074999999997</v>
      </c>
      <c r="M1356" t="s">
        <v>2193</v>
      </c>
      <c r="N1356" t="str">
        <f>_xlfn.XLOOKUP(Orders[[#This Row],[CustomerID]],Customers[CustomerID],Customers[CustomerName])</f>
        <v>Emeka Danladi</v>
      </c>
      <c r="O1356" t="str">
        <f>_xlfn.XLOOKUP(Orders[[#This Row],[CustomerID]],Customers[CustomerID],Customers[City])</f>
        <v>Florida</v>
      </c>
      <c r="P1356" t="str">
        <f>_xlfn.XLOOKUP(Orders[[#This Row],[CustomerID]],Customers[CustomerID],Customers[Gender])</f>
        <v>Male</v>
      </c>
      <c r="Q1356">
        <f>_xlfn.XLOOKUP(Orders[[#This Row],[CustomerID]],Customers[CustomerID],Customers[CustomerAge])</f>
        <v>23</v>
      </c>
      <c r="R1356" t="str">
        <f>IF(Orders[[#This Row],[CustomerAge]]&gt;=35, "Older", "Young")</f>
        <v>Young</v>
      </c>
      <c r="S1356" t="str">
        <f>_xlfn.XLOOKUP(Orders[[#This Row],[ProductID]],Products[ProductID],Products[ProductName])</f>
        <v>Badminton Racket</v>
      </c>
      <c r="T1356" t="str">
        <f>_xlfn.XLOOKUP(Orders[[#This Row],[ProductID]],Products[ProductID],Products[Category])</f>
        <v>Sports</v>
      </c>
    </row>
    <row r="1357" spans="1:20" x14ac:dyDescent="0.25">
      <c r="A1357" s="4" t="s">
        <v>1546</v>
      </c>
      <c r="B1357" s="5">
        <v>45938</v>
      </c>
      <c r="C1357" s="15">
        <f>WEEKNUM(Orders[[#This Row],[OrderDate]])</f>
        <v>41</v>
      </c>
      <c r="D1357" s="15" t="str">
        <f>TEXT(Orders[[#This Row],[OrderDate]],"mmmm")</f>
        <v>October</v>
      </c>
      <c r="E1357" s="4" t="s">
        <v>163</v>
      </c>
      <c r="F1357" s="4" t="s">
        <v>84</v>
      </c>
      <c r="G1357" s="4">
        <v>4</v>
      </c>
      <c r="H1357" s="12">
        <v>16027.1</v>
      </c>
      <c r="I1357" s="13">
        <v>13623.035</v>
      </c>
      <c r="J1357" s="13">
        <f>Orders[[#This Row],[Quantity]]*Orders[[#This Row],[Selling Price]]</f>
        <v>64108.4</v>
      </c>
      <c r="K1357" s="13">
        <f>Orders[[#This Row],[Quantity]]*Orders[[#This Row],[Cost Price]]</f>
        <v>54492.14</v>
      </c>
      <c r="L1357" s="13">
        <f>Orders[[#This Row],[Revenue]]-Orders[[#This Row],[Expenses]]</f>
        <v>9616.260000000002</v>
      </c>
      <c r="M1357" t="s">
        <v>2198</v>
      </c>
      <c r="N1357" t="str">
        <f>_xlfn.XLOOKUP(Orders[[#This Row],[CustomerID]],Customers[CustomerID],Customers[CustomerName])</f>
        <v>Folasade Danladi</v>
      </c>
      <c r="O1357" t="str">
        <f>_xlfn.XLOOKUP(Orders[[#This Row],[CustomerID]],Customers[CustomerID],Customers[City])</f>
        <v>Texas</v>
      </c>
      <c r="P1357" t="str">
        <f>_xlfn.XLOOKUP(Orders[[#This Row],[CustomerID]],Customers[CustomerID],Customers[Gender])</f>
        <v>Female</v>
      </c>
      <c r="Q1357">
        <f>_xlfn.XLOOKUP(Orders[[#This Row],[CustomerID]],Customers[CustomerID],Customers[CustomerAge])</f>
        <v>32</v>
      </c>
      <c r="R1357" t="str">
        <f>IF(Orders[[#This Row],[CustomerAge]]&gt;=35, "Older", "Young")</f>
        <v>Young</v>
      </c>
      <c r="S1357" t="str">
        <f>_xlfn.XLOOKUP(Orders[[#This Row],[ProductID]],Products[ProductID],Products[ProductName])</f>
        <v>Gym Wears</v>
      </c>
      <c r="T1357" t="str">
        <f>_xlfn.XLOOKUP(Orders[[#This Row],[ProductID]],Products[ProductID],Products[Category])</f>
        <v>Clothing</v>
      </c>
    </row>
    <row r="1358" spans="1:20" x14ac:dyDescent="0.25">
      <c r="A1358" s="4" t="s">
        <v>1547</v>
      </c>
      <c r="B1358" s="5">
        <v>45970</v>
      </c>
      <c r="C1358" s="15">
        <f>WEEKNUM(Orders[[#This Row],[OrderDate]])</f>
        <v>46</v>
      </c>
      <c r="D1358" s="15" t="str">
        <f>TEXT(Orders[[#This Row],[OrderDate]],"mmmm")</f>
        <v>November</v>
      </c>
      <c r="E1358" s="4" t="s">
        <v>258</v>
      </c>
      <c r="F1358" s="4" t="s">
        <v>70</v>
      </c>
      <c r="G1358" s="4">
        <v>1</v>
      </c>
      <c r="H1358" s="12">
        <v>15685.5</v>
      </c>
      <c r="I1358" s="13">
        <v>13332.674999999999</v>
      </c>
      <c r="J1358" s="13">
        <f>Orders[[#This Row],[Quantity]]*Orders[[#This Row],[Selling Price]]</f>
        <v>15685.5</v>
      </c>
      <c r="K1358" s="13">
        <f>Orders[[#This Row],[Quantity]]*Orders[[#This Row],[Cost Price]]</f>
        <v>13332.674999999999</v>
      </c>
      <c r="L1358" s="13">
        <f>Orders[[#This Row],[Revenue]]-Orders[[#This Row],[Expenses]]</f>
        <v>2352.8250000000007</v>
      </c>
      <c r="M1358" t="s">
        <v>2208</v>
      </c>
      <c r="N1358" t="str">
        <f>_xlfn.XLOOKUP(Orders[[#This Row],[CustomerID]],Customers[CustomerID],Customers[CustomerName])</f>
        <v>Sani Abubakar</v>
      </c>
      <c r="O1358" t="str">
        <f>_xlfn.XLOOKUP(Orders[[#This Row],[CustomerID]],Customers[CustomerID],Customers[City])</f>
        <v>Washington</v>
      </c>
      <c r="P1358" t="str">
        <f>_xlfn.XLOOKUP(Orders[[#This Row],[CustomerID]],Customers[CustomerID],Customers[Gender])</f>
        <v>Male</v>
      </c>
      <c r="Q1358">
        <f>_xlfn.XLOOKUP(Orders[[#This Row],[CustomerID]],Customers[CustomerID],Customers[CustomerAge])</f>
        <v>37</v>
      </c>
      <c r="R1358" t="str">
        <f>IF(Orders[[#This Row],[CustomerAge]]&gt;=35, "Older", "Young")</f>
        <v>Older</v>
      </c>
      <c r="S1358" t="str">
        <f>_xlfn.XLOOKUP(Orders[[#This Row],[ProductID]],Products[ProductID],Products[ProductName])</f>
        <v>Yoga Mat</v>
      </c>
      <c r="T1358" t="str">
        <f>_xlfn.XLOOKUP(Orders[[#This Row],[ProductID]],Products[ProductID],Products[Category])</f>
        <v>Gym</v>
      </c>
    </row>
    <row r="1359" spans="1:20" x14ac:dyDescent="0.25">
      <c r="A1359" s="4" t="s">
        <v>1548</v>
      </c>
      <c r="B1359" s="5">
        <v>46007</v>
      </c>
      <c r="C1359" s="15">
        <f>WEEKNUM(Orders[[#This Row],[OrderDate]])</f>
        <v>51</v>
      </c>
      <c r="D1359" s="15" t="str">
        <f>TEXT(Orders[[#This Row],[OrderDate]],"mmmm")</f>
        <v>December</v>
      </c>
      <c r="E1359" s="4" t="s">
        <v>59</v>
      </c>
      <c r="F1359" s="4" t="s">
        <v>111</v>
      </c>
      <c r="G1359" s="4">
        <v>7</v>
      </c>
      <c r="H1359" s="12">
        <v>11617.6</v>
      </c>
      <c r="I1359" s="13">
        <v>9874.9600000000009</v>
      </c>
      <c r="J1359" s="13">
        <f>Orders[[#This Row],[Quantity]]*Orders[[#This Row],[Selling Price]]</f>
        <v>81323.199999999997</v>
      </c>
      <c r="K1359" s="13">
        <f>Orders[[#This Row],[Quantity]]*Orders[[#This Row],[Cost Price]]</f>
        <v>69124.72</v>
      </c>
      <c r="L1359" s="13">
        <f>Orders[[#This Row],[Revenue]]-Orders[[#This Row],[Expenses]]</f>
        <v>12198.479999999996</v>
      </c>
      <c r="M1359" t="s">
        <v>2195</v>
      </c>
      <c r="N1359" t="str">
        <f>_xlfn.XLOOKUP(Orders[[#This Row],[CustomerID]],Customers[CustomerID],Customers[CustomerName])</f>
        <v>Adanma Danladi</v>
      </c>
      <c r="O1359" t="str">
        <f>_xlfn.XLOOKUP(Orders[[#This Row],[CustomerID]],Customers[CustomerID],Customers[City])</f>
        <v>Texas</v>
      </c>
      <c r="P1359" t="str">
        <f>_xlfn.XLOOKUP(Orders[[#This Row],[CustomerID]],Customers[CustomerID],Customers[Gender])</f>
        <v>Female</v>
      </c>
      <c r="Q1359">
        <f>_xlfn.XLOOKUP(Orders[[#This Row],[CustomerID]],Customers[CustomerID],Customers[CustomerAge])</f>
        <v>24</v>
      </c>
      <c r="R1359" t="str">
        <f>IF(Orders[[#This Row],[CustomerAge]]&gt;=35, "Older", "Young")</f>
        <v>Young</v>
      </c>
      <c r="S1359" t="str">
        <f>_xlfn.XLOOKUP(Orders[[#This Row],[ProductID]],Products[ProductID],Products[ProductName])</f>
        <v>Refrigerator</v>
      </c>
      <c r="T1359" t="str">
        <f>_xlfn.XLOOKUP(Orders[[#This Row],[ProductID]],Products[ProductID],Products[Category])</f>
        <v>Electronics</v>
      </c>
    </row>
    <row r="1360" spans="1:20" x14ac:dyDescent="0.25">
      <c r="A1360" s="4" t="s">
        <v>1549</v>
      </c>
      <c r="B1360" s="5">
        <v>46002</v>
      </c>
      <c r="C1360" s="15">
        <f>WEEKNUM(Orders[[#This Row],[OrderDate]])</f>
        <v>50</v>
      </c>
      <c r="D1360" s="15" t="str">
        <f>TEXT(Orders[[#This Row],[OrderDate]],"mmmm")</f>
        <v>December</v>
      </c>
      <c r="E1360" s="4" t="s">
        <v>435</v>
      </c>
      <c r="F1360" s="4" t="s">
        <v>15</v>
      </c>
      <c r="G1360" s="4">
        <v>1</v>
      </c>
      <c r="H1360" s="12">
        <v>19357.8</v>
      </c>
      <c r="I1360" s="13">
        <v>16454.13</v>
      </c>
      <c r="J1360" s="13">
        <f>Orders[[#This Row],[Quantity]]*Orders[[#This Row],[Selling Price]]</f>
        <v>19357.8</v>
      </c>
      <c r="K1360" s="13">
        <f>Orders[[#This Row],[Quantity]]*Orders[[#This Row],[Cost Price]]</f>
        <v>16454.13</v>
      </c>
      <c r="L1360" s="13">
        <f>Orders[[#This Row],[Revenue]]-Orders[[#This Row],[Expenses]]</f>
        <v>2903.6699999999983</v>
      </c>
      <c r="M1360" t="s">
        <v>2211</v>
      </c>
      <c r="N1360" t="str">
        <f>_xlfn.XLOOKUP(Orders[[#This Row],[CustomerID]],Customers[CustomerID],Customers[CustomerName])</f>
        <v>Amina Balogun</v>
      </c>
      <c r="O1360" t="str">
        <f>_xlfn.XLOOKUP(Orders[[#This Row],[CustomerID]],Customers[CustomerID],Customers[City])</f>
        <v>Texas</v>
      </c>
      <c r="P1360" t="str">
        <f>_xlfn.XLOOKUP(Orders[[#This Row],[CustomerID]],Customers[CustomerID],Customers[Gender])</f>
        <v>Female</v>
      </c>
      <c r="Q1360">
        <f>_xlfn.XLOOKUP(Orders[[#This Row],[CustomerID]],Customers[CustomerID],Customers[CustomerAge])</f>
        <v>32</v>
      </c>
      <c r="R1360" t="str">
        <f>IF(Orders[[#This Row],[CustomerAge]]&gt;=35, "Older", "Young")</f>
        <v>Young</v>
      </c>
      <c r="S1360" t="str">
        <f>_xlfn.XLOOKUP(Orders[[#This Row],[ProductID]],Products[ProductID],Products[ProductName])</f>
        <v>Monopoly</v>
      </c>
      <c r="T1360" t="str">
        <f>_xlfn.XLOOKUP(Orders[[#This Row],[ProductID]],Products[ProductID],Products[Category])</f>
        <v>Games</v>
      </c>
    </row>
    <row r="1361" spans="1:20" x14ac:dyDescent="0.25">
      <c r="A1361" s="4" t="s">
        <v>1550</v>
      </c>
      <c r="B1361" s="5">
        <v>45945</v>
      </c>
      <c r="C1361" s="15">
        <f>WEEKNUM(Orders[[#This Row],[OrderDate]])</f>
        <v>42</v>
      </c>
      <c r="D1361" s="15" t="str">
        <f>TEXT(Orders[[#This Row],[OrderDate]],"mmmm")</f>
        <v>October</v>
      </c>
      <c r="E1361" s="4" t="s">
        <v>116</v>
      </c>
      <c r="F1361" s="4" t="s">
        <v>157</v>
      </c>
      <c r="G1361" s="4">
        <v>10</v>
      </c>
      <c r="H1361" s="12">
        <v>5665.5999999999995</v>
      </c>
      <c r="I1361" s="13">
        <v>4815.7599999999993</v>
      </c>
      <c r="J1361" s="13">
        <f>Orders[[#This Row],[Quantity]]*Orders[[#This Row],[Selling Price]]</f>
        <v>56655.999999999993</v>
      </c>
      <c r="K1361" s="13">
        <f>Orders[[#This Row],[Quantity]]*Orders[[#This Row],[Cost Price]]</f>
        <v>48157.599999999991</v>
      </c>
      <c r="L1361" s="13">
        <f>Orders[[#This Row],[Revenue]]-Orders[[#This Row],[Expenses]]</f>
        <v>8498.4000000000015</v>
      </c>
      <c r="M1361" t="s">
        <v>2213</v>
      </c>
      <c r="N1361" t="str">
        <f>_xlfn.XLOOKUP(Orders[[#This Row],[CustomerID]],Customers[CustomerID],Customers[CustomerName])</f>
        <v>Uche Bello</v>
      </c>
      <c r="O1361" t="str">
        <f>_xlfn.XLOOKUP(Orders[[#This Row],[CustomerID]],Customers[CustomerID],Customers[City])</f>
        <v>Texas</v>
      </c>
      <c r="P1361" t="str">
        <f>_xlfn.XLOOKUP(Orders[[#This Row],[CustomerID]],Customers[CustomerID],Customers[Gender])</f>
        <v>Male</v>
      </c>
      <c r="Q1361">
        <f>_xlfn.XLOOKUP(Orders[[#This Row],[CustomerID]],Customers[CustomerID],Customers[CustomerAge])</f>
        <v>21</v>
      </c>
      <c r="R1361" t="str">
        <f>IF(Orders[[#This Row],[CustomerAge]]&gt;=35, "Older", "Young")</f>
        <v>Young</v>
      </c>
      <c r="S1361" t="str">
        <f>_xlfn.XLOOKUP(Orders[[#This Row],[ProductID]],Products[ProductID],Products[ProductName])</f>
        <v>Football</v>
      </c>
      <c r="T1361" t="str">
        <f>_xlfn.XLOOKUP(Orders[[#This Row],[ProductID]],Products[ProductID],Products[Category])</f>
        <v>Sports</v>
      </c>
    </row>
    <row r="1362" spans="1:20" x14ac:dyDescent="0.25">
      <c r="A1362" s="4" t="s">
        <v>1551</v>
      </c>
      <c r="B1362" s="5">
        <v>45971</v>
      </c>
      <c r="C1362" s="15">
        <f>WEEKNUM(Orders[[#This Row],[OrderDate]])</f>
        <v>46</v>
      </c>
      <c r="D1362" s="15" t="str">
        <f>TEXT(Orders[[#This Row],[OrderDate]],"mmmm")</f>
        <v>November</v>
      </c>
      <c r="E1362" s="4" t="s">
        <v>163</v>
      </c>
      <c r="F1362" s="4" t="s">
        <v>57</v>
      </c>
      <c r="G1362" s="4">
        <v>8</v>
      </c>
      <c r="H1362" s="12">
        <v>16626.099999999999</v>
      </c>
      <c r="I1362" s="13">
        <v>14132.184999999999</v>
      </c>
      <c r="J1362" s="13">
        <f>Orders[[#This Row],[Quantity]]*Orders[[#This Row],[Selling Price]]</f>
        <v>133008.79999999999</v>
      </c>
      <c r="K1362" s="13">
        <f>Orders[[#This Row],[Quantity]]*Orders[[#This Row],[Cost Price]]</f>
        <v>113057.48</v>
      </c>
      <c r="L1362" s="13">
        <f>Orders[[#This Row],[Revenue]]-Orders[[#This Row],[Expenses]]</f>
        <v>19951.319999999992</v>
      </c>
      <c r="M1362" t="s">
        <v>2213</v>
      </c>
      <c r="N1362" t="str">
        <f>_xlfn.XLOOKUP(Orders[[#This Row],[CustomerID]],Customers[CustomerID],Customers[CustomerName])</f>
        <v>Folasade Danladi</v>
      </c>
      <c r="O1362" t="str">
        <f>_xlfn.XLOOKUP(Orders[[#This Row],[CustomerID]],Customers[CustomerID],Customers[City])</f>
        <v>Texas</v>
      </c>
      <c r="P1362" t="str">
        <f>_xlfn.XLOOKUP(Orders[[#This Row],[CustomerID]],Customers[CustomerID],Customers[Gender])</f>
        <v>Female</v>
      </c>
      <c r="Q1362">
        <f>_xlfn.XLOOKUP(Orders[[#This Row],[CustomerID]],Customers[CustomerID],Customers[CustomerAge])</f>
        <v>32</v>
      </c>
      <c r="R1362" t="str">
        <f>IF(Orders[[#This Row],[CustomerAge]]&gt;=35, "Older", "Young")</f>
        <v>Young</v>
      </c>
      <c r="S1362" t="str">
        <f>_xlfn.XLOOKUP(Orders[[#This Row],[ProductID]],Products[ProductID],Products[ProductName])</f>
        <v>Badminton Racket</v>
      </c>
      <c r="T1362" t="str">
        <f>_xlfn.XLOOKUP(Orders[[#This Row],[ProductID]],Products[ProductID],Products[Category])</f>
        <v>Sports</v>
      </c>
    </row>
    <row r="1363" spans="1:20" x14ac:dyDescent="0.25">
      <c r="A1363" s="4" t="s">
        <v>1552</v>
      </c>
      <c r="B1363" s="5">
        <v>45970</v>
      </c>
      <c r="C1363" s="15">
        <f>WEEKNUM(Orders[[#This Row],[OrderDate]])</f>
        <v>46</v>
      </c>
      <c r="D1363" s="15" t="str">
        <f>TEXT(Orders[[#This Row],[OrderDate]],"mmmm")</f>
        <v>November</v>
      </c>
      <c r="E1363" s="4" t="s">
        <v>207</v>
      </c>
      <c r="F1363" s="4" t="s">
        <v>23</v>
      </c>
      <c r="G1363" s="4">
        <v>7</v>
      </c>
      <c r="H1363" s="12">
        <v>15899.8</v>
      </c>
      <c r="I1363" s="13">
        <v>13514.83</v>
      </c>
      <c r="J1363" s="13">
        <f>Orders[[#This Row],[Quantity]]*Orders[[#This Row],[Selling Price]]</f>
        <v>111298.59999999999</v>
      </c>
      <c r="K1363" s="13">
        <f>Orders[[#This Row],[Quantity]]*Orders[[#This Row],[Cost Price]]</f>
        <v>94603.81</v>
      </c>
      <c r="L1363" s="13">
        <f>Orders[[#This Row],[Revenue]]-Orders[[#This Row],[Expenses]]</f>
        <v>16694.789999999994</v>
      </c>
      <c r="M1363" t="s">
        <v>2208</v>
      </c>
      <c r="N1363" t="str">
        <f>_xlfn.XLOOKUP(Orders[[#This Row],[CustomerID]],Customers[CustomerID],Customers[CustomerName])</f>
        <v>Bisi Eze</v>
      </c>
      <c r="O1363" t="str">
        <f>_xlfn.XLOOKUP(Orders[[#This Row],[CustomerID]],Customers[CustomerID],Customers[City])</f>
        <v>Florida</v>
      </c>
      <c r="P1363" t="str">
        <f>_xlfn.XLOOKUP(Orders[[#This Row],[CustomerID]],Customers[CustomerID],Customers[Gender])</f>
        <v>Female</v>
      </c>
      <c r="Q1363">
        <f>_xlfn.XLOOKUP(Orders[[#This Row],[CustomerID]],Customers[CustomerID],Customers[CustomerAge])</f>
        <v>37</v>
      </c>
      <c r="R1363" t="str">
        <f>IF(Orders[[#This Row],[CustomerAge]]&gt;=35, "Older", "Young")</f>
        <v>Older</v>
      </c>
      <c r="S1363" t="str">
        <f>_xlfn.XLOOKUP(Orders[[#This Row],[ProductID]],Products[ProductID],Products[ProductName])</f>
        <v>Gym Gloves</v>
      </c>
      <c r="T1363" t="str">
        <f>_xlfn.XLOOKUP(Orders[[#This Row],[ProductID]],Products[ProductID],Products[Category])</f>
        <v>Gym</v>
      </c>
    </row>
    <row r="1364" spans="1:20" x14ac:dyDescent="0.25">
      <c r="A1364" s="4" t="s">
        <v>1553</v>
      </c>
      <c r="B1364" s="5">
        <v>45971</v>
      </c>
      <c r="C1364" s="15">
        <f>WEEKNUM(Orders[[#This Row],[OrderDate]])</f>
        <v>46</v>
      </c>
      <c r="D1364" s="15" t="str">
        <f>TEXT(Orders[[#This Row],[OrderDate]],"mmmm")</f>
        <v>November</v>
      </c>
      <c r="E1364" s="4" t="s">
        <v>27</v>
      </c>
      <c r="F1364" s="4" t="s">
        <v>23</v>
      </c>
      <c r="G1364" s="4">
        <v>10</v>
      </c>
      <c r="H1364" s="12">
        <v>11943.900000000001</v>
      </c>
      <c r="I1364" s="13">
        <v>10152.315000000001</v>
      </c>
      <c r="J1364" s="13">
        <f>Orders[[#This Row],[Quantity]]*Orders[[#This Row],[Selling Price]]</f>
        <v>119439.00000000001</v>
      </c>
      <c r="K1364" s="13">
        <f>Orders[[#This Row],[Quantity]]*Orders[[#This Row],[Cost Price]]</f>
        <v>101523.15000000001</v>
      </c>
      <c r="L1364" s="13">
        <f>Orders[[#This Row],[Revenue]]-Orders[[#This Row],[Expenses]]</f>
        <v>17915.850000000006</v>
      </c>
      <c r="M1364" t="s">
        <v>2208</v>
      </c>
      <c r="N1364" t="str">
        <f>_xlfn.XLOOKUP(Orders[[#This Row],[CustomerID]],Customers[CustomerID],Customers[CustomerName])</f>
        <v>Okon Ojo</v>
      </c>
      <c r="O1364" t="str">
        <f>_xlfn.XLOOKUP(Orders[[#This Row],[CustomerID]],Customers[CustomerID],Customers[City])</f>
        <v>Illinois</v>
      </c>
      <c r="P1364" t="str">
        <f>_xlfn.XLOOKUP(Orders[[#This Row],[CustomerID]],Customers[CustomerID],Customers[Gender])</f>
        <v>Male</v>
      </c>
      <c r="Q1364">
        <f>_xlfn.XLOOKUP(Orders[[#This Row],[CustomerID]],Customers[CustomerID],Customers[CustomerAge])</f>
        <v>32</v>
      </c>
      <c r="R1364" t="str">
        <f>IF(Orders[[#This Row],[CustomerAge]]&gt;=35, "Older", "Young")</f>
        <v>Young</v>
      </c>
      <c r="S1364" t="str">
        <f>_xlfn.XLOOKUP(Orders[[#This Row],[ProductID]],Products[ProductID],Products[ProductName])</f>
        <v>Gym Gloves</v>
      </c>
      <c r="T1364" t="str">
        <f>_xlfn.XLOOKUP(Orders[[#This Row],[ProductID]],Products[ProductID],Products[Category])</f>
        <v>Gym</v>
      </c>
    </row>
    <row r="1365" spans="1:20" x14ac:dyDescent="0.25">
      <c r="A1365" s="4" t="s">
        <v>1554</v>
      </c>
      <c r="B1365" s="5">
        <v>46014</v>
      </c>
      <c r="C1365" s="15">
        <f>WEEKNUM(Orders[[#This Row],[OrderDate]])</f>
        <v>52</v>
      </c>
      <c r="D1365" s="15" t="str">
        <f>TEXT(Orders[[#This Row],[OrderDate]],"mmmm")</f>
        <v>December</v>
      </c>
      <c r="E1365" s="4" t="s">
        <v>282</v>
      </c>
      <c r="F1365" s="4" t="s">
        <v>353</v>
      </c>
      <c r="G1365" s="4">
        <v>1</v>
      </c>
      <c r="H1365" s="12">
        <v>17416.900000000001</v>
      </c>
      <c r="I1365" s="13">
        <v>14804.365000000002</v>
      </c>
      <c r="J1365" s="13">
        <f>Orders[[#This Row],[Quantity]]*Orders[[#This Row],[Selling Price]]</f>
        <v>17416.900000000001</v>
      </c>
      <c r="K1365" s="13">
        <f>Orders[[#This Row],[Quantity]]*Orders[[#This Row],[Cost Price]]</f>
        <v>14804.365000000002</v>
      </c>
      <c r="L1365" s="13">
        <f>Orders[[#This Row],[Revenue]]-Orders[[#This Row],[Expenses]]</f>
        <v>2612.5349999999999</v>
      </c>
      <c r="M1365" t="s">
        <v>2208</v>
      </c>
      <c r="N1365" t="str">
        <f>_xlfn.XLOOKUP(Orders[[#This Row],[CustomerID]],Customers[CustomerID],Customers[CustomerName])</f>
        <v>Bisi Ojo</v>
      </c>
      <c r="O1365" t="str">
        <f>_xlfn.XLOOKUP(Orders[[#This Row],[CustomerID]],Customers[CustomerID],Customers[City])</f>
        <v>Texas</v>
      </c>
      <c r="P1365" t="str">
        <f>_xlfn.XLOOKUP(Orders[[#This Row],[CustomerID]],Customers[CustomerID],Customers[Gender])</f>
        <v>Female</v>
      </c>
      <c r="Q1365">
        <f>_xlfn.XLOOKUP(Orders[[#This Row],[CustomerID]],Customers[CustomerID],Customers[CustomerAge])</f>
        <v>26</v>
      </c>
      <c r="R1365" t="str">
        <f>IF(Orders[[#This Row],[CustomerAge]]&gt;=35, "Older", "Young")</f>
        <v>Young</v>
      </c>
      <c r="S1365" t="str">
        <f>_xlfn.XLOOKUP(Orders[[#This Row],[ProductID]],Products[ProductID],Products[ProductName])</f>
        <v>Silver Earrings And Necklaces</v>
      </c>
      <c r="T1365" t="str">
        <f>_xlfn.XLOOKUP(Orders[[#This Row],[ProductID]],Products[ProductID],Products[Category])</f>
        <v>Accessories</v>
      </c>
    </row>
    <row r="1366" spans="1:20" x14ac:dyDescent="0.25">
      <c r="A1366" s="4" t="s">
        <v>1555</v>
      </c>
      <c r="B1366" s="5">
        <v>45947</v>
      </c>
      <c r="C1366" s="15">
        <f>WEEKNUM(Orders[[#This Row],[OrderDate]])</f>
        <v>42</v>
      </c>
      <c r="D1366" s="15" t="str">
        <f>TEXT(Orders[[#This Row],[OrderDate]],"mmmm")</f>
        <v>October</v>
      </c>
      <c r="E1366" s="4" t="s">
        <v>369</v>
      </c>
      <c r="F1366" s="4" t="s">
        <v>46</v>
      </c>
      <c r="G1366" s="4">
        <v>8</v>
      </c>
      <c r="H1366" s="12">
        <v>16511.199999999997</v>
      </c>
      <c r="I1366" s="13">
        <v>14034.519999999997</v>
      </c>
      <c r="J1366" s="13">
        <f>Orders[[#This Row],[Quantity]]*Orders[[#This Row],[Selling Price]]</f>
        <v>132089.59999999998</v>
      </c>
      <c r="K1366" s="13">
        <f>Orders[[#This Row],[Quantity]]*Orders[[#This Row],[Cost Price]]</f>
        <v>112276.15999999997</v>
      </c>
      <c r="L1366" s="13">
        <f>Orders[[#This Row],[Revenue]]-Orders[[#This Row],[Expenses]]</f>
        <v>19813.440000000002</v>
      </c>
      <c r="M1366" t="s">
        <v>2206</v>
      </c>
      <c r="N1366" t="str">
        <f>_xlfn.XLOOKUP(Orders[[#This Row],[CustomerID]],Customers[CustomerID],Customers[CustomerName])</f>
        <v>Ibrahim Bello</v>
      </c>
      <c r="O1366" t="str">
        <f>_xlfn.XLOOKUP(Orders[[#This Row],[CustomerID]],Customers[CustomerID],Customers[City])</f>
        <v>Washington</v>
      </c>
      <c r="P1366" t="str">
        <f>_xlfn.XLOOKUP(Orders[[#This Row],[CustomerID]],Customers[CustomerID],Customers[Gender])</f>
        <v>Male</v>
      </c>
      <c r="Q1366">
        <f>_xlfn.XLOOKUP(Orders[[#This Row],[CustomerID]],Customers[CustomerID],Customers[CustomerAge])</f>
        <v>40</v>
      </c>
      <c r="R1366" t="str">
        <f>IF(Orders[[#This Row],[CustomerAge]]&gt;=35, "Older", "Young")</f>
        <v>Older</v>
      </c>
      <c r="S1366" t="str">
        <f>_xlfn.XLOOKUP(Orders[[#This Row],[ProductID]],Products[ProductID],Products[ProductName])</f>
        <v>Turtle Neck</v>
      </c>
      <c r="T1366" t="str">
        <f>_xlfn.XLOOKUP(Orders[[#This Row],[ProductID]],Products[ProductID],Products[Category])</f>
        <v>Clothing</v>
      </c>
    </row>
    <row r="1367" spans="1:20" x14ac:dyDescent="0.25">
      <c r="A1367" s="4" t="s">
        <v>1556</v>
      </c>
      <c r="B1367" s="5">
        <v>45961</v>
      </c>
      <c r="C1367" s="15">
        <f>WEEKNUM(Orders[[#This Row],[OrderDate]])</f>
        <v>44</v>
      </c>
      <c r="D1367" s="15" t="str">
        <f>TEXT(Orders[[#This Row],[OrderDate]],"mmmm")</f>
        <v>October</v>
      </c>
      <c r="E1367" s="4" t="s">
        <v>27</v>
      </c>
      <c r="F1367" s="4" t="s">
        <v>120</v>
      </c>
      <c r="G1367" s="4">
        <v>8</v>
      </c>
      <c r="H1367" s="12">
        <v>12877.9</v>
      </c>
      <c r="I1367" s="13">
        <v>10946.215</v>
      </c>
      <c r="J1367" s="13">
        <f>Orders[[#This Row],[Quantity]]*Orders[[#This Row],[Selling Price]]</f>
        <v>103023.2</v>
      </c>
      <c r="K1367" s="13">
        <f>Orders[[#This Row],[Quantity]]*Orders[[#This Row],[Cost Price]]</f>
        <v>87569.72</v>
      </c>
      <c r="L1367" s="13">
        <f>Orders[[#This Row],[Revenue]]-Orders[[#This Row],[Expenses]]</f>
        <v>15453.479999999996</v>
      </c>
      <c r="M1367" t="s">
        <v>2198</v>
      </c>
      <c r="N1367" t="str">
        <f>_xlfn.XLOOKUP(Orders[[#This Row],[CustomerID]],Customers[CustomerID],Customers[CustomerName])</f>
        <v>Okon Ojo</v>
      </c>
      <c r="O1367" t="str">
        <f>_xlfn.XLOOKUP(Orders[[#This Row],[CustomerID]],Customers[CustomerID],Customers[City])</f>
        <v>Illinois</v>
      </c>
      <c r="P1367" t="str">
        <f>_xlfn.XLOOKUP(Orders[[#This Row],[CustomerID]],Customers[CustomerID],Customers[Gender])</f>
        <v>Male</v>
      </c>
      <c r="Q1367">
        <f>_xlfn.XLOOKUP(Orders[[#This Row],[CustomerID]],Customers[CustomerID],Customers[CustomerAge])</f>
        <v>32</v>
      </c>
      <c r="R1367" t="str">
        <f>IF(Orders[[#This Row],[CustomerAge]]&gt;=35, "Older", "Young")</f>
        <v>Young</v>
      </c>
      <c r="S1367" t="str">
        <f>_xlfn.XLOOKUP(Orders[[#This Row],[ProductID]],Products[ProductID],Products[ProductName])</f>
        <v>Chess</v>
      </c>
      <c r="T1367" t="str">
        <f>_xlfn.XLOOKUP(Orders[[#This Row],[ProductID]],Products[ProductID],Products[Category])</f>
        <v>Games</v>
      </c>
    </row>
    <row r="1368" spans="1:20" x14ac:dyDescent="0.25">
      <c r="A1368" s="4" t="s">
        <v>1557</v>
      </c>
      <c r="B1368" s="5">
        <v>45932</v>
      </c>
      <c r="C1368" s="15">
        <f>WEEKNUM(Orders[[#This Row],[OrderDate]])</f>
        <v>40</v>
      </c>
      <c r="D1368" s="15" t="str">
        <f>TEXT(Orders[[#This Row],[OrderDate]],"mmmm")</f>
        <v>October</v>
      </c>
      <c r="E1368" s="4" t="s">
        <v>110</v>
      </c>
      <c r="F1368" s="4" t="s">
        <v>37</v>
      </c>
      <c r="G1368" s="4">
        <v>9</v>
      </c>
      <c r="H1368" s="12">
        <v>12107.6</v>
      </c>
      <c r="I1368" s="13">
        <v>10291.460000000001</v>
      </c>
      <c r="J1368" s="13">
        <f>Orders[[#This Row],[Quantity]]*Orders[[#This Row],[Selling Price]]</f>
        <v>108968.40000000001</v>
      </c>
      <c r="K1368" s="13">
        <f>Orders[[#This Row],[Quantity]]*Orders[[#This Row],[Cost Price]]</f>
        <v>92623.140000000014</v>
      </c>
      <c r="L1368" s="13">
        <f>Orders[[#This Row],[Revenue]]-Orders[[#This Row],[Expenses]]</f>
        <v>16345.259999999995</v>
      </c>
      <c r="M1368" t="s">
        <v>2219</v>
      </c>
      <c r="N1368" t="str">
        <f>_xlfn.XLOOKUP(Orders[[#This Row],[CustomerID]],Customers[CustomerID],Customers[CustomerName])</f>
        <v>Ngozi Danladi</v>
      </c>
      <c r="O1368" t="str">
        <f>_xlfn.XLOOKUP(Orders[[#This Row],[CustomerID]],Customers[CustomerID],Customers[City])</f>
        <v>Washington</v>
      </c>
      <c r="P1368" t="str">
        <f>_xlfn.XLOOKUP(Orders[[#This Row],[CustomerID]],Customers[CustomerID],Customers[Gender])</f>
        <v>Female</v>
      </c>
      <c r="Q1368">
        <f>_xlfn.XLOOKUP(Orders[[#This Row],[CustomerID]],Customers[CustomerID],Customers[CustomerAge])</f>
        <v>28</v>
      </c>
      <c r="R1368" t="str">
        <f>IF(Orders[[#This Row],[CustomerAge]]&gt;=35, "Older", "Young")</f>
        <v>Young</v>
      </c>
      <c r="S1368" t="str">
        <f>_xlfn.XLOOKUP(Orders[[#This Row],[ProductID]],Products[ProductID],Products[ProductName])</f>
        <v>Iron</v>
      </c>
      <c r="T1368" t="str">
        <f>_xlfn.XLOOKUP(Orders[[#This Row],[ProductID]],Products[ProductID],Products[Category])</f>
        <v>Electronics</v>
      </c>
    </row>
    <row r="1369" spans="1:20" x14ac:dyDescent="0.25">
      <c r="A1369" s="4" t="s">
        <v>1558</v>
      </c>
      <c r="B1369" s="5">
        <v>45968</v>
      </c>
      <c r="C1369" s="15">
        <f>WEEKNUM(Orders[[#This Row],[OrderDate]])</f>
        <v>45</v>
      </c>
      <c r="D1369" s="15" t="str">
        <f>TEXT(Orders[[#This Row],[OrderDate]],"mmmm")</f>
        <v>November</v>
      </c>
      <c r="E1369" s="4" t="s">
        <v>210</v>
      </c>
      <c r="F1369" s="4" t="s">
        <v>53</v>
      </c>
      <c r="G1369" s="4">
        <v>5</v>
      </c>
      <c r="H1369" s="12">
        <v>11181.6</v>
      </c>
      <c r="I1369" s="13">
        <v>9504.36</v>
      </c>
      <c r="J1369" s="13">
        <f>Orders[[#This Row],[Quantity]]*Orders[[#This Row],[Selling Price]]</f>
        <v>55908</v>
      </c>
      <c r="K1369" s="13">
        <f>Orders[[#This Row],[Quantity]]*Orders[[#This Row],[Cost Price]]</f>
        <v>47521.8</v>
      </c>
      <c r="L1369" s="13">
        <f>Orders[[#This Row],[Revenue]]-Orders[[#This Row],[Expenses]]</f>
        <v>8386.1999999999971</v>
      </c>
      <c r="M1369" t="s">
        <v>2209</v>
      </c>
      <c r="N1369" t="str">
        <f>_xlfn.XLOOKUP(Orders[[#This Row],[CustomerID]],Customers[CustomerID],Customers[CustomerName])</f>
        <v>Zainab Bello</v>
      </c>
      <c r="O1369" t="str">
        <f>_xlfn.XLOOKUP(Orders[[#This Row],[CustomerID]],Customers[CustomerID],Customers[City])</f>
        <v>Illinois</v>
      </c>
      <c r="P1369" t="str">
        <f>_xlfn.XLOOKUP(Orders[[#This Row],[CustomerID]],Customers[CustomerID],Customers[Gender])</f>
        <v>Female</v>
      </c>
      <c r="Q1369">
        <f>_xlfn.XLOOKUP(Orders[[#This Row],[CustomerID]],Customers[CustomerID],Customers[CustomerAge])</f>
        <v>27</v>
      </c>
      <c r="R1369" t="str">
        <f>IF(Orders[[#This Row],[CustomerAge]]&gt;=35, "Older", "Young")</f>
        <v>Young</v>
      </c>
      <c r="S1369" t="str">
        <f>_xlfn.XLOOKUP(Orders[[#This Row],[ProductID]],Products[ProductID],Products[ProductName])</f>
        <v>Silver Bangles</v>
      </c>
      <c r="T1369" t="str">
        <f>_xlfn.XLOOKUP(Orders[[#This Row],[ProductID]],Products[ProductID],Products[Category])</f>
        <v>Accessories</v>
      </c>
    </row>
    <row r="1370" spans="1:20" x14ac:dyDescent="0.25">
      <c r="A1370" s="4" t="s">
        <v>1559</v>
      </c>
      <c r="B1370" s="5">
        <v>46018</v>
      </c>
      <c r="C1370" s="15">
        <f>WEEKNUM(Orders[[#This Row],[OrderDate]])</f>
        <v>52</v>
      </c>
      <c r="D1370" s="15" t="str">
        <f>TEXT(Orders[[#This Row],[OrderDate]],"mmmm")</f>
        <v>December</v>
      </c>
      <c r="E1370" s="4" t="s">
        <v>298</v>
      </c>
      <c r="F1370" s="4" t="s">
        <v>253</v>
      </c>
      <c r="G1370" s="4">
        <v>4</v>
      </c>
      <c r="H1370" s="12">
        <v>2005.6</v>
      </c>
      <c r="I1370" s="13">
        <v>1704.76</v>
      </c>
      <c r="J1370" s="13">
        <f>Orders[[#This Row],[Quantity]]*Orders[[#This Row],[Selling Price]]</f>
        <v>8022.4</v>
      </c>
      <c r="K1370" s="13">
        <f>Orders[[#This Row],[Quantity]]*Orders[[#This Row],[Cost Price]]</f>
        <v>6819.04</v>
      </c>
      <c r="L1370" s="13">
        <f>Orders[[#This Row],[Revenue]]-Orders[[#This Row],[Expenses]]</f>
        <v>1203.3599999999997</v>
      </c>
      <c r="M1370" t="s">
        <v>2214</v>
      </c>
      <c r="N1370" t="str">
        <f>_xlfn.XLOOKUP(Orders[[#This Row],[CustomerID]],Customers[CustomerID],Customers[CustomerName])</f>
        <v>Amina Obi</v>
      </c>
      <c r="O1370" t="str">
        <f>_xlfn.XLOOKUP(Orders[[#This Row],[CustomerID]],Customers[CustomerID],Customers[City])</f>
        <v>Florida</v>
      </c>
      <c r="P1370" t="str">
        <f>_xlfn.XLOOKUP(Orders[[#This Row],[CustomerID]],Customers[CustomerID],Customers[Gender])</f>
        <v>Female</v>
      </c>
      <c r="Q1370">
        <f>_xlfn.XLOOKUP(Orders[[#This Row],[CustomerID]],Customers[CustomerID],Customers[CustomerAge])</f>
        <v>19</v>
      </c>
      <c r="R1370" t="str">
        <f>IF(Orders[[#This Row],[CustomerAge]]&gt;=35, "Older", "Young")</f>
        <v>Young</v>
      </c>
      <c r="S1370" t="str">
        <f>_xlfn.XLOOKUP(Orders[[#This Row],[ProductID]],Products[ProductID],Products[ProductName])</f>
        <v>Nose Rings</v>
      </c>
      <c r="T1370" t="str">
        <f>_xlfn.XLOOKUP(Orders[[#This Row],[ProductID]],Products[ProductID],Products[Category])</f>
        <v>Accessories</v>
      </c>
    </row>
    <row r="1371" spans="1:20" x14ac:dyDescent="0.25">
      <c r="A1371" s="4" t="s">
        <v>1560</v>
      </c>
      <c r="B1371" s="5">
        <v>45949</v>
      </c>
      <c r="C1371" s="15">
        <f>WEEKNUM(Orders[[#This Row],[OrderDate]])</f>
        <v>43</v>
      </c>
      <c r="D1371" s="15" t="str">
        <f>TEXT(Orders[[#This Row],[OrderDate]],"mmmm")</f>
        <v>October</v>
      </c>
      <c r="E1371" s="4" t="s">
        <v>113</v>
      </c>
      <c r="F1371" s="4" t="s">
        <v>37</v>
      </c>
      <c r="G1371" s="4">
        <v>1</v>
      </c>
      <c r="H1371" s="12">
        <v>9293.7999999999993</v>
      </c>
      <c r="I1371" s="13">
        <v>7899.73</v>
      </c>
      <c r="J1371" s="13">
        <f>Orders[[#This Row],[Quantity]]*Orders[[#This Row],[Selling Price]]</f>
        <v>9293.7999999999993</v>
      </c>
      <c r="K1371" s="13">
        <f>Orders[[#This Row],[Quantity]]*Orders[[#This Row],[Cost Price]]</f>
        <v>7899.73</v>
      </c>
      <c r="L1371" s="13">
        <f>Orders[[#This Row],[Revenue]]-Orders[[#This Row],[Expenses]]</f>
        <v>1394.0699999999997</v>
      </c>
      <c r="M1371" t="s">
        <v>2212</v>
      </c>
      <c r="N1371" t="str">
        <f>_xlfn.XLOOKUP(Orders[[#This Row],[CustomerID]],Customers[CustomerID],Customers[CustomerName])</f>
        <v>Uche Igwe</v>
      </c>
      <c r="O1371" t="str">
        <f>_xlfn.XLOOKUP(Orders[[#This Row],[CustomerID]],Customers[CustomerID],Customers[City])</f>
        <v>Texas</v>
      </c>
      <c r="P1371" t="str">
        <f>_xlfn.XLOOKUP(Orders[[#This Row],[CustomerID]],Customers[CustomerID],Customers[Gender])</f>
        <v>Male</v>
      </c>
      <c r="Q1371">
        <f>_xlfn.XLOOKUP(Orders[[#This Row],[CustomerID]],Customers[CustomerID],Customers[CustomerAge])</f>
        <v>35</v>
      </c>
      <c r="R1371" t="str">
        <f>IF(Orders[[#This Row],[CustomerAge]]&gt;=35, "Older", "Young")</f>
        <v>Older</v>
      </c>
      <c r="S1371" t="str">
        <f>_xlfn.XLOOKUP(Orders[[#This Row],[ProductID]],Products[ProductID],Products[ProductName])</f>
        <v>Iron</v>
      </c>
      <c r="T1371" t="str">
        <f>_xlfn.XLOOKUP(Orders[[#This Row],[ProductID]],Products[ProductID],Products[Category])</f>
        <v>Electronics</v>
      </c>
    </row>
    <row r="1372" spans="1:20" x14ac:dyDescent="0.25">
      <c r="A1372" s="4" t="s">
        <v>1561</v>
      </c>
      <c r="B1372" s="5">
        <v>45991</v>
      </c>
      <c r="C1372" s="15">
        <f>WEEKNUM(Orders[[#This Row],[OrderDate]])</f>
        <v>49</v>
      </c>
      <c r="D1372" s="15" t="str">
        <f>TEXT(Orders[[#This Row],[OrderDate]],"mmmm")</f>
        <v>November</v>
      </c>
      <c r="E1372" s="4" t="s">
        <v>116</v>
      </c>
      <c r="F1372" s="4" t="s">
        <v>151</v>
      </c>
      <c r="G1372" s="4">
        <v>8</v>
      </c>
      <c r="H1372" s="12">
        <v>10552.9</v>
      </c>
      <c r="I1372" s="13">
        <v>8969.9650000000001</v>
      </c>
      <c r="J1372" s="13">
        <f>Orders[[#This Row],[Quantity]]*Orders[[#This Row],[Selling Price]]</f>
        <v>84423.2</v>
      </c>
      <c r="K1372" s="13">
        <f>Orders[[#This Row],[Quantity]]*Orders[[#This Row],[Cost Price]]</f>
        <v>71759.72</v>
      </c>
      <c r="L1372" s="13">
        <f>Orders[[#This Row],[Revenue]]-Orders[[#This Row],[Expenses]]</f>
        <v>12663.479999999996</v>
      </c>
      <c r="M1372" t="s">
        <v>2194</v>
      </c>
      <c r="N1372" t="str">
        <f>_xlfn.XLOOKUP(Orders[[#This Row],[CustomerID]],Customers[CustomerID],Customers[CustomerName])</f>
        <v>Uche Bello</v>
      </c>
      <c r="O1372" t="str">
        <f>_xlfn.XLOOKUP(Orders[[#This Row],[CustomerID]],Customers[CustomerID],Customers[City])</f>
        <v>Texas</v>
      </c>
      <c r="P1372" t="str">
        <f>_xlfn.XLOOKUP(Orders[[#This Row],[CustomerID]],Customers[CustomerID],Customers[Gender])</f>
        <v>Male</v>
      </c>
      <c r="Q1372">
        <f>_xlfn.XLOOKUP(Orders[[#This Row],[CustomerID]],Customers[CustomerID],Customers[CustomerAge])</f>
        <v>21</v>
      </c>
      <c r="R1372" t="str">
        <f>IF(Orders[[#This Row],[CustomerAge]]&gt;=35, "Older", "Young")</f>
        <v>Young</v>
      </c>
      <c r="S1372" t="str">
        <f>_xlfn.XLOOKUP(Orders[[#This Row],[ProductID]],Products[ProductID],Products[ProductName])</f>
        <v>Checkers</v>
      </c>
      <c r="T1372" t="str">
        <f>_xlfn.XLOOKUP(Orders[[#This Row],[ProductID]],Products[ProductID],Products[Category])</f>
        <v>Games</v>
      </c>
    </row>
    <row r="1373" spans="1:20" x14ac:dyDescent="0.25">
      <c r="A1373" s="4" t="s">
        <v>1562</v>
      </c>
      <c r="B1373" s="5">
        <v>45946</v>
      </c>
      <c r="C1373" s="15">
        <f>WEEKNUM(Orders[[#This Row],[OrderDate]])</f>
        <v>42</v>
      </c>
      <c r="D1373" s="15" t="str">
        <f>TEXT(Orders[[#This Row],[OrderDate]],"mmmm")</f>
        <v>October</v>
      </c>
      <c r="E1373" s="4" t="s">
        <v>39</v>
      </c>
      <c r="F1373" s="4" t="s">
        <v>353</v>
      </c>
      <c r="G1373" s="4">
        <v>4</v>
      </c>
      <c r="H1373" s="12">
        <v>1429</v>
      </c>
      <c r="I1373" s="13">
        <v>1214.6500000000001</v>
      </c>
      <c r="J1373" s="13">
        <f>Orders[[#This Row],[Quantity]]*Orders[[#This Row],[Selling Price]]</f>
        <v>5716</v>
      </c>
      <c r="K1373" s="13">
        <f>Orders[[#This Row],[Quantity]]*Orders[[#This Row],[Cost Price]]</f>
        <v>4858.6000000000004</v>
      </c>
      <c r="L1373" s="13">
        <f>Orders[[#This Row],[Revenue]]-Orders[[#This Row],[Expenses]]</f>
        <v>857.39999999999964</v>
      </c>
      <c r="M1373" t="s">
        <v>2207</v>
      </c>
      <c r="N1373" t="str">
        <f>_xlfn.XLOOKUP(Orders[[#This Row],[CustomerID]],Customers[CustomerID],Customers[CustomerName])</f>
        <v>Efe Adeyemi</v>
      </c>
      <c r="O1373" t="str">
        <f>_xlfn.XLOOKUP(Orders[[#This Row],[CustomerID]],Customers[CustomerID],Customers[City])</f>
        <v>Florida</v>
      </c>
      <c r="P1373" t="str">
        <f>_xlfn.XLOOKUP(Orders[[#This Row],[CustomerID]],Customers[CustomerID],Customers[Gender])</f>
        <v>Female</v>
      </c>
      <c r="Q1373">
        <f>_xlfn.XLOOKUP(Orders[[#This Row],[CustomerID]],Customers[CustomerID],Customers[CustomerAge])</f>
        <v>20</v>
      </c>
      <c r="R1373" t="str">
        <f>IF(Orders[[#This Row],[CustomerAge]]&gt;=35, "Older", "Young")</f>
        <v>Young</v>
      </c>
      <c r="S1373" t="str">
        <f>_xlfn.XLOOKUP(Orders[[#This Row],[ProductID]],Products[ProductID],Products[ProductName])</f>
        <v>Silver Earrings And Necklaces</v>
      </c>
      <c r="T1373" t="str">
        <f>_xlfn.XLOOKUP(Orders[[#This Row],[ProductID]],Products[ProductID],Products[Category])</f>
        <v>Accessories</v>
      </c>
    </row>
    <row r="1374" spans="1:20" x14ac:dyDescent="0.25">
      <c r="A1374" s="4" t="s">
        <v>1563</v>
      </c>
      <c r="B1374" s="5">
        <v>46007</v>
      </c>
      <c r="C1374" s="15">
        <f>WEEKNUM(Orders[[#This Row],[OrderDate]])</f>
        <v>51</v>
      </c>
      <c r="D1374" s="15" t="str">
        <f>TEXT(Orders[[#This Row],[OrderDate]],"mmmm")</f>
        <v>December</v>
      </c>
      <c r="E1374" s="4" t="s">
        <v>468</v>
      </c>
      <c r="F1374" s="4" t="s">
        <v>20</v>
      </c>
      <c r="G1374" s="4">
        <v>10</v>
      </c>
      <c r="H1374" s="12">
        <v>13957.7</v>
      </c>
      <c r="I1374" s="13">
        <v>11864.045</v>
      </c>
      <c r="J1374" s="13">
        <f>Orders[[#This Row],[Quantity]]*Orders[[#This Row],[Selling Price]]</f>
        <v>139577</v>
      </c>
      <c r="K1374" s="13">
        <f>Orders[[#This Row],[Quantity]]*Orders[[#This Row],[Cost Price]]</f>
        <v>118640.45</v>
      </c>
      <c r="L1374" s="13">
        <f>Orders[[#This Row],[Revenue]]-Orders[[#This Row],[Expenses]]</f>
        <v>20936.550000000003</v>
      </c>
      <c r="M1374" t="s">
        <v>2216</v>
      </c>
      <c r="N1374" t="str">
        <f>_xlfn.XLOOKUP(Orders[[#This Row],[CustomerID]],Customers[CustomerID],Customers[CustomerName])</f>
        <v>Chioma Adeyemi</v>
      </c>
      <c r="O1374" t="str">
        <f>_xlfn.XLOOKUP(Orders[[#This Row],[CustomerID]],Customers[CustomerID],Customers[City])</f>
        <v>California</v>
      </c>
      <c r="P1374" t="str">
        <f>_xlfn.XLOOKUP(Orders[[#This Row],[CustomerID]],Customers[CustomerID],Customers[Gender])</f>
        <v>Female</v>
      </c>
      <c r="Q1374">
        <f>_xlfn.XLOOKUP(Orders[[#This Row],[CustomerID]],Customers[CustomerID],Customers[CustomerAge])</f>
        <v>23</v>
      </c>
      <c r="R1374" t="str">
        <f>IF(Orders[[#This Row],[CustomerAge]]&gt;=35, "Older", "Young")</f>
        <v>Young</v>
      </c>
      <c r="S1374" t="str">
        <f>_xlfn.XLOOKUP(Orders[[#This Row],[ProductID]],Products[ProductID],Products[ProductName])</f>
        <v>Gym Bag</v>
      </c>
      <c r="T1374" t="str">
        <f>_xlfn.XLOOKUP(Orders[[#This Row],[ProductID]],Products[ProductID],Products[Category])</f>
        <v>Gym</v>
      </c>
    </row>
    <row r="1375" spans="1:20" x14ac:dyDescent="0.25">
      <c r="A1375" s="4" t="s">
        <v>1564</v>
      </c>
      <c r="B1375" s="5">
        <v>45996</v>
      </c>
      <c r="C1375" s="15">
        <f>WEEKNUM(Orders[[#This Row],[OrderDate]])</f>
        <v>49</v>
      </c>
      <c r="D1375" s="15" t="str">
        <f>TEXT(Orders[[#This Row],[OrderDate]],"mmmm")</f>
        <v>December</v>
      </c>
      <c r="E1375" s="4" t="s">
        <v>78</v>
      </c>
      <c r="F1375" s="4" t="s">
        <v>15</v>
      </c>
      <c r="G1375" s="4">
        <v>8</v>
      </c>
      <c r="H1375" s="12">
        <v>18453.5</v>
      </c>
      <c r="I1375" s="13">
        <v>15685.475</v>
      </c>
      <c r="J1375" s="13">
        <f>Orders[[#This Row],[Quantity]]*Orders[[#This Row],[Selling Price]]</f>
        <v>147628</v>
      </c>
      <c r="K1375" s="13">
        <f>Orders[[#This Row],[Quantity]]*Orders[[#This Row],[Cost Price]]</f>
        <v>125483.8</v>
      </c>
      <c r="L1375" s="13">
        <f>Orders[[#This Row],[Revenue]]-Orders[[#This Row],[Expenses]]</f>
        <v>22144.199999999997</v>
      </c>
      <c r="M1375" t="s">
        <v>2218</v>
      </c>
      <c r="N1375" t="str">
        <f>_xlfn.XLOOKUP(Orders[[#This Row],[CustomerID]],Customers[CustomerID],Customers[CustomerName])</f>
        <v>Chinedu Obi</v>
      </c>
      <c r="O1375" t="str">
        <f>_xlfn.XLOOKUP(Orders[[#This Row],[CustomerID]],Customers[CustomerID],Customers[City])</f>
        <v>Washington</v>
      </c>
      <c r="P1375" t="str">
        <f>_xlfn.XLOOKUP(Orders[[#This Row],[CustomerID]],Customers[CustomerID],Customers[Gender])</f>
        <v>Male</v>
      </c>
      <c r="Q1375">
        <f>_xlfn.XLOOKUP(Orders[[#This Row],[CustomerID]],Customers[CustomerID],Customers[CustomerAge])</f>
        <v>38</v>
      </c>
      <c r="R1375" t="str">
        <f>IF(Orders[[#This Row],[CustomerAge]]&gt;=35, "Older", "Young")</f>
        <v>Older</v>
      </c>
      <c r="S1375" t="str">
        <f>_xlfn.XLOOKUP(Orders[[#This Row],[ProductID]],Products[ProductID],Products[ProductName])</f>
        <v>Monopoly</v>
      </c>
      <c r="T1375" t="str">
        <f>_xlfn.XLOOKUP(Orders[[#This Row],[ProductID]],Products[ProductID],Products[Category])</f>
        <v>Games</v>
      </c>
    </row>
    <row r="1376" spans="1:20" x14ac:dyDescent="0.25">
      <c r="A1376" s="4" t="s">
        <v>1565</v>
      </c>
      <c r="B1376" s="5">
        <v>45972</v>
      </c>
      <c r="C1376" s="15">
        <f>WEEKNUM(Orders[[#This Row],[OrderDate]])</f>
        <v>46</v>
      </c>
      <c r="D1376" s="15" t="str">
        <f>TEXT(Orders[[#This Row],[OrderDate]],"mmmm")</f>
        <v>November</v>
      </c>
      <c r="E1376" s="4" t="s">
        <v>174</v>
      </c>
      <c r="F1376" s="4" t="s">
        <v>125</v>
      </c>
      <c r="G1376" s="4">
        <v>1</v>
      </c>
      <c r="H1376" s="12">
        <v>6854.0999999999995</v>
      </c>
      <c r="I1376" s="13">
        <v>5825.9849999999997</v>
      </c>
      <c r="J1376" s="13">
        <f>Orders[[#This Row],[Quantity]]*Orders[[#This Row],[Selling Price]]</f>
        <v>6854.0999999999995</v>
      </c>
      <c r="K1376" s="13">
        <f>Orders[[#This Row],[Quantity]]*Orders[[#This Row],[Cost Price]]</f>
        <v>5825.9849999999997</v>
      </c>
      <c r="L1376" s="13">
        <f>Orders[[#This Row],[Revenue]]-Orders[[#This Row],[Expenses]]</f>
        <v>1028.1149999999998</v>
      </c>
      <c r="M1376" t="s">
        <v>2208</v>
      </c>
      <c r="N1376" t="str">
        <f>_xlfn.XLOOKUP(Orders[[#This Row],[CustomerID]],Customers[CustomerID],Customers[CustomerName])</f>
        <v>Zainab Obi</v>
      </c>
      <c r="O1376" t="str">
        <f>_xlfn.XLOOKUP(Orders[[#This Row],[CustomerID]],Customers[CustomerID],Customers[City])</f>
        <v>California</v>
      </c>
      <c r="P1376" t="str">
        <f>_xlfn.XLOOKUP(Orders[[#This Row],[CustomerID]],Customers[CustomerID],Customers[Gender])</f>
        <v>Female</v>
      </c>
      <c r="Q1376">
        <f>_xlfn.XLOOKUP(Orders[[#This Row],[CustomerID]],Customers[CustomerID],Customers[CustomerAge])</f>
        <v>18</v>
      </c>
      <c r="R1376" t="str">
        <f>IF(Orders[[#This Row],[CustomerAge]]&gt;=35, "Older", "Young")</f>
        <v>Young</v>
      </c>
      <c r="S1376" t="str">
        <f>_xlfn.XLOOKUP(Orders[[#This Row],[ProductID]],Products[ProductID],Products[ProductName])</f>
        <v>Earrings</v>
      </c>
      <c r="T1376" t="str">
        <f>_xlfn.XLOOKUP(Orders[[#This Row],[ProductID]],Products[ProductID],Products[Category])</f>
        <v>Accessories</v>
      </c>
    </row>
    <row r="1377" spans="1:20" x14ac:dyDescent="0.25">
      <c r="A1377" s="4" t="s">
        <v>1566</v>
      </c>
      <c r="B1377" s="5">
        <v>45982</v>
      </c>
      <c r="C1377" s="15">
        <f>WEEKNUM(Orders[[#This Row],[OrderDate]])</f>
        <v>47</v>
      </c>
      <c r="D1377" s="15" t="str">
        <f>TEXT(Orders[[#This Row],[OrderDate]],"mmmm")</f>
        <v>November</v>
      </c>
      <c r="E1377" s="4" t="s">
        <v>293</v>
      </c>
      <c r="F1377" s="4" t="s">
        <v>76</v>
      </c>
      <c r="G1377" s="4">
        <v>1</v>
      </c>
      <c r="H1377" s="12">
        <v>1360.1</v>
      </c>
      <c r="I1377" s="13">
        <v>1156.085</v>
      </c>
      <c r="J1377" s="13">
        <f>Orders[[#This Row],[Quantity]]*Orders[[#This Row],[Selling Price]]</f>
        <v>1360.1</v>
      </c>
      <c r="K1377" s="13">
        <f>Orders[[#This Row],[Quantity]]*Orders[[#This Row],[Cost Price]]</f>
        <v>1156.085</v>
      </c>
      <c r="L1377" s="13">
        <f>Orders[[#This Row],[Revenue]]-Orders[[#This Row],[Expenses]]</f>
        <v>204.01499999999987</v>
      </c>
      <c r="M1377" t="s">
        <v>2199</v>
      </c>
      <c r="N1377" t="str">
        <f>_xlfn.XLOOKUP(Orders[[#This Row],[CustomerID]],Customers[CustomerID],Customers[CustomerName])</f>
        <v>Tunde Eze</v>
      </c>
      <c r="O1377" t="str">
        <f>_xlfn.XLOOKUP(Orders[[#This Row],[CustomerID]],Customers[CustomerID],Customers[City])</f>
        <v>Florida</v>
      </c>
      <c r="P1377" t="str">
        <f>_xlfn.XLOOKUP(Orders[[#This Row],[CustomerID]],Customers[CustomerID],Customers[Gender])</f>
        <v>Male</v>
      </c>
      <c r="Q1377">
        <f>_xlfn.XLOOKUP(Orders[[#This Row],[CustomerID]],Customers[CustomerID],Customers[CustomerAge])</f>
        <v>46</v>
      </c>
      <c r="R1377" t="str">
        <f>IF(Orders[[#This Row],[CustomerAge]]&gt;=35, "Older", "Young")</f>
        <v>Older</v>
      </c>
      <c r="S1377" t="str">
        <f>_xlfn.XLOOKUP(Orders[[#This Row],[ProductID]],Products[ProductID],Products[ProductName])</f>
        <v>Blender</v>
      </c>
      <c r="T1377" t="str">
        <f>_xlfn.XLOOKUP(Orders[[#This Row],[ProductID]],Products[ProductID],Products[Category])</f>
        <v>Electronics</v>
      </c>
    </row>
    <row r="1378" spans="1:20" x14ac:dyDescent="0.25">
      <c r="A1378" s="4" t="s">
        <v>1567</v>
      </c>
      <c r="B1378" s="5">
        <v>45952</v>
      </c>
      <c r="C1378" s="15">
        <f>WEEKNUM(Orders[[#This Row],[OrderDate]])</f>
        <v>43</v>
      </c>
      <c r="D1378" s="15" t="str">
        <f>TEXT(Orders[[#This Row],[OrderDate]],"mmmm")</f>
        <v>October</v>
      </c>
      <c r="E1378" s="4" t="s">
        <v>227</v>
      </c>
      <c r="F1378" s="4" t="s">
        <v>168</v>
      </c>
      <c r="G1378" s="4">
        <v>4</v>
      </c>
      <c r="H1378" s="12">
        <v>7763.9</v>
      </c>
      <c r="I1378" s="13">
        <v>6599.3149999999996</v>
      </c>
      <c r="J1378" s="13">
        <f>Orders[[#This Row],[Quantity]]*Orders[[#This Row],[Selling Price]]</f>
        <v>31055.599999999999</v>
      </c>
      <c r="K1378" s="13">
        <f>Orders[[#This Row],[Quantity]]*Orders[[#This Row],[Cost Price]]</f>
        <v>26397.26</v>
      </c>
      <c r="L1378" s="13">
        <f>Orders[[#This Row],[Revenue]]-Orders[[#This Row],[Expenses]]</f>
        <v>4658.34</v>
      </c>
      <c r="M1378" t="s">
        <v>2197</v>
      </c>
      <c r="N1378" t="str">
        <f>_xlfn.XLOOKUP(Orders[[#This Row],[CustomerID]],Customers[CustomerID],Customers[CustomerName])</f>
        <v>Emmanuel Victor</v>
      </c>
      <c r="O1378" t="str">
        <f>_xlfn.XLOOKUP(Orders[[#This Row],[CustomerID]],Customers[CustomerID],Customers[City])</f>
        <v>Washington</v>
      </c>
      <c r="P1378" t="str">
        <f>_xlfn.XLOOKUP(Orders[[#This Row],[CustomerID]],Customers[CustomerID],Customers[Gender])</f>
        <v>Male</v>
      </c>
      <c r="Q1378">
        <f>_xlfn.XLOOKUP(Orders[[#This Row],[CustomerID]],Customers[CustomerID],Customers[CustomerAge])</f>
        <v>35</v>
      </c>
      <c r="R1378" t="str">
        <f>IF(Orders[[#This Row],[CustomerAge]]&gt;=35, "Older", "Young")</f>
        <v>Older</v>
      </c>
      <c r="S1378" t="str">
        <f>_xlfn.XLOOKUP(Orders[[#This Row],[ProductID]],Products[ProductID],Products[ProductName])</f>
        <v>Dumb Bells</v>
      </c>
      <c r="T1378" t="str">
        <f>_xlfn.XLOOKUP(Orders[[#This Row],[ProductID]],Products[ProductID],Products[Category])</f>
        <v>Gym</v>
      </c>
    </row>
    <row r="1379" spans="1:20" x14ac:dyDescent="0.25">
      <c r="A1379" s="4" t="s">
        <v>1568</v>
      </c>
      <c r="B1379" s="5">
        <v>45997</v>
      </c>
      <c r="C1379" s="15">
        <f>WEEKNUM(Orders[[#This Row],[OrderDate]])</f>
        <v>49</v>
      </c>
      <c r="D1379" s="15" t="str">
        <f>TEXT(Orders[[#This Row],[OrderDate]],"mmmm")</f>
        <v>December</v>
      </c>
      <c r="E1379" s="4" t="s">
        <v>252</v>
      </c>
      <c r="F1379" s="4" t="s">
        <v>60</v>
      </c>
      <c r="G1379" s="4">
        <v>1</v>
      </c>
      <c r="H1379" s="12">
        <v>18205.2</v>
      </c>
      <c r="I1379" s="13">
        <v>15474.42</v>
      </c>
      <c r="J1379" s="13">
        <f>Orders[[#This Row],[Quantity]]*Orders[[#This Row],[Selling Price]]</f>
        <v>18205.2</v>
      </c>
      <c r="K1379" s="13">
        <f>Orders[[#This Row],[Quantity]]*Orders[[#This Row],[Cost Price]]</f>
        <v>15474.42</v>
      </c>
      <c r="L1379" s="13">
        <f>Orders[[#This Row],[Revenue]]-Orders[[#This Row],[Expenses]]</f>
        <v>2730.7800000000007</v>
      </c>
      <c r="M1379" t="s">
        <v>2201</v>
      </c>
      <c r="N1379" t="str">
        <f>_xlfn.XLOOKUP(Orders[[#This Row],[CustomerID]],Customers[CustomerID],Customers[CustomerName])</f>
        <v>Chioma Adeyemi</v>
      </c>
      <c r="O1379" t="str">
        <f>_xlfn.XLOOKUP(Orders[[#This Row],[CustomerID]],Customers[CustomerID],Customers[City])</f>
        <v>Texas</v>
      </c>
      <c r="P1379" t="str">
        <f>_xlfn.XLOOKUP(Orders[[#This Row],[CustomerID]],Customers[CustomerID],Customers[Gender])</f>
        <v>Female</v>
      </c>
      <c r="Q1379">
        <f>_xlfn.XLOOKUP(Orders[[#This Row],[CustomerID]],Customers[CustomerID],Customers[CustomerAge])</f>
        <v>20</v>
      </c>
      <c r="R1379" t="str">
        <f>IF(Orders[[#This Row],[CustomerAge]]&gt;=35, "Older", "Young")</f>
        <v>Young</v>
      </c>
      <c r="S1379" t="str">
        <f>_xlfn.XLOOKUP(Orders[[#This Row],[ProductID]],Products[ProductID],Products[ProductName])</f>
        <v>Silver Rings</v>
      </c>
      <c r="T1379" t="str">
        <f>_xlfn.XLOOKUP(Orders[[#This Row],[ProductID]],Products[ProductID],Products[Category])</f>
        <v>Accessories</v>
      </c>
    </row>
    <row r="1380" spans="1:20" x14ac:dyDescent="0.25">
      <c r="A1380" s="4" t="s">
        <v>1569</v>
      </c>
      <c r="B1380" s="5">
        <v>45993</v>
      </c>
      <c r="C1380" s="15">
        <f>WEEKNUM(Orders[[#This Row],[OrderDate]])</f>
        <v>49</v>
      </c>
      <c r="D1380" s="15" t="str">
        <f>TEXT(Orders[[#This Row],[OrderDate]],"mmmm")</f>
        <v>December</v>
      </c>
      <c r="E1380" s="4" t="s">
        <v>43</v>
      </c>
      <c r="F1380" s="4" t="s">
        <v>37</v>
      </c>
      <c r="G1380" s="4">
        <v>7</v>
      </c>
      <c r="H1380" s="12">
        <v>18633.2</v>
      </c>
      <c r="I1380" s="13">
        <v>15838.220000000001</v>
      </c>
      <c r="J1380" s="13">
        <f>Orders[[#This Row],[Quantity]]*Orders[[#This Row],[Selling Price]]</f>
        <v>130432.40000000001</v>
      </c>
      <c r="K1380" s="13">
        <f>Orders[[#This Row],[Quantity]]*Orders[[#This Row],[Cost Price]]</f>
        <v>110867.54000000001</v>
      </c>
      <c r="L1380" s="13">
        <f>Orders[[#This Row],[Revenue]]-Orders[[#This Row],[Expenses]]</f>
        <v>19564.86</v>
      </c>
      <c r="M1380" t="s">
        <v>2209</v>
      </c>
      <c r="N1380" t="str">
        <f>_xlfn.XLOOKUP(Orders[[#This Row],[CustomerID]],Customers[CustomerID],Customers[CustomerName])</f>
        <v>Mustafa Danladi</v>
      </c>
      <c r="O1380" t="str">
        <f>_xlfn.XLOOKUP(Orders[[#This Row],[CustomerID]],Customers[CustomerID],Customers[City])</f>
        <v>Georgia</v>
      </c>
      <c r="P1380" t="str">
        <f>_xlfn.XLOOKUP(Orders[[#This Row],[CustomerID]],Customers[CustomerID],Customers[Gender])</f>
        <v>Male</v>
      </c>
      <c r="Q1380">
        <f>_xlfn.XLOOKUP(Orders[[#This Row],[CustomerID]],Customers[CustomerID],Customers[CustomerAge])</f>
        <v>49</v>
      </c>
      <c r="R1380" t="str">
        <f>IF(Orders[[#This Row],[CustomerAge]]&gt;=35, "Older", "Young")</f>
        <v>Older</v>
      </c>
      <c r="S1380" t="str">
        <f>_xlfn.XLOOKUP(Orders[[#This Row],[ProductID]],Products[ProductID],Products[ProductName])</f>
        <v>Iron</v>
      </c>
      <c r="T1380" t="str">
        <f>_xlfn.XLOOKUP(Orders[[#This Row],[ProductID]],Products[ProductID],Products[Category])</f>
        <v>Electronics</v>
      </c>
    </row>
    <row r="1381" spans="1:20" x14ac:dyDescent="0.25">
      <c r="A1381" s="4" t="s">
        <v>1570</v>
      </c>
      <c r="B1381" s="5">
        <v>45977</v>
      </c>
      <c r="C1381" s="15">
        <f>WEEKNUM(Orders[[#This Row],[OrderDate]])</f>
        <v>47</v>
      </c>
      <c r="D1381" s="15" t="str">
        <f>TEXT(Orders[[#This Row],[OrderDate]],"mmmm")</f>
        <v>November</v>
      </c>
      <c r="E1381" s="4" t="s">
        <v>176</v>
      </c>
      <c r="F1381" s="4" t="s">
        <v>120</v>
      </c>
      <c r="G1381" s="4">
        <v>8</v>
      </c>
      <c r="H1381" s="12">
        <v>19792.599999999999</v>
      </c>
      <c r="I1381" s="13">
        <v>16823.71</v>
      </c>
      <c r="J1381" s="13">
        <f>Orders[[#This Row],[Quantity]]*Orders[[#This Row],[Selling Price]]</f>
        <v>158340.79999999999</v>
      </c>
      <c r="K1381" s="13">
        <f>Orders[[#This Row],[Quantity]]*Orders[[#This Row],[Cost Price]]</f>
        <v>134589.68</v>
      </c>
      <c r="L1381" s="13">
        <f>Orders[[#This Row],[Revenue]]-Orders[[#This Row],[Expenses]]</f>
        <v>23751.119999999995</v>
      </c>
      <c r="M1381" t="s">
        <v>2199</v>
      </c>
      <c r="N1381" t="str">
        <f>_xlfn.XLOOKUP(Orders[[#This Row],[CustomerID]],Customers[CustomerID],Customers[CustomerName])</f>
        <v>Okon Eze</v>
      </c>
      <c r="O1381" t="str">
        <f>_xlfn.XLOOKUP(Orders[[#This Row],[CustomerID]],Customers[CustomerID],Customers[City])</f>
        <v>Florida</v>
      </c>
      <c r="P1381" t="str">
        <f>_xlfn.XLOOKUP(Orders[[#This Row],[CustomerID]],Customers[CustomerID],Customers[Gender])</f>
        <v>Male</v>
      </c>
      <c r="Q1381">
        <f>_xlfn.XLOOKUP(Orders[[#This Row],[CustomerID]],Customers[CustomerID],Customers[CustomerAge])</f>
        <v>26</v>
      </c>
      <c r="R1381" t="str">
        <f>IF(Orders[[#This Row],[CustomerAge]]&gt;=35, "Older", "Young")</f>
        <v>Young</v>
      </c>
      <c r="S1381" t="str">
        <f>_xlfn.XLOOKUP(Orders[[#This Row],[ProductID]],Products[ProductID],Products[ProductName])</f>
        <v>Chess</v>
      </c>
      <c r="T1381" t="str">
        <f>_xlfn.XLOOKUP(Orders[[#This Row],[ProductID]],Products[ProductID],Products[Category])</f>
        <v>Games</v>
      </c>
    </row>
    <row r="1382" spans="1:20" x14ac:dyDescent="0.25">
      <c r="A1382" s="4" t="s">
        <v>1571</v>
      </c>
      <c r="B1382" s="5">
        <v>45970</v>
      </c>
      <c r="C1382" s="15">
        <f>WEEKNUM(Orders[[#This Row],[OrderDate]])</f>
        <v>46</v>
      </c>
      <c r="D1382" s="15" t="str">
        <f>TEXT(Orders[[#This Row],[OrderDate]],"mmmm")</f>
        <v>November</v>
      </c>
      <c r="E1382" s="4" t="s">
        <v>218</v>
      </c>
      <c r="F1382" s="4" t="s">
        <v>253</v>
      </c>
      <c r="G1382" s="4">
        <v>5</v>
      </c>
      <c r="H1382" s="12">
        <v>6117.5</v>
      </c>
      <c r="I1382" s="13">
        <v>5199.875</v>
      </c>
      <c r="J1382" s="13">
        <f>Orders[[#This Row],[Quantity]]*Orders[[#This Row],[Selling Price]]</f>
        <v>30587.5</v>
      </c>
      <c r="K1382" s="13">
        <f>Orders[[#This Row],[Quantity]]*Orders[[#This Row],[Cost Price]]</f>
        <v>25999.375</v>
      </c>
      <c r="L1382" s="13">
        <f>Orders[[#This Row],[Revenue]]-Orders[[#This Row],[Expenses]]</f>
        <v>4588.125</v>
      </c>
      <c r="M1382" t="s">
        <v>2206</v>
      </c>
      <c r="N1382" t="str">
        <f>_xlfn.XLOOKUP(Orders[[#This Row],[CustomerID]],Customers[CustomerID],Customers[CustomerName])</f>
        <v>Temi Danladi</v>
      </c>
      <c r="O1382" t="str">
        <f>_xlfn.XLOOKUP(Orders[[#This Row],[CustomerID]],Customers[CustomerID],Customers[City])</f>
        <v>Florida</v>
      </c>
      <c r="P1382" t="str">
        <f>_xlfn.XLOOKUP(Orders[[#This Row],[CustomerID]],Customers[CustomerID],Customers[Gender])</f>
        <v>Female</v>
      </c>
      <c r="Q1382">
        <f>_xlfn.XLOOKUP(Orders[[#This Row],[CustomerID]],Customers[CustomerID],Customers[CustomerAge])</f>
        <v>48</v>
      </c>
      <c r="R1382" t="str">
        <f>IF(Orders[[#This Row],[CustomerAge]]&gt;=35, "Older", "Young")</f>
        <v>Older</v>
      </c>
      <c r="S1382" t="str">
        <f>_xlfn.XLOOKUP(Orders[[#This Row],[ProductID]],Products[ProductID],Products[ProductName])</f>
        <v>Nose Rings</v>
      </c>
      <c r="T1382" t="str">
        <f>_xlfn.XLOOKUP(Orders[[#This Row],[ProductID]],Products[ProductID],Products[Category])</f>
        <v>Accessories</v>
      </c>
    </row>
    <row r="1383" spans="1:20" x14ac:dyDescent="0.25">
      <c r="A1383" s="4" t="s">
        <v>1572</v>
      </c>
      <c r="B1383" s="5">
        <v>46012</v>
      </c>
      <c r="C1383" s="15">
        <f>WEEKNUM(Orders[[#This Row],[OrderDate]])</f>
        <v>52</v>
      </c>
      <c r="D1383" s="15" t="str">
        <f>TEXT(Orders[[#This Row],[OrderDate]],"mmmm")</f>
        <v>December</v>
      </c>
      <c r="E1383" s="4" t="s">
        <v>39</v>
      </c>
      <c r="F1383" s="4" t="s">
        <v>208</v>
      </c>
      <c r="G1383" s="4">
        <v>4</v>
      </c>
      <c r="H1383" s="12">
        <v>2512.7000000000003</v>
      </c>
      <c r="I1383" s="13">
        <v>2135.7950000000001</v>
      </c>
      <c r="J1383" s="13">
        <f>Orders[[#This Row],[Quantity]]*Orders[[#This Row],[Selling Price]]</f>
        <v>10050.800000000001</v>
      </c>
      <c r="K1383" s="13">
        <f>Orders[[#This Row],[Quantity]]*Orders[[#This Row],[Cost Price]]</f>
        <v>8543.18</v>
      </c>
      <c r="L1383" s="13">
        <f>Orders[[#This Row],[Revenue]]-Orders[[#This Row],[Expenses]]</f>
        <v>1507.6200000000008</v>
      </c>
      <c r="M1383" t="s">
        <v>2218</v>
      </c>
      <c r="N1383" t="str">
        <f>_xlfn.XLOOKUP(Orders[[#This Row],[CustomerID]],Customers[CustomerID],Customers[CustomerName])</f>
        <v>Efe Adeyemi</v>
      </c>
      <c r="O1383" t="str">
        <f>_xlfn.XLOOKUP(Orders[[#This Row],[CustomerID]],Customers[CustomerID],Customers[City])</f>
        <v>Florida</v>
      </c>
      <c r="P1383" t="str">
        <f>_xlfn.XLOOKUP(Orders[[#This Row],[CustomerID]],Customers[CustomerID],Customers[Gender])</f>
        <v>Female</v>
      </c>
      <c r="Q1383">
        <f>_xlfn.XLOOKUP(Orders[[#This Row],[CustomerID]],Customers[CustomerID],Customers[CustomerAge])</f>
        <v>20</v>
      </c>
      <c r="R1383" t="str">
        <f>IF(Orders[[#This Row],[CustomerAge]]&gt;=35, "Older", "Young")</f>
        <v>Young</v>
      </c>
      <c r="S1383" t="str">
        <f>_xlfn.XLOOKUP(Orders[[#This Row],[ProductID]],Products[ProductID],Products[ProductName])</f>
        <v>Skipping Rope</v>
      </c>
      <c r="T1383" t="str">
        <f>_xlfn.XLOOKUP(Orders[[#This Row],[ProductID]],Products[ProductID],Products[Category])</f>
        <v>Sports</v>
      </c>
    </row>
    <row r="1384" spans="1:20" x14ac:dyDescent="0.25">
      <c r="A1384" s="4" t="s">
        <v>1573</v>
      </c>
      <c r="B1384" s="5">
        <v>45979</v>
      </c>
      <c r="C1384" s="15">
        <f>WEEKNUM(Orders[[#This Row],[OrderDate]])</f>
        <v>47</v>
      </c>
      <c r="D1384" s="15" t="str">
        <f>TEXT(Orders[[#This Row],[OrderDate]],"mmmm")</f>
        <v>November</v>
      </c>
      <c r="E1384" s="4" t="s">
        <v>161</v>
      </c>
      <c r="F1384" s="4" t="s">
        <v>157</v>
      </c>
      <c r="G1384" s="4">
        <v>8</v>
      </c>
      <c r="H1384" s="12">
        <v>8401.6</v>
      </c>
      <c r="I1384" s="13">
        <v>7141.3600000000006</v>
      </c>
      <c r="J1384" s="13">
        <f>Orders[[#This Row],[Quantity]]*Orders[[#This Row],[Selling Price]]</f>
        <v>67212.800000000003</v>
      </c>
      <c r="K1384" s="13">
        <f>Orders[[#This Row],[Quantity]]*Orders[[#This Row],[Cost Price]]</f>
        <v>57130.880000000005</v>
      </c>
      <c r="L1384" s="13">
        <f>Orders[[#This Row],[Revenue]]-Orders[[#This Row],[Expenses]]</f>
        <v>10081.919999999998</v>
      </c>
      <c r="M1384" t="s">
        <v>2209</v>
      </c>
      <c r="N1384" t="str">
        <f>_xlfn.XLOOKUP(Orders[[#This Row],[CustomerID]],Customers[CustomerID],Customers[CustomerName])</f>
        <v>Okon Adeyemi</v>
      </c>
      <c r="O1384" t="str">
        <f>_xlfn.XLOOKUP(Orders[[#This Row],[CustomerID]],Customers[CustomerID],Customers[City])</f>
        <v>Georgia</v>
      </c>
      <c r="P1384" t="str">
        <f>_xlfn.XLOOKUP(Orders[[#This Row],[CustomerID]],Customers[CustomerID],Customers[Gender])</f>
        <v>Male</v>
      </c>
      <c r="Q1384">
        <f>_xlfn.XLOOKUP(Orders[[#This Row],[CustomerID]],Customers[CustomerID],Customers[CustomerAge])</f>
        <v>31</v>
      </c>
      <c r="R1384" t="str">
        <f>IF(Orders[[#This Row],[CustomerAge]]&gt;=35, "Older", "Young")</f>
        <v>Young</v>
      </c>
      <c r="S1384" t="str">
        <f>_xlfn.XLOOKUP(Orders[[#This Row],[ProductID]],Products[ProductID],Products[ProductName])</f>
        <v>Football</v>
      </c>
      <c r="T1384" t="str">
        <f>_xlfn.XLOOKUP(Orders[[#This Row],[ProductID]],Products[ProductID],Products[Category])</f>
        <v>Sports</v>
      </c>
    </row>
    <row r="1385" spans="1:20" x14ac:dyDescent="0.25">
      <c r="A1385" s="4" t="s">
        <v>1574</v>
      </c>
      <c r="B1385" s="5">
        <v>45959</v>
      </c>
      <c r="C1385" s="15">
        <f>WEEKNUM(Orders[[#This Row],[OrderDate]])</f>
        <v>44</v>
      </c>
      <c r="D1385" s="15" t="str">
        <f>TEXT(Orders[[#This Row],[OrderDate]],"mmmm")</f>
        <v>October</v>
      </c>
      <c r="E1385" s="4" t="s">
        <v>83</v>
      </c>
      <c r="F1385" s="4" t="s">
        <v>84</v>
      </c>
      <c r="G1385" s="4">
        <v>9</v>
      </c>
      <c r="H1385" s="12">
        <v>17700</v>
      </c>
      <c r="I1385" s="13">
        <v>15045</v>
      </c>
      <c r="J1385" s="13">
        <f>Orders[[#This Row],[Quantity]]*Orders[[#This Row],[Selling Price]]</f>
        <v>159300</v>
      </c>
      <c r="K1385" s="13">
        <f>Orders[[#This Row],[Quantity]]*Orders[[#This Row],[Cost Price]]</f>
        <v>135405</v>
      </c>
      <c r="L1385" s="13">
        <f>Orders[[#This Row],[Revenue]]-Orders[[#This Row],[Expenses]]</f>
        <v>23895</v>
      </c>
      <c r="M1385" t="s">
        <v>2216</v>
      </c>
      <c r="N1385" t="str">
        <f>_xlfn.XLOOKUP(Orders[[#This Row],[CustomerID]],Customers[CustomerID],Customers[CustomerName])</f>
        <v>Funke Danladi</v>
      </c>
      <c r="O1385" t="str">
        <f>_xlfn.XLOOKUP(Orders[[#This Row],[CustomerID]],Customers[CustomerID],Customers[City])</f>
        <v>Florida</v>
      </c>
      <c r="P1385" t="str">
        <f>_xlfn.XLOOKUP(Orders[[#This Row],[CustomerID]],Customers[CustomerID],Customers[Gender])</f>
        <v>Female</v>
      </c>
      <c r="Q1385">
        <f>_xlfn.XLOOKUP(Orders[[#This Row],[CustomerID]],Customers[CustomerID],Customers[CustomerAge])</f>
        <v>26</v>
      </c>
      <c r="R1385" t="str">
        <f>IF(Orders[[#This Row],[CustomerAge]]&gt;=35, "Older", "Young")</f>
        <v>Young</v>
      </c>
      <c r="S1385" t="str">
        <f>_xlfn.XLOOKUP(Orders[[#This Row],[ProductID]],Products[ProductID],Products[ProductName])</f>
        <v>Gym Wears</v>
      </c>
      <c r="T1385" t="str">
        <f>_xlfn.XLOOKUP(Orders[[#This Row],[ProductID]],Products[ProductID],Products[Category])</f>
        <v>Clothing</v>
      </c>
    </row>
    <row r="1386" spans="1:20" x14ac:dyDescent="0.25">
      <c r="A1386" s="4" t="s">
        <v>1575</v>
      </c>
      <c r="B1386" s="5">
        <v>45948</v>
      </c>
      <c r="C1386" s="15">
        <f>WEEKNUM(Orders[[#This Row],[OrderDate]])</f>
        <v>42</v>
      </c>
      <c r="D1386" s="15" t="str">
        <f>TEXT(Orders[[#This Row],[OrderDate]],"mmmm")</f>
        <v>October</v>
      </c>
      <c r="E1386" s="4" t="s">
        <v>314</v>
      </c>
      <c r="F1386" s="4" t="s">
        <v>125</v>
      </c>
      <c r="G1386" s="4">
        <v>8</v>
      </c>
      <c r="H1386" s="12">
        <v>12017.1</v>
      </c>
      <c r="I1386" s="13">
        <v>10214.535</v>
      </c>
      <c r="J1386" s="13">
        <f>Orders[[#This Row],[Quantity]]*Orders[[#This Row],[Selling Price]]</f>
        <v>96136.8</v>
      </c>
      <c r="K1386" s="13">
        <f>Orders[[#This Row],[Quantity]]*Orders[[#This Row],[Cost Price]]</f>
        <v>81716.28</v>
      </c>
      <c r="L1386" s="13">
        <f>Orders[[#This Row],[Revenue]]-Orders[[#This Row],[Expenses]]</f>
        <v>14420.520000000004</v>
      </c>
      <c r="M1386" t="s">
        <v>2216</v>
      </c>
      <c r="N1386" t="str">
        <f>_xlfn.XLOOKUP(Orders[[#This Row],[CustomerID]],Customers[CustomerID],Customers[CustomerName])</f>
        <v>Bisi Ojo</v>
      </c>
      <c r="O1386" t="str">
        <f>_xlfn.XLOOKUP(Orders[[#This Row],[CustomerID]],Customers[CustomerID],Customers[City])</f>
        <v>Washington</v>
      </c>
      <c r="P1386" t="str">
        <f>_xlfn.XLOOKUP(Orders[[#This Row],[CustomerID]],Customers[CustomerID],Customers[Gender])</f>
        <v>Female</v>
      </c>
      <c r="Q1386">
        <f>_xlfn.XLOOKUP(Orders[[#This Row],[CustomerID]],Customers[CustomerID],Customers[CustomerAge])</f>
        <v>18</v>
      </c>
      <c r="R1386" t="str">
        <f>IF(Orders[[#This Row],[CustomerAge]]&gt;=35, "Older", "Young")</f>
        <v>Young</v>
      </c>
      <c r="S1386" t="str">
        <f>_xlfn.XLOOKUP(Orders[[#This Row],[ProductID]],Products[ProductID],Products[ProductName])</f>
        <v>Earrings</v>
      </c>
      <c r="T1386" t="str">
        <f>_xlfn.XLOOKUP(Orders[[#This Row],[ProductID]],Products[ProductID],Products[Category])</f>
        <v>Accessories</v>
      </c>
    </row>
    <row r="1387" spans="1:20" x14ac:dyDescent="0.25">
      <c r="A1387" s="4" t="s">
        <v>1576</v>
      </c>
      <c r="B1387" s="5">
        <v>45934</v>
      </c>
      <c r="C1387" s="15">
        <f>WEEKNUM(Orders[[#This Row],[OrderDate]])</f>
        <v>40</v>
      </c>
      <c r="D1387" s="15" t="str">
        <f>TEXT(Orders[[#This Row],[OrderDate]],"mmmm")</f>
        <v>October</v>
      </c>
      <c r="E1387" s="4" t="s">
        <v>122</v>
      </c>
      <c r="F1387" s="4" t="s">
        <v>60</v>
      </c>
      <c r="G1387" s="4">
        <v>4</v>
      </c>
      <c r="H1387" s="12">
        <v>12980</v>
      </c>
      <c r="I1387" s="13">
        <v>11033</v>
      </c>
      <c r="J1387" s="13">
        <f>Orders[[#This Row],[Quantity]]*Orders[[#This Row],[Selling Price]]</f>
        <v>51920</v>
      </c>
      <c r="K1387" s="13">
        <f>Orders[[#This Row],[Quantity]]*Orders[[#This Row],[Cost Price]]</f>
        <v>44132</v>
      </c>
      <c r="L1387" s="13">
        <f>Orders[[#This Row],[Revenue]]-Orders[[#This Row],[Expenses]]</f>
        <v>7788</v>
      </c>
      <c r="M1387" t="s">
        <v>2207</v>
      </c>
      <c r="N1387" t="str">
        <f>_xlfn.XLOOKUP(Orders[[#This Row],[CustomerID]],Customers[CustomerID],Customers[CustomerName])</f>
        <v>Ibrahim Eze</v>
      </c>
      <c r="O1387" t="str">
        <f>_xlfn.XLOOKUP(Orders[[#This Row],[CustomerID]],Customers[CustomerID],Customers[City])</f>
        <v>Texas</v>
      </c>
      <c r="P1387" t="str">
        <f>_xlfn.XLOOKUP(Orders[[#This Row],[CustomerID]],Customers[CustomerID],Customers[Gender])</f>
        <v>Male</v>
      </c>
      <c r="Q1387">
        <f>_xlfn.XLOOKUP(Orders[[#This Row],[CustomerID]],Customers[CustomerID],Customers[CustomerAge])</f>
        <v>52</v>
      </c>
      <c r="R1387" t="str">
        <f>IF(Orders[[#This Row],[CustomerAge]]&gt;=35, "Older", "Young")</f>
        <v>Older</v>
      </c>
      <c r="S1387" t="str">
        <f>_xlfn.XLOOKUP(Orders[[#This Row],[ProductID]],Products[ProductID],Products[ProductName])</f>
        <v>Silver Rings</v>
      </c>
      <c r="T1387" t="str">
        <f>_xlfn.XLOOKUP(Orders[[#This Row],[ProductID]],Products[ProductID],Products[Category])</f>
        <v>Accessories</v>
      </c>
    </row>
    <row r="1388" spans="1:20" x14ac:dyDescent="0.25">
      <c r="A1388" s="4" t="s">
        <v>1577</v>
      </c>
      <c r="B1388" s="5">
        <v>45951</v>
      </c>
      <c r="C1388" s="15">
        <f>WEEKNUM(Orders[[#This Row],[OrderDate]])</f>
        <v>43</v>
      </c>
      <c r="D1388" s="15" t="str">
        <f>TEXT(Orders[[#This Row],[OrderDate]],"mmmm")</f>
        <v>October</v>
      </c>
      <c r="E1388" s="4" t="s">
        <v>333</v>
      </c>
      <c r="F1388" s="4" t="s">
        <v>189</v>
      </c>
      <c r="G1388" s="4">
        <v>7</v>
      </c>
      <c r="H1388" s="12">
        <v>16890.599999999999</v>
      </c>
      <c r="I1388" s="13">
        <v>14357.009999999998</v>
      </c>
      <c r="J1388" s="13">
        <f>Orders[[#This Row],[Quantity]]*Orders[[#This Row],[Selling Price]]</f>
        <v>118234.19999999998</v>
      </c>
      <c r="K1388" s="13">
        <f>Orders[[#This Row],[Quantity]]*Orders[[#This Row],[Cost Price]]</f>
        <v>100499.06999999999</v>
      </c>
      <c r="L1388" s="13">
        <f>Orders[[#This Row],[Revenue]]-Orders[[#This Row],[Expenses]]</f>
        <v>17735.12999999999</v>
      </c>
      <c r="M1388" t="s">
        <v>2205</v>
      </c>
      <c r="N1388" t="str">
        <f>_xlfn.XLOOKUP(Orders[[#This Row],[CustomerID]],Customers[CustomerID],Customers[CustomerName])</f>
        <v>Emeka Obi</v>
      </c>
      <c r="O1388" t="str">
        <f>_xlfn.XLOOKUP(Orders[[#This Row],[CustomerID]],Customers[CustomerID],Customers[City])</f>
        <v>Washington</v>
      </c>
      <c r="P1388" t="str">
        <f>_xlfn.XLOOKUP(Orders[[#This Row],[CustomerID]],Customers[CustomerID],Customers[Gender])</f>
        <v>Male</v>
      </c>
      <c r="Q1388">
        <f>_xlfn.XLOOKUP(Orders[[#This Row],[CustomerID]],Customers[CustomerID],Customers[CustomerAge])</f>
        <v>44</v>
      </c>
      <c r="R1388" t="str">
        <f>IF(Orders[[#This Row],[CustomerAge]]&gt;=35, "Older", "Young")</f>
        <v>Older</v>
      </c>
      <c r="S1388" t="str">
        <f>_xlfn.XLOOKUP(Orders[[#This Row],[ProductID]],Products[ProductID],Products[ProductName])</f>
        <v>Scrabble</v>
      </c>
      <c r="T1388" t="str">
        <f>_xlfn.XLOOKUP(Orders[[#This Row],[ProductID]],Products[ProductID],Products[Category])</f>
        <v>Games</v>
      </c>
    </row>
    <row r="1389" spans="1:20" x14ac:dyDescent="0.25">
      <c r="A1389" s="4" t="s">
        <v>1578</v>
      </c>
      <c r="B1389" s="5">
        <v>45989</v>
      </c>
      <c r="C1389" s="15">
        <f>WEEKNUM(Orders[[#This Row],[OrderDate]])</f>
        <v>48</v>
      </c>
      <c r="D1389" s="15" t="str">
        <f>TEXT(Orders[[#This Row],[OrderDate]],"mmmm")</f>
        <v>November</v>
      </c>
      <c r="E1389" s="4" t="s">
        <v>260</v>
      </c>
      <c r="F1389" s="4" t="s">
        <v>9</v>
      </c>
      <c r="G1389" s="4">
        <v>6</v>
      </c>
      <c r="H1389" s="12">
        <v>4505</v>
      </c>
      <c r="I1389" s="13">
        <v>3829.25</v>
      </c>
      <c r="J1389" s="13">
        <f>Orders[[#This Row],[Quantity]]*Orders[[#This Row],[Selling Price]]</f>
        <v>27030</v>
      </c>
      <c r="K1389" s="13">
        <f>Orders[[#This Row],[Quantity]]*Orders[[#This Row],[Cost Price]]</f>
        <v>22975.5</v>
      </c>
      <c r="L1389" s="13">
        <f>Orders[[#This Row],[Revenue]]-Orders[[#This Row],[Expenses]]</f>
        <v>4054.5</v>
      </c>
      <c r="M1389" t="s">
        <v>2212</v>
      </c>
      <c r="N1389" t="str">
        <f>_xlfn.XLOOKUP(Orders[[#This Row],[CustomerID]],Customers[CustomerID],Customers[CustomerName])</f>
        <v>Amina Obi</v>
      </c>
      <c r="O1389" t="str">
        <f>_xlfn.XLOOKUP(Orders[[#This Row],[CustomerID]],Customers[CustomerID],Customers[City])</f>
        <v>Florida</v>
      </c>
      <c r="P1389" t="str">
        <f>_xlfn.XLOOKUP(Orders[[#This Row],[CustomerID]],Customers[CustomerID],Customers[Gender])</f>
        <v>Female</v>
      </c>
      <c r="Q1389">
        <f>_xlfn.XLOOKUP(Orders[[#This Row],[CustomerID]],Customers[CustomerID],Customers[CustomerAge])</f>
        <v>29</v>
      </c>
      <c r="R1389" t="str">
        <f>IF(Orders[[#This Row],[CustomerAge]]&gt;=35, "Older", "Young")</f>
        <v>Young</v>
      </c>
      <c r="S1389" t="str">
        <f>_xlfn.XLOOKUP(Orders[[#This Row],[ProductID]],Products[ProductID],Products[ProductName])</f>
        <v>Beaded Earrings And Necklaces</v>
      </c>
      <c r="T1389" t="str">
        <f>_xlfn.XLOOKUP(Orders[[#This Row],[ProductID]],Products[ProductID],Products[Category])</f>
        <v>Accessories</v>
      </c>
    </row>
    <row r="1390" spans="1:20" x14ac:dyDescent="0.25">
      <c r="A1390" s="4" t="s">
        <v>1579</v>
      </c>
      <c r="B1390" s="5">
        <v>45947</v>
      </c>
      <c r="C1390" s="15">
        <f>WEEKNUM(Orders[[#This Row],[OrderDate]])</f>
        <v>42</v>
      </c>
      <c r="D1390" s="15" t="str">
        <f>TEXT(Orders[[#This Row],[OrderDate]],"mmmm")</f>
        <v>October</v>
      </c>
      <c r="E1390" s="4" t="s">
        <v>174</v>
      </c>
      <c r="F1390" s="4" t="s">
        <v>120</v>
      </c>
      <c r="G1390" s="4">
        <v>10</v>
      </c>
      <c r="H1390" s="12">
        <v>13333</v>
      </c>
      <c r="I1390" s="13">
        <v>11333.05</v>
      </c>
      <c r="J1390" s="13">
        <f>Orders[[#This Row],[Quantity]]*Orders[[#This Row],[Selling Price]]</f>
        <v>133330</v>
      </c>
      <c r="K1390" s="13">
        <f>Orders[[#This Row],[Quantity]]*Orders[[#This Row],[Cost Price]]</f>
        <v>113330.5</v>
      </c>
      <c r="L1390" s="13">
        <f>Orders[[#This Row],[Revenue]]-Orders[[#This Row],[Expenses]]</f>
        <v>19999.5</v>
      </c>
      <c r="M1390" t="s">
        <v>2199</v>
      </c>
      <c r="N1390" t="str">
        <f>_xlfn.XLOOKUP(Orders[[#This Row],[CustomerID]],Customers[CustomerID],Customers[CustomerName])</f>
        <v>Zainab Obi</v>
      </c>
      <c r="O1390" t="str">
        <f>_xlfn.XLOOKUP(Orders[[#This Row],[CustomerID]],Customers[CustomerID],Customers[City])</f>
        <v>California</v>
      </c>
      <c r="P1390" t="str">
        <f>_xlfn.XLOOKUP(Orders[[#This Row],[CustomerID]],Customers[CustomerID],Customers[Gender])</f>
        <v>Female</v>
      </c>
      <c r="Q1390">
        <f>_xlfn.XLOOKUP(Orders[[#This Row],[CustomerID]],Customers[CustomerID],Customers[CustomerAge])</f>
        <v>18</v>
      </c>
      <c r="R1390" t="str">
        <f>IF(Orders[[#This Row],[CustomerAge]]&gt;=35, "Older", "Young")</f>
        <v>Young</v>
      </c>
      <c r="S1390" t="str">
        <f>_xlfn.XLOOKUP(Orders[[#This Row],[ProductID]],Products[ProductID],Products[ProductName])</f>
        <v>Chess</v>
      </c>
      <c r="T1390" t="str">
        <f>_xlfn.XLOOKUP(Orders[[#This Row],[ProductID]],Products[ProductID],Products[Category])</f>
        <v>Games</v>
      </c>
    </row>
    <row r="1391" spans="1:20" x14ac:dyDescent="0.25">
      <c r="A1391" s="4" t="s">
        <v>1580</v>
      </c>
      <c r="B1391" s="5">
        <v>45961</v>
      </c>
      <c r="C1391" s="15">
        <f>WEEKNUM(Orders[[#This Row],[OrderDate]])</f>
        <v>44</v>
      </c>
      <c r="D1391" s="15" t="str">
        <f>TEXT(Orders[[#This Row],[OrderDate]],"mmmm")</f>
        <v>October</v>
      </c>
      <c r="E1391" s="4" t="s">
        <v>176</v>
      </c>
      <c r="F1391" s="4" t="s">
        <v>23</v>
      </c>
      <c r="G1391" s="4">
        <v>1</v>
      </c>
      <c r="H1391" s="12">
        <v>6850.7000000000007</v>
      </c>
      <c r="I1391" s="13">
        <v>5823.0950000000012</v>
      </c>
      <c r="J1391" s="13">
        <f>Orders[[#This Row],[Quantity]]*Orders[[#This Row],[Selling Price]]</f>
        <v>6850.7000000000007</v>
      </c>
      <c r="K1391" s="13">
        <f>Orders[[#This Row],[Quantity]]*Orders[[#This Row],[Cost Price]]</f>
        <v>5823.0950000000012</v>
      </c>
      <c r="L1391" s="13">
        <f>Orders[[#This Row],[Revenue]]-Orders[[#This Row],[Expenses]]</f>
        <v>1027.6049999999996</v>
      </c>
      <c r="M1391" t="s">
        <v>2211</v>
      </c>
      <c r="N1391" t="str">
        <f>_xlfn.XLOOKUP(Orders[[#This Row],[CustomerID]],Customers[CustomerID],Customers[CustomerName])</f>
        <v>Okon Eze</v>
      </c>
      <c r="O1391" t="str">
        <f>_xlfn.XLOOKUP(Orders[[#This Row],[CustomerID]],Customers[CustomerID],Customers[City])</f>
        <v>Florida</v>
      </c>
      <c r="P1391" t="str">
        <f>_xlfn.XLOOKUP(Orders[[#This Row],[CustomerID]],Customers[CustomerID],Customers[Gender])</f>
        <v>Male</v>
      </c>
      <c r="Q1391">
        <f>_xlfn.XLOOKUP(Orders[[#This Row],[CustomerID]],Customers[CustomerID],Customers[CustomerAge])</f>
        <v>26</v>
      </c>
      <c r="R1391" t="str">
        <f>IF(Orders[[#This Row],[CustomerAge]]&gt;=35, "Older", "Young")</f>
        <v>Young</v>
      </c>
      <c r="S1391" t="str">
        <f>_xlfn.XLOOKUP(Orders[[#This Row],[ProductID]],Products[ProductID],Products[ProductName])</f>
        <v>Gym Gloves</v>
      </c>
      <c r="T1391" t="str">
        <f>_xlfn.XLOOKUP(Orders[[#This Row],[ProductID]],Products[ProductID],Products[Category])</f>
        <v>Gym</v>
      </c>
    </row>
    <row r="1392" spans="1:20" x14ac:dyDescent="0.25">
      <c r="A1392" s="4" t="s">
        <v>1581</v>
      </c>
      <c r="B1392" s="5">
        <v>45999</v>
      </c>
      <c r="C1392" s="15">
        <f>WEEKNUM(Orders[[#This Row],[OrderDate]])</f>
        <v>50</v>
      </c>
      <c r="D1392" s="15" t="str">
        <f>TEXT(Orders[[#This Row],[OrderDate]],"mmmm")</f>
        <v>December</v>
      </c>
      <c r="E1392" s="4" t="s">
        <v>514</v>
      </c>
      <c r="F1392" s="4" t="s">
        <v>28</v>
      </c>
      <c r="G1392" s="4">
        <v>8</v>
      </c>
      <c r="H1392" s="12">
        <v>16348.900000000001</v>
      </c>
      <c r="I1392" s="13">
        <v>13896.565000000002</v>
      </c>
      <c r="J1392" s="13">
        <f>Orders[[#This Row],[Quantity]]*Orders[[#This Row],[Selling Price]]</f>
        <v>130791.20000000001</v>
      </c>
      <c r="K1392" s="13">
        <f>Orders[[#This Row],[Quantity]]*Orders[[#This Row],[Cost Price]]</f>
        <v>111172.52000000002</v>
      </c>
      <c r="L1392" s="13">
        <f>Orders[[#This Row],[Revenue]]-Orders[[#This Row],[Expenses]]</f>
        <v>19618.679999999993</v>
      </c>
      <c r="M1392" t="s">
        <v>2202</v>
      </c>
      <c r="N1392" t="str">
        <f>_xlfn.XLOOKUP(Orders[[#This Row],[CustomerID]],Customers[CustomerID],Customers[CustomerName])</f>
        <v>Ibrahim Okonkwo</v>
      </c>
      <c r="O1392" t="str">
        <f>_xlfn.XLOOKUP(Orders[[#This Row],[CustomerID]],Customers[CustomerID],Customers[City])</f>
        <v>Florida</v>
      </c>
      <c r="P1392" t="str">
        <f>_xlfn.XLOOKUP(Orders[[#This Row],[CustomerID]],Customers[CustomerID],Customers[Gender])</f>
        <v>Male</v>
      </c>
      <c r="Q1392">
        <f>_xlfn.XLOOKUP(Orders[[#This Row],[CustomerID]],Customers[CustomerID],Customers[CustomerAge])</f>
        <v>28</v>
      </c>
      <c r="R1392" t="str">
        <f>IF(Orders[[#This Row],[CustomerAge]]&gt;=35, "Older", "Young")</f>
        <v>Young</v>
      </c>
      <c r="S1392" t="str">
        <f>_xlfn.XLOOKUP(Orders[[#This Row],[ProductID]],Products[ProductID],Products[ProductName])</f>
        <v>Sneakers</v>
      </c>
      <c r="T1392" t="str">
        <f>_xlfn.XLOOKUP(Orders[[#This Row],[ProductID]],Products[ProductID],Products[Category])</f>
        <v>Sports</v>
      </c>
    </row>
    <row r="1393" spans="1:20" x14ac:dyDescent="0.25">
      <c r="A1393" s="4" t="s">
        <v>1582</v>
      </c>
      <c r="B1393" s="5">
        <v>46005</v>
      </c>
      <c r="C1393" s="15">
        <f>WEEKNUM(Orders[[#This Row],[OrderDate]])</f>
        <v>51</v>
      </c>
      <c r="D1393" s="15" t="str">
        <f>TEXT(Orders[[#This Row],[OrderDate]],"mmmm")</f>
        <v>December</v>
      </c>
      <c r="E1393" s="4" t="s">
        <v>574</v>
      </c>
      <c r="F1393" s="4" t="s">
        <v>23</v>
      </c>
      <c r="G1393" s="4">
        <v>4</v>
      </c>
      <c r="H1393" s="12">
        <v>9352.1</v>
      </c>
      <c r="I1393" s="13">
        <v>7949.2849999999999</v>
      </c>
      <c r="J1393" s="13">
        <f>Orders[[#This Row],[Quantity]]*Orders[[#This Row],[Selling Price]]</f>
        <v>37408.400000000001</v>
      </c>
      <c r="K1393" s="13">
        <f>Orders[[#This Row],[Quantity]]*Orders[[#This Row],[Cost Price]]</f>
        <v>31797.14</v>
      </c>
      <c r="L1393" s="13">
        <f>Orders[[#This Row],[Revenue]]-Orders[[#This Row],[Expenses]]</f>
        <v>5611.260000000002</v>
      </c>
      <c r="M1393" t="s">
        <v>2217</v>
      </c>
      <c r="N1393" t="str">
        <f>_xlfn.XLOOKUP(Orders[[#This Row],[CustomerID]],Customers[CustomerID],Customers[CustomerName])</f>
        <v>Adanma Obi</v>
      </c>
      <c r="O1393" t="str">
        <f>_xlfn.XLOOKUP(Orders[[#This Row],[CustomerID]],Customers[CustomerID],Customers[City])</f>
        <v>Texas</v>
      </c>
      <c r="P1393" t="str">
        <f>_xlfn.XLOOKUP(Orders[[#This Row],[CustomerID]],Customers[CustomerID],Customers[Gender])</f>
        <v>Female</v>
      </c>
      <c r="Q1393">
        <f>_xlfn.XLOOKUP(Orders[[#This Row],[CustomerID]],Customers[CustomerID],Customers[CustomerAge])</f>
        <v>23</v>
      </c>
      <c r="R1393" t="str">
        <f>IF(Orders[[#This Row],[CustomerAge]]&gt;=35, "Older", "Young")</f>
        <v>Young</v>
      </c>
      <c r="S1393" t="str">
        <f>_xlfn.XLOOKUP(Orders[[#This Row],[ProductID]],Products[ProductID],Products[ProductName])</f>
        <v>Gym Gloves</v>
      </c>
      <c r="T1393" t="str">
        <f>_xlfn.XLOOKUP(Orders[[#This Row],[ProductID]],Products[ProductID],Products[Category])</f>
        <v>Gym</v>
      </c>
    </row>
    <row r="1394" spans="1:20" x14ac:dyDescent="0.25">
      <c r="A1394" s="4" t="s">
        <v>1583</v>
      </c>
      <c r="B1394" s="5">
        <v>45979</v>
      </c>
      <c r="C1394" s="15">
        <f>WEEKNUM(Orders[[#This Row],[OrderDate]])</f>
        <v>47</v>
      </c>
      <c r="D1394" s="15" t="str">
        <f>TEXT(Orders[[#This Row],[OrderDate]],"mmmm")</f>
        <v>November</v>
      </c>
      <c r="E1394" s="4" t="s">
        <v>383</v>
      </c>
      <c r="F1394" s="4" t="s">
        <v>92</v>
      </c>
      <c r="G1394" s="4">
        <v>7</v>
      </c>
      <c r="H1394" s="12">
        <v>14422.6</v>
      </c>
      <c r="I1394" s="13">
        <v>12259.210000000001</v>
      </c>
      <c r="J1394" s="13">
        <f>Orders[[#This Row],[Quantity]]*Orders[[#This Row],[Selling Price]]</f>
        <v>100958.2</v>
      </c>
      <c r="K1394" s="13">
        <f>Orders[[#This Row],[Quantity]]*Orders[[#This Row],[Cost Price]]</f>
        <v>85814.47</v>
      </c>
      <c r="L1394" s="13">
        <f>Orders[[#This Row],[Revenue]]-Orders[[#This Row],[Expenses]]</f>
        <v>15143.729999999996</v>
      </c>
      <c r="M1394" t="s">
        <v>2204</v>
      </c>
      <c r="N1394" t="str">
        <f>_xlfn.XLOOKUP(Orders[[#This Row],[CustomerID]],Customers[CustomerID],Customers[CustomerName])</f>
        <v>Ibrahim Balogun</v>
      </c>
      <c r="O1394" t="str">
        <f>_xlfn.XLOOKUP(Orders[[#This Row],[CustomerID]],Customers[CustomerID],Customers[City])</f>
        <v>Florida</v>
      </c>
      <c r="P1394" t="str">
        <f>_xlfn.XLOOKUP(Orders[[#This Row],[CustomerID]],Customers[CustomerID],Customers[Gender])</f>
        <v>Male</v>
      </c>
      <c r="Q1394">
        <f>_xlfn.XLOOKUP(Orders[[#This Row],[CustomerID]],Customers[CustomerID],Customers[CustomerAge])</f>
        <v>27</v>
      </c>
      <c r="R1394" t="str">
        <f>IF(Orders[[#This Row],[CustomerAge]]&gt;=35, "Older", "Young")</f>
        <v>Young</v>
      </c>
      <c r="S1394" t="str">
        <f>_xlfn.XLOOKUP(Orders[[#This Row],[ProductID]],Products[ProductID],Products[ProductName])</f>
        <v>Chest Expander</v>
      </c>
      <c r="T1394" t="str">
        <f>_xlfn.XLOOKUP(Orders[[#This Row],[ProductID]],Products[ProductID],Products[Category])</f>
        <v>Gym</v>
      </c>
    </row>
    <row r="1395" spans="1:20" x14ac:dyDescent="0.25">
      <c r="A1395" s="4" t="s">
        <v>1584</v>
      </c>
      <c r="B1395" s="5">
        <v>45942</v>
      </c>
      <c r="C1395" s="15">
        <f>WEEKNUM(Orders[[#This Row],[OrderDate]])</f>
        <v>42</v>
      </c>
      <c r="D1395" s="15" t="str">
        <f>TEXT(Orders[[#This Row],[OrderDate]],"mmmm")</f>
        <v>October</v>
      </c>
      <c r="E1395" s="4" t="s">
        <v>258</v>
      </c>
      <c r="F1395" s="4" t="s">
        <v>34</v>
      </c>
      <c r="G1395" s="4">
        <v>3</v>
      </c>
      <c r="H1395" s="12">
        <v>15600.699999999999</v>
      </c>
      <c r="I1395" s="13">
        <v>13260.594999999999</v>
      </c>
      <c r="J1395" s="13">
        <f>Orders[[#This Row],[Quantity]]*Orders[[#This Row],[Selling Price]]</f>
        <v>46802.1</v>
      </c>
      <c r="K1395" s="13">
        <f>Orders[[#This Row],[Quantity]]*Orders[[#This Row],[Cost Price]]</f>
        <v>39781.784999999996</v>
      </c>
      <c r="L1395" s="13">
        <f>Orders[[#This Row],[Revenue]]-Orders[[#This Row],[Expenses]]</f>
        <v>7020.3150000000023</v>
      </c>
      <c r="M1395" t="s">
        <v>2207</v>
      </c>
      <c r="N1395" t="str">
        <f>_xlfn.XLOOKUP(Orders[[#This Row],[CustomerID]],Customers[CustomerID],Customers[CustomerName])</f>
        <v>Sani Abubakar</v>
      </c>
      <c r="O1395" t="str">
        <f>_xlfn.XLOOKUP(Orders[[#This Row],[CustomerID]],Customers[CustomerID],Customers[City])</f>
        <v>Washington</v>
      </c>
      <c r="P1395" t="str">
        <f>_xlfn.XLOOKUP(Orders[[#This Row],[CustomerID]],Customers[CustomerID],Customers[Gender])</f>
        <v>Male</v>
      </c>
      <c r="Q1395">
        <f>_xlfn.XLOOKUP(Orders[[#This Row],[CustomerID]],Customers[CustomerID],Customers[CustomerAge])</f>
        <v>37</v>
      </c>
      <c r="R1395" t="str">
        <f>IF(Orders[[#This Row],[CustomerAge]]&gt;=35, "Older", "Young")</f>
        <v>Older</v>
      </c>
      <c r="S1395" t="str">
        <f>_xlfn.XLOOKUP(Orders[[#This Row],[ProductID]],Products[ProductID],Products[ProductName])</f>
        <v>Gold Bracelets</v>
      </c>
      <c r="T1395" t="str">
        <f>_xlfn.XLOOKUP(Orders[[#This Row],[ProductID]],Products[ProductID],Products[Category])</f>
        <v>Accessories</v>
      </c>
    </row>
    <row r="1396" spans="1:20" x14ac:dyDescent="0.25">
      <c r="A1396" s="4" t="s">
        <v>1585</v>
      </c>
      <c r="B1396" s="5">
        <v>45980</v>
      </c>
      <c r="C1396" s="15">
        <f>WEEKNUM(Orders[[#This Row],[OrderDate]])</f>
        <v>47</v>
      </c>
      <c r="D1396" s="15" t="str">
        <f>TEXT(Orders[[#This Row],[OrderDate]],"mmmm")</f>
        <v>November</v>
      </c>
      <c r="E1396" s="4" t="s">
        <v>30</v>
      </c>
      <c r="F1396" s="4" t="s">
        <v>151</v>
      </c>
      <c r="G1396" s="4">
        <v>3</v>
      </c>
      <c r="H1396" s="12">
        <v>15289.1</v>
      </c>
      <c r="I1396" s="13">
        <v>12995.735000000001</v>
      </c>
      <c r="J1396" s="13">
        <f>Orders[[#This Row],[Quantity]]*Orders[[#This Row],[Selling Price]]</f>
        <v>45867.3</v>
      </c>
      <c r="K1396" s="13">
        <f>Orders[[#This Row],[Quantity]]*Orders[[#This Row],[Cost Price]]</f>
        <v>38987.205000000002</v>
      </c>
      <c r="L1396" s="13">
        <f>Orders[[#This Row],[Revenue]]-Orders[[#This Row],[Expenses]]</f>
        <v>6880.0950000000012</v>
      </c>
      <c r="M1396" t="s">
        <v>2201</v>
      </c>
      <c r="N1396" t="str">
        <f>_xlfn.XLOOKUP(Orders[[#This Row],[CustomerID]],Customers[CustomerID],Customers[CustomerName])</f>
        <v>Amina Danladi</v>
      </c>
      <c r="O1396" t="str">
        <f>_xlfn.XLOOKUP(Orders[[#This Row],[CustomerID]],Customers[CustomerID],Customers[City])</f>
        <v>Florida</v>
      </c>
      <c r="P1396" t="str">
        <f>_xlfn.XLOOKUP(Orders[[#This Row],[CustomerID]],Customers[CustomerID],Customers[Gender])</f>
        <v>Female</v>
      </c>
      <c r="Q1396">
        <f>_xlfn.XLOOKUP(Orders[[#This Row],[CustomerID]],Customers[CustomerID],Customers[CustomerAge])</f>
        <v>42</v>
      </c>
      <c r="R1396" t="str">
        <f>IF(Orders[[#This Row],[CustomerAge]]&gt;=35, "Older", "Young")</f>
        <v>Older</v>
      </c>
      <c r="S1396" t="str">
        <f>_xlfn.XLOOKUP(Orders[[#This Row],[ProductID]],Products[ProductID],Products[ProductName])</f>
        <v>Checkers</v>
      </c>
      <c r="T1396" t="str">
        <f>_xlfn.XLOOKUP(Orders[[#This Row],[ProductID]],Products[ProductID],Products[Category])</f>
        <v>Games</v>
      </c>
    </row>
    <row r="1397" spans="1:20" x14ac:dyDescent="0.25">
      <c r="A1397" s="4" t="s">
        <v>1586</v>
      </c>
      <c r="B1397" s="5">
        <v>45944</v>
      </c>
      <c r="C1397" s="15">
        <f>WEEKNUM(Orders[[#This Row],[OrderDate]])</f>
        <v>42</v>
      </c>
      <c r="D1397" s="15" t="str">
        <f>TEXT(Orders[[#This Row],[OrderDate]],"mmmm")</f>
        <v>October</v>
      </c>
      <c r="E1397" s="4" t="s">
        <v>327</v>
      </c>
      <c r="F1397" s="4" t="s">
        <v>84</v>
      </c>
      <c r="G1397" s="4">
        <v>10</v>
      </c>
      <c r="H1397" s="12">
        <v>18004.2</v>
      </c>
      <c r="I1397" s="13">
        <v>15303.57</v>
      </c>
      <c r="J1397" s="13">
        <f>Orders[[#This Row],[Quantity]]*Orders[[#This Row],[Selling Price]]</f>
        <v>180042</v>
      </c>
      <c r="K1397" s="13">
        <f>Orders[[#This Row],[Quantity]]*Orders[[#This Row],[Cost Price]]</f>
        <v>153035.70000000001</v>
      </c>
      <c r="L1397" s="13">
        <f>Orders[[#This Row],[Revenue]]-Orders[[#This Row],[Expenses]]</f>
        <v>27006.299999999988</v>
      </c>
      <c r="M1397" t="s">
        <v>2213</v>
      </c>
      <c r="N1397" t="str">
        <f>_xlfn.XLOOKUP(Orders[[#This Row],[CustomerID]],Customers[CustomerID],Customers[CustomerName])</f>
        <v>Folasade Ojo</v>
      </c>
      <c r="O1397" t="str">
        <f>_xlfn.XLOOKUP(Orders[[#This Row],[CustomerID]],Customers[CustomerID],Customers[City])</f>
        <v>Washington</v>
      </c>
      <c r="P1397" t="str">
        <f>_xlfn.XLOOKUP(Orders[[#This Row],[CustomerID]],Customers[CustomerID],Customers[Gender])</f>
        <v>Female</v>
      </c>
      <c r="Q1397">
        <f>_xlfn.XLOOKUP(Orders[[#This Row],[CustomerID]],Customers[CustomerID],Customers[CustomerAge])</f>
        <v>24</v>
      </c>
      <c r="R1397" t="str">
        <f>IF(Orders[[#This Row],[CustomerAge]]&gt;=35, "Older", "Young")</f>
        <v>Young</v>
      </c>
      <c r="S1397" t="str">
        <f>_xlfn.XLOOKUP(Orders[[#This Row],[ProductID]],Products[ProductID],Products[ProductName])</f>
        <v>Gym Wears</v>
      </c>
      <c r="T1397" t="str">
        <f>_xlfn.XLOOKUP(Orders[[#This Row],[ProductID]],Products[ProductID],Products[Category])</f>
        <v>Clothing</v>
      </c>
    </row>
    <row r="1398" spans="1:20" x14ac:dyDescent="0.25">
      <c r="A1398" s="4" t="s">
        <v>1587</v>
      </c>
      <c r="B1398" s="5">
        <v>45954</v>
      </c>
      <c r="C1398" s="15">
        <f>WEEKNUM(Orders[[#This Row],[OrderDate]])</f>
        <v>43</v>
      </c>
      <c r="D1398" s="15" t="str">
        <f>TEXT(Orders[[#This Row],[OrderDate]],"mmmm")</f>
        <v>October</v>
      </c>
      <c r="E1398" s="4" t="s">
        <v>369</v>
      </c>
      <c r="F1398" s="4" t="s">
        <v>189</v>
      </c>
      <c r="G1398" s="4">
        <v>6</v>
      </c>
      <c r="H1398" s="12">
        <v>8852.5</v>
      </c>
      <c r="I1398" s="13">
        <v>7524.625</v>
      </c>
      <c r="J1398" s="13">
        <f>Orders[[#This Row],[Quantity]]*Orders[[#This Row],[Selling Price]]</f>
        <v>53115</v>
      </c>
      <c r="K1398" s="13">
        <f>Orders[[#This Row],[Quantity]]*Orders[[#This Row],[Cost Price]]</f>
        <v>45147.75</v>
      </c>
      <c r="L1398" s="13">
        <f>Orders[[#This Row],[Revenue]]-Orders[[#This Row],[Expenses]]</f>
        <v>7967.25</v>
      </c>
      <c r="M1398" t="s">
        <v>2198</v>
      </c>
      <c r="N1398" t="str">
        <f>_xlfn.XLOOKUP(Orders[[#This Row],[CustomerID]],Customers[CustomerID],Customers[CustomerName])</f>
        <v>Ibrahim Bello</v>
      </c>
      <c r="O1398" t="str">
        <f>_xlfn.XLOOKUP(Orders[[#This Row],[CustomerID]],Customers[CustomerID],Customers[City])</f>
        <v>Washington</v>
      </c>
      <c r="P1398" t="str">
        <f>_xlfn.XLOOKUP(Orders[[#This Row],[CustomerID]],Customers[CustomerID],Customers[Gender])</f>
        <v>Male</v>
      </c>
      <c r="Q1398">
        <f>_xlfn.XLOOKUP(Orders[[#This Row],[CustomerID]],Customers[CustomerID],Customers[CustomerAge])</f>
        <v>40</v>
      </c>
      <c r="R1398" t="str">
        <f>IF(Orders[[#This Row],[CustomerAge]]&gt;=35, "Older", "Young")</f>
        <v>Older</v>
      </c>
      <c r="S1398" t="str">
        <f>_xlfn.XLOOKUP(Orders[[#This Row],[ProductID]],Products[ProductID],Products[ProductName])</f>
        <v>Scrabble</v>
      </c>
      <c r="T1398" t="str">
        <f>_xlfn.XLOOKUP(Orders[[#This Row],[ProductID]],Products[ProductID],Products[Category])</f>
        <v>Games</v>
      </c>
    </row>
    <row r="1399" spans="1:20" x14ac:dyDescent="0.25">
      <c r="A1399" s="4" t="s">
        <v>1588</v>
      </c>
      <c r="B1399" s="5">
        <v>45990</v>
      </c>
      <c r="C1399" s="15">
        <f>WEEKNUM(Orders[[#This Row],[OrderDate]])</f>
        <v>48</v>
      </c>
      <c r="D1399" s="15" t="str">
        <f>TEXT(Orders[[#This Row],[OrderDate]],"mmmm")</f>
        <v>November</v>
      </c>
      <c r="E1399" s="4" t="s">
        <v>73</v>
      </c>
      <c r="F1399" s="4" t="s">
        <v>15</v>
      </c>
      <c r="G1399" s="4">
        <v>1</v>
      </c>
      <c r="H1399" s="12">
        <v>18982.8</v>
      </c>
      <c r="I1399" s="13">
        <v>16135.38</v>
      </c>
      <c r="J1399" s="13">
        <f>Orders[[#This Row],[Quantity]]*Orders[[#This Row],[Selling Price]]</f>
        <v>18982.8</v>
      </c>
      <c r="K1399" s="13">
        <f>Orders[[#This Row],[Quantity]]*Orders[[#This Row],[Cost Price]]</f>
        <v>16135.38</v>
      </c>
      <c r="L1399" s="13">
        <f>Orders[[#This Row],[Revenue]]-Orders[[#This Row],[Expenses]]</f>
        <v>2847.42</v>
      </c>
      <c r="M1399" t="s">
        <v>2197</v>
      </c>
      <c r="N1399" t="str">
        <f>_xlfn.XLOOKUP(Orders[[#This Row],[CustomerID]],Customers[CustomerID],Customers[CustomerName])</f>
        <v>Ronke Okonkwo</v>
      </c>
      <c r="O1399" t="str">
        <f>_xlfn.XLOOKUP(Orders[[#This Row],[CustomerID]],Customers[CustomerID],Customers[City])</f>
        <v>California</v>
      </c>
      <c r="P1399" t="str">
        <f>_xlfn.XLOOKUP(Orders[[#This Row],[CustomerID]],Customers[CustomerID],Customers[Gender])</f>
        <v>Female</v>
      </c>
      <c r="Q1399">
        <f>_xlfn.XLOOKUP(Orders[[#This Row],[CustomerID]],Customers[CustomerID],Customers[CustomerAge])</f>
        <v>20</v>
      </c>
      <c r="R1399" t="str">
        <f>IF(Orders[[#This Row],[CustomerAge]]&gt;=35, "Older", "Young")</f>
        <v>Young</v>
      </c>
      <c r="S1399" t="str">
        <f>_xlfn.XLOOKUP(Orders[[#This Row],[ProductID]],Products[ProductID],Products[ProductName])</f>
        <v>Monopoly</v>
      </c>
      <c r="T1399" t="str">
        <f>_xlfn.XLOOKUP(Orders[[#This Row],[ProductID]],Products[ProductID],Products[Category])</f>
        <v>Games</v>
      </c>
    </row>
    <row r="1400" spans="1:20" x14ac:dyDescent="0.25">
      <c r="A1400" s="4" t="s">
        <v>1589</v>
      </c>
      <c r="B1400" s="5">
        <v>45934</v>
      </c>
      <c r="C1400" s="15">
        <f>WEEKNUM(Orders[[#This Row],[OrderDate]])</f>
        <v>40</v>
      </c>
      <c r="D1400" s="15" t="str">
        <f>TEXT(Orders[[#This Row],[OrderDate]],"mmmm")</f>
        <v>October</v>
      </c>
      <c r="E1400" s="4" t="s">
        <v>564</v>
      </c>
      <c r="F1400" s="4" t="s">
        <v>76</v>
      </c>
      <c r="G1400" s="4">
        <v>6</v>
      </c>
      <c r="H1400" s="12">
        <v>13688.5</v>
      </c>
      <c r="I1400" s="13">
        <v>11635.225</v>
      </c>
      <c r="J1400" s="13">
        <f>Orders[[#This Row],[Quantity]]*Orders[[#This Row],[Selling Price]]</f>
        <v>82131</v>
      </c>
      <c r="K1400" s="13">
        <f>Orders[[#This Row],[Quantity]]*Orders[[#This Row],[Cost Price]]</f>
        <v>69811.350000000006</v>
      </c>
      <c r="L1400" s="13">
        <f>Orders[[#This Row],[Revenue]]-Orders[[#This Row],[Expenses]]</f>
        <v>12319.649999999994</v>
      </c>
      <c r="M1400" t="s">
        <v>2193</v>
      </c>
      <c r="N1400" t="str">
        <f>_xlfn.XLOOKUP(Orders[[#This Row],[CustomerID]],Customers[CustomerID],Customers[CustomerName])</f>
        <v>Blessing Eze</v>
      </c>
      <c r="O1400" t="str">
        <f>_xlfn.XLOOKUP(Orders[[#This Row],[CustomerID]],Customers[CustomerID],Customers[City])</f>
        <v>Georgia</v>
      </c>
      <c r="P1400" t="str">
        <f>_xlfn.XLOOKUP(Orders[[#This Row],[CustomerID]],Customers[CustomerID],Customers[Gender])</f>
        <v>Female</v>
      </c>
      <c r="Q1400">
        <f>_xlfn.XLOOKUP(Orders[[#This Row],[CustomerID]],Customers[CustomerID],Customers[CustomerAge])</f>
        <v>19</v>
      </c>
      <c r="R1400" t="str">
        <f>IF(Orders[[#This Row],[CustomerAge]]&gt;=35, "Older", "Young")</f>
        <v>Young</v>
      </c>
      <c r="S1400" t="str">
        <f>_xlfn.XLOOKUP(Orders[[#This Row],[ProductID]],Products[ProductID],Products[ProductName])</f>
        <v>Blender</v>
      </c>
      <c r="T1400" t="str">
        <f>_xlfn.XLOOKUP(Orders[[#This Row],[ProductID]],Products[ProductID],Products[Category])</f>
        <v>Electronics</v>
      </c>
    </row>
    <row r="1401" spans="1:20" x14ac:dyDescent="0.25">
      <c r="A1401" s="4" t="s">
        <v>1590</v>
      </c>
      <c r="B1401" s="5">
        <v>45961</v>
      </c>
      <c r="C1401" s="15">
        <f>WEEKNUM(Orders[[#This Row],[OrderDate]])</f>
        <v>44</v>
      </c>
      <c r="D1401" s="15" t="str">
        <f>TEXT(Orders[[#This Row],[OrderDate]],"mmmm")</f>
        <v>October</v>
      </c>
      <c r="E1401" s="4" t="s">
        <v>132</v>
      </c>
      <c r="F1401" s="4" t="s">
        <v>168</v>
      </c>
      <c r="G1401" s="4">
        <v>4</v>
      </c>
      <c r="H1401" s="12">
        <v>1197.6000000000001</v>
      </c>
      <c r="I1401" s="13">
        <v>1017.9600000000002</v>
      </c>
      <c r="J1401" s="13">
        <f>Orders[[#This Row],[Quantity]]*Orders[[#This Row],[Selling Price]]</f>
        <v>4790.4000000000005</v>
      </c>
      <c r="K1401" s="13">
        <f>Orders[[#This Row],[Quantity]]*Orders[[#This Row],[Cost Price]]</f>
        <v>4071.8400000000006</v>
      </c>
      <c r="L1401" s="13">
        <f>Orders[[#This Row],[Revenue]]-Orders[[#This Row],[Expenses]]</f>
        <v>718.56</v>
      </c>
      <c r="M1401" t="s">
        <v>2197</v>
      </c>
      <c r="N1401" t="str">
        <f>_xlfn.XLOOKUP(Orders[[#This Row],[CustomerID]],Customers[CustomerID],Customers[CustomerName])</f>
        <v>Emeka Balogun</v>
      </c>
      <c r="O1401" t="str">
        <f>_xlfn.XLOOKUP(Orders[[#This Row],[CustomerID]],Customers[CustomerID],Customers[City])</f>
        <v>Illinois</v>
      </c>
      <c r="P1401" t="str">
        <f>_xlfn.XLOOKUP(Orders[[#This Row],[CustomerID]],Customers[CustomerID],Customers[Gender])</f>
        <v>Male</v>
      </c>
      <c r="Q1401">
        <f>_xlfn.XLOOKUP(Orders[[#This Row],[CustomerID]],Customers[CustomerID],Customers[CustomerAge])</f>
        <v>36</v>
      </c>
      <c r="R1401" t="str">
        <f>IF(Orders[[#This Row],[CustomerAge]]&gt;=35, "Older", "Young")</f>
        <v>Older</v>
      </c>
      <c r="S1401" t="str">
        <f>_xlfn.XLOOKUP(Orders[[#This Row],[ProductID]],Products[ProductID],Products[ProductName])</f>
        <v>Dumb Bells</v>
      </c>
      <c r="T1401" t="str">
        <f>_xlfn.XLOOKUP(Orders[[#This Row],[ProductID]],Products[ProductID],Products[Category])</f>
        <v>Gym</v>
      </c>
    </row>
    <row r="1402" spans="1:20" x14ac:dyDescent="0.25">
      <c r="A1402" s="4" t="s">
        <v>1591</v>
      </c>
      <c r="B1402" s="5">
        <v>45989</v>
      </c>
      <c r="C1402" s="15">
        <f>WEEKNUM(Orders[[#This Row],[OrderDate]])</f>
        <v>48</v>
      </c>
      <c r="D1402" s="15" t="str">
        <f>TEXT(Orders[[#This Row],[OrderDate]],"mmmm")</f>
        <v>November</v>
      </c>
      <c r="E1402" s="4" t="s">
        <v>140</v>
      </c>
      <c r="F1402" s="4" t="s">
        <v>157</v>
      </c>
      <c r="G1402" s="4">
        <v>2</v>
      </c>
      <c r="H1402" s="12">
        <v>2291.6</v>
      </c>
      <c r="I1402" s="13">
        <v>1947.86</v>
      </c>
      <c r="J1402" s="13">
        <f>Orders[[#This Row],[Quantity]]*Orders[[#This Row],[Selling Price]]</f>
        <v>4583.2</v>
      </c>
      <c r="K1402" s="13">
        <f>Orders[[#This Row],[Quantity]]*Orders[[#This Row],[Cost Price]]</f>
        <v>3895.72</v>
      </c>
      <c r="L1402" s="13">
        <f>Orders[[#This Row],[Revenue]]-Orders[[#This Row],[Expenses]]</f>
        <v>687.48</v>
      </c>
      <c r="M1402" t="s">
        <v>2193</v>
      </c>
      <c r="N1402" t="str">
        <f>_xlfn.XLOOKUP(Orders[[#This Row],[CustomerID]],Customers[CustomerID],Customers[CustomerName])</f>
        <v>Tunde Igwe</v>
      </c>
      <c r="O1402" t="str">
        <f>_xlfn.XLOOKUP(Orders[[#This Row],[CustomerID]],Customers[CustomerID],Customers[City])</f>
        <v>Washington</v>
      </c>
      <c r="P1402" t="str">
        <f>_xlfn.XLOOKUP(Orders[[#This Row],[CustomerID]],Customers[CustomerID],Customers[Gender])</f>
        <v>Male</v>
      </c>
      <c r="Q1402">
        <f>_xlfn.XLOOKUP(Orders[[#This Row],[CustomerID]],Customers[CustomerID],Customers[CustomerAge])</f>
        <v>20</v>
      </c>
      <c r="R1402" t="str">
        <f>IF(Orders[[#This Row],[CustomerAge]]&gt;=35, "Older", "Young")</f>
        <v>Young</v>
      </c>
      <c r="S1402" t="str">
        <f>_xlfn.XLOOKUP(Orders[[#This Row],[ProductID]],Products[ProductID],Products[ProductName])</f>
        <v>Football</v>
      </c>
      <c r="T1402" t="str">
        <f>_xlfn.XLOOKUP(Orders[[#This Row],[ProductID]],Products[ProductID],Products[Category])</f>
        <v>Sports</v>
      </c>
    </row>
    <row r="1403" spans="1:20" x14ac:dyDescent="0.25">
      <c r="A1403" s="4" t="s">
        <v>1592</v>
      </c>
      <c r="B1403" s="5">
        <v>45969</v>
      </c>
      <c r="C1403" s="15">
        <f>WEEKNUM(Orders[[#This Row],[OrderDate]])</f>
        <v>45</v>
      </c>
      <c r="D1403" s="15" t="str">
        <f>TEXT(Orders[[#This Row],[OrderDate]],"mmmm")</f>
        <v>November</v>
      </c>
      <c r="E1403" s="4" t="s">
        <v>574</v>
      </c>
      <c r="F1403" s="4" t="s">
        <v>28</v>
      </c>
      <c r="G1403" s="4">
        <v>6</v>
      </c>
      <c r="H1403" s="12">
        <v>8947.2000000000007</v>
      </c>
      <c r="I1403" s="13">
        <v>7605.1200000000008</v>
      </c>
      <c r="J1403" s="13">
        <f>Orders[[#This Row],[Quantity]]*Orders[[#This Row],[Selling Price]]</f>
        <v>53683.200000000004</v>
      </c>
      <c r="K1403" s="13">
        <f>Orders[[#This Row],[Quantity]]*Orders[[#This Row],[Cost Price]]</f>
        <v>45630.720000000001</v>
      </c>
      <c r="L1403" s="13">
        <f>Orders[[#This Row],[Revenue]]-Orders[[#This Row],[Expenses]]</f>
        <v>8052.4800000000032</v>
      </c>
      <c r="M1403" t="s">
        <v>2218</v>
      </c>
      <c r="N1403" t="str">
        <f>_xlfn.XLOOKUP(Orders[[#This Row],[CustomerID]],Customers[CustomerID],Customers[CustomerName])</f>
        <v>Adanma Obi</v>
      </c>
      <c r="O1403" t="str">
        <f>_xlfn.XLOOKUP(Orders[[#This Row],[CustomerID]],Customers[CustomerID],Customers[City])</f>
        <v>Texas</v>
      </c>
      <c r="P1403" t="str">
        <f>_xlfn.XLOOKUP(Orders[[#This Row],[CustomerID]],Customers[CustomerID],Customers[Gender])</f>
        <v>Female</v>
      </c>
      <c r="Q1403">
        <f>_xlfn.XLOOKUP(Orders[[#This Row],[CustomerID]],Customers[CustomerID],Customers[CustomerAge])</f>
        <v>23</v>
      </c>
      <c r="R1403" t="str">
        <f>IF(Orders[[#This Row],[CustomerAge]]&gt;=35, "Older", "Young")</f>
        <v>Young</v>
      </c>
      <c r="S1403" t="str">
        <f>_xlfn.XLOOKUP(Orders[[#This Row],[ProductID]],Products[ProductID],Products[ProductName])</f>
        <v>Sneakers</v>
      </c>
      <c r="T1403" t="str">
        <f>_xlfn.XLOOKUP(Orders[[#This Row],[ProductID]],Products[ProductID],Products[Category])</f>
        <v>Sports</v>
      </c>
    </row>
    <row r="1404" spans="1:20" x14ac:dyDescent="0.25">
      <c r="A1404" s="4" t="s">
        <v>1593</v>
      </c>
      <c r="B1404" s="5">
        <v>45980</v>
      </c>
      <c r="C1404" s="15">
        <f>WEEKNUM(Orders[[#This Row],[OrderDate]])</f>
        <v>47</v>
      </c>
      <c r="D1404" s="15" t="str">
        <f>TEXT(Orders[[#This Row],[OrderDate]],"mmmm")</f>
        <v>November</v>
      </c>
      <c r="E1404" s="4" t="s">
        <v>207</v>
      </c>
      <c r="F1404" s="4" t="s">
        <v>189</v>
      </c>
      <c r="G1404" s="4">
        <v>7</v>
      </c>
      <c r="H1404" s="12">
        <v>16676.400000000001</v>
      </c>
      <c r="I1404" s="13">
        <v>14174.940000000002</v>
      </c>
      <c r="J1404" s="13">
        <f>Orders[[#This Row],[Quantity]]*Orders[[#This Row],[Selling Price]]</f>
        <v>116734.80000000002</v>
      </c>
      <c r="K1404" s="13">
        <f>Orders[[#This Row],[Quantity]]*Orders[[#This Row],[Cost Price]]</f>
        <v>99224.580000000016</v>
      </c>
      <c r="L1404" s="13">
        <f>Orders[[#This Row],[Revenue]]-Orders[[#This Row],[Expenses]]</f>
        <v>17510.22</v>
      </c>
      <c r="M1404" t="s">
        <v>2197</v>
      </c>
      <c r="N1404" t="str">
        <f>_xlfn.XLOOKUP(Orders[[#This Row],[CustomerID]],Customers[CustomerID],Customers[CustomerName])</f>
        <v>Bisi Eze</v>
      </c>
      <c r="O1404" t="str">
        <f>_xlfn.XLOOKUP(Orders[[#This Row],[CustomerID]],Customers[CustomerID],Customers[City])</f>
        <v>Florida</v>
      </c>
      <c r="P1404" t="str">
        <f>_xlfn.XLOOKUP(Orders[[#This Row],[CustomerID]],Customers[CustomerID],Customers[Gender])</f>
        <v>Female</v>
      </c>
      <c r="Q1404">
        <f>_xlfn.XLOOKUP(Orders[[#This Row],[CustomerID]],Customers[CustomerID],Customers[CustomerAge])</f>
        <v>37</v>
      </c>
      <c r="R1404" t="str">
        <f>IF(Orders[[#This Row],[CustomerAge]]&gt;=35, "Older", "Young")</f>
        <v>Older</v>
      </c>
      <c r="S1404" t="str">
        <f>_xlfn.XLOOKUP(Orders[[#This Row],[ProductID]],Products[ProductID],Products[ProductName])</f>
        <v>Scrabble</v>
      </c>
      <c r="T1404" t="str">
        <f>_xlfn.XLOOKUP(Orders[[#This Row],[ProductID]],Products[ProductID],Products[Category])</f>
        <v>Games</v>
      </c>
    </row>
    <row r="1405" spans="1:20" x14ac:dyDescent="0.25">
      <c r="A1405" s="4" t="s">
        <v>1594</v>
      </c>
      <c r="B1405" s="5">
        <v>45990</v>
      </c>
      <c r="C1405" s="15">
        <f>WEEKNUM(Orders[[#This Row],[OrderDate]])</f>
        <v>48</v>
      </c>
      <c r="D1405" s="15" t="str">
        <f>TEXT(Orders[[#This Row],[OrderDate]],"mmmm")</f>
        <v>November</v>
      </c>
      <c r="E1405" s="4" t="s">
        <v>444</v>
      </c>
      <c r="F1405" s="4" t="s">
        <v>84</v>
      </c>
      <c r="G1405" s="4">
        <v>4</v>
      </c>
      <c r="H1405" s="12">
        <v>1451.1000000000001</v>
      </c>
      <c r="I1405" s="13">
        <v>1233.4350000000002</v>
      </c>
      <c r="J1405" s="13">
        <f>Orders[[#This Row],[Quantity]]*Orders[[#This Row],[Selling Price]]</f>
        <v>5804.4000000000005</v>
      </c>
      <c r="K1405" s="13">
        <f>Orders[[#This Row],[Quantity]]*Orders[[#This Row],[Cost Price]]</f>
        <v>4933.7400000000007</v>
      </c>
      <c r="L1405" s="13">
        <f>Orders[[#This Row],[Revenue]]-Orders[[#This Row],[Expenses]]</f>
        <v>870.65999999999985</v>
      </c>
      <c r="M1405" t="s">
        <v>2200</v>
      </c>
      <c r="N1405" t="str">
        <f>_xlfn.XLOOKUP(Orders[[#This Row],[CustomerID]],Customers[CustomerID],Customers[CustomerName])</f>
        <v>Blessing Eze</v>
      </c>
      <c r="O1405" t="str">
        <f>_xlfn.XLOOKUP(Orders[[#This Row],[CustomerID]],Customers[CustomerID],Customers[City])</f>
        <v>Texas</v>
      </c>
      <c r="P1405" t="str">
        <f>_xlfn.XLOOKUP(Orders[[#This Row],[CustomerID]],Customers[CustomerID],Customers[Gender])</f>
        <v>Female</v>
      </c>
      <c r="Q1405">
        <f>_xlfn.XLOOKUP(Orders[[#This Row],[CustomerID]],Customers[CustomerID],Customers[CustomerAge])</f>
        <v>24</v>
      </c>
      <c r="R1405" t="str">
        <f>IF(Orders[[#This Row],[CustomerAge]]&gt;=35, "Older", "Young")</f>
        <v>Young</v>
      </c>
      <c r="S1405" t="str">
        <f>_xlfn.XLOOKUP(Orders[[#This Row],[ProductID]],Products[ProductID],Products[ProductName])</f>
        <v>Gym Wears</v>
      </c>
      <c r="T1405" t="str">
        <f>_xlfn.XLOOKUP(Orders[[#This Row],[ProductID]],Products[ProductID],Products[Category])</f>
        <v>Clothing</v>
      </c>
    </row>
    <row r="1406" spans="1:20" x14ac:dyDescent="0.25">
      <c r="A1406" s="4" t="s">
        <v>1595</v>
      </c>
      <c r="B1406" s="5">
        <v>45990</v>
      </c>
      <c r="C1406" s="15">
        <f>WEEKNUM(Orders[[#This Row],[OrderDate]])</f>
        <v>48</v>
      </c>
      <c r="D1406" s="15" t="str">
        <f>TEXT(Orders[[#This Row],[OrderDate]],"mmmm")</f>
        <v>November</v>
      </c>
      <c r="E1406" s="4" t="s">
        <v>369</v>
      </c>
      <c r="F1406" s="4" t="s">
        <v>34</v>
      </c>
      <c r="G1406" s="4">
        <v>3</v>
      </c>
      <c r="H1406" s="12">
        <v>16218.800000000001</v>
      </c>
      <c r="I1406" s="13">
        <v>13785.980000000001</v>
      </c>
      <c r="J1406" s="13">
        <f>Orders[[#This Row],[Quantity]]*Orders[[#This Row],[Selling Price]]</f>
        <v>48656.4</v>
      </c>
      <c r="K1406" s="13">
        <f>Orders[[#This Row],[Quantity]]*Orders[[#This Row],[Cost Price]]</f>
        <v>41357.94</v>
      </c>
      <c r="L1406" s="13">
        <f>Orders[[#This Row],[Revenue]]-Orders[[#This Row],[Expenses]]</f>
        <v>7298.4599999999991</v>
      </c>
      <c r="M1406" t="s">
        <v>2204</v>
      </c>
      <c r="N1406" t="str">
        <f>_xlfn.XLOOKUP(Orders[[#This Row],[CustomerID]],Customers[CustomerID],Customers[CustomerName])</f>
        <v>Ibrahim Bello</v>
      </c>
      <c r="O1406" t="str">
        <f>_xlfn.XLOOKUP(Orders[[#This Row],[CustomerID]],Customers[CustomerID],Customers[City])</f>
        <v>Washington</v>
      </c>
      <c r="P1406" t="str">
        <f>_xlfn.XLOOKUP(Orders[[#This Row],[CustomerID]],Customers[CustomerID],Customers[Gender])</f>
        <v>Male</v>
      </c>
      <c r="Q1406">
        <f>_xlfn.XLOOKUP(Orders[[#This Row],[CustomerID]],Customers[CustomerID],Customers[CustomerAge])</f>
        <v>40</v>
      </c>
      <c r="R1406" t="str">
        <f>IF(Orders[[#This Row],[CustomerAge]]&gt;=35, "Older", "Young")</f>
        <v>Older</v>
      </c>
      <c r="S1406" t="str">
        <f>_xlfn.XLOOKUP(Orders[[#This Row],[ProductID]],Products[ProductID],Products[ProductName])</f>
        <v>Gold Bracelets</v>
      </c>
      <c r="T1406" t="str">
        <f>_xlfn.XLOOKUP(Orders[[#This Row],[ProductID]],Products[ProductID],Products[Category])</f>
        <v>Accessories</v>
      </c>
    </row>
    <row r="1407" spans="1:20" x14ac:dyDescent="0.25">
      <c r="A1407" s="4" t="s">
        <v>1596</v>
      </c>
      <c r="B1407" s="5">
        <v>45939</v>
      </c>
      <c r="C1407" s="15">
        <f>WEEKNUM(Orders[[#This Row],[OrderDate]])</f>
        <v>41</v>
      </c>
      <c r="D1407" s="15" t="str">
        <f>TEXT(Orders[[#This Row],[OrderDate]],"mmmm")</f>
        <v>October</v>
      </c>
      <c r="E1407" s="4" t="s">
        <v>122</v>
      </c>
      <c r="F1407" s="4" t="s">
        <v>120</v>
      </c>
      <c r="G1407" s="4">
        <v>10</v>
      </c>
      <c r="H1407" s="12">
        <v>5885.9000000000005</v>
      </c>
      <c r="I1407" s="13">
        <v>5003.0150000000003</v>
      </c>
      <c r="J1407" s="13">
        <f>Orders[[#This Row],[Quantity]]*Orders[[#This Row],[Selling Price]]</f>
        <v>58859.000000000007</v>
      </c>
      <c r="K1407" s="13">
        <f>Orders[[#This Row],[Quantity]]*Orders[[#This Row],[Cost Price]]</f>
        <v>50030.15</v>
      </c>
      <c r="L1407" s="13">
        <f>Orders[[#This Row],[Revenue]]-Orders[[#This Row],[Expenses]]</f>
        <v>8828.8500000000058</v>
      </c>
      <c r="M1407" t="s">
        <v>2211</v>
      </c>
      <c r="N1407" t="str">
        <f>_xlfn.XLOOKUP(Orders[[#This Row],[CustomerID]],Customers[CustomerID],Customers[CustomerName])</f>
        <v>Ibrahim Eze</v>
      </c>
      <c r="O1407" t="str">
        <f>_xlfn.XLOOKUP(Orders[[#This Row],[CustomerID]],Customers[CustomerID],Customers[City])</f>
        <v>Texas</v>
      </c>
      <c r="P1407" t="str">
        <f>_xlfn.XLOOKUP(Orders[[#This Row],[CustomerID]],Customers[CustomerID],Customers[Gender])</f>
        <v>Male</v>
      </c>
      <c r="Q1407">
        <f>_xlfn.XLOOKUP(Orders[[#This Row],[CustomerID]],Customers[CustomerID],Customers[CustomerAge])</f>
        <v>52</v>
      </c>
      <c r="R1407" t="str">
        <f>IF(Orders[[#This Row],[CustomerAge]]&gt;=35, "Older", "Young")</f>
        <v>Older</v>
      </c>
      <c r="S1407" t="str">
        <f>_xlfn.XLOOKUP(Orders[[#This Row],[ProductID]],Products[ProductID],Products[ProductName])</f>
        <v>Chess</v>
      </c>
      <c r="T1407" t="str">
        <f>_xlfn.XLOOKUP(Orders[[#This Row],[ProductID]],Products[ProductID],Products[Category])</f>
        <v>Games</v>
      </c>
    </row>
    <row r="1408" spans="1:20" x14ac:dyDescent="0.25">
      <c r="A1408" s="4" t="s">
        <v>1597</v>
      </c>
      <c r="B1408" s="5">
        <v>46015</v>
      </c>
      <c r="C1408" s="15">
        <f>WEEKNUM(Orders[[#This Row],[OrderDate]])</f>
        <v>52</v>
      </c>
      <c r="D1408" s="15" t="str">
        <f>TEXT(Orders[[#This Row],[OrderDate]],"mmmm")</f>
        <v>December</v>
      </c>
      <c r="E1408" s="4" t="s">
        <v>148</v>
      </c>
      <c r="F1408" s="4" t="s">
        <v>353</v>
      </c>
      <c r="G1408" s="4">
        <v>6</v>
      </c>
      <c r="H1408" s="12">
        <v>16459.8</v>
      </c>
      <c r="I1408" s="13">
        <v>13990.83</v>
      </c>
      <c r="J1408" s="13">
        <f>Orders[[#This Row],[Quantity]]*Orders[[#This Row],[Selling Price]]</f>
        <v>98758.799999999988</v>
      </c>
      <c r="K1408" s="13">
        <f>Orders[[#This Row],[Quantity]]*Orders[[#This Row],[Cost Price]]</f>
        <v>83944.98</v>
      </c>
      <c r="L1408" s="13">
        <f>Orders[[#This Row],[Revenue]]-Orders[[#This Row],[Expenses]]</f>
        <v>14813.819999999992</v>
      </c>
      <c r="M1408" t="s">
        <v>2198</v>
      </c>
      <c r="N1408" t="str">
        <f>_xlfn.XLOOKUP(Orders[[#This Row],[CustomerID]],Customers[CustomerID],Customers[CustomerName])</f>
        <v>Zainab Abubakar</v>
      </c>
      <c r="O1408" t="str">
        <f>_xlfn.XLOOKUP(Orders[[#This Row],[CustomerID]],Customers[CustomerID],Customers[City])</f>
        <v>Florida</v>
      </c>
      <c r="P1408" t="str">
        <f>_xlfn.XLOOKUP(Orders[[#This Row],[CustomerID]],Customers[CustomerID],Customers[Gender])</f>
        <v>Female</v>
      </c>
      <c r="Q1408">
        <f>_xlfn.XLOOKUP(Orders[[#This Row],[CustomerID]],Customers[CustomerID],Customers[CustomerAge])</f>
        <v>29</v>
      </c>
      <c r="R1408" t="str">
        <f>IF(Orders[[#This Row],[CustomerAge]]&gt;=35, "Older", "Young")</f>
        <v>Young</v>
      </c>
      <c r="S1408" t="str">
        <f>_xlfn.XLOOKUP(Orders[[#This Row],[ProductID]],Products[ProductID],Products[ProductName])</f>
        <v>Silver Earrings And Necklaces</v>
      </c>
      <c r="T1408" t="str">
        <f>_xlfn.XLOOKUP(Orders[[#This Row],[ProductID]],Products[ProductID],Products[Category])</f>
        <v>Accessories</v>
      </c>
    </row>
    <row r="1409" spans="1:20" x14ac:dyDescent="0.25">
      <c r="A1409" s="4" t="s">
        <v>1598</v>
      </c>
      <c r="B1409" s="5">
        <v>45950</v>
      </c>
      <c r="C1409" s="15">
        <f>WEEKNUM(Orders[[#This Row],[OrderDate]])</f>
        <v>43</v>
      </c>
      <c r="D1409" s="15" t="str">
        <f>TEXT(Orders[[#This Row],[OrderDate]],"mmmm")</f>
        <v>October</v>
      </c>
      <c r="E1409" s="4" t="s">
        <v>374</v>
      </c>
      <c r="F1409" s="4" t="s">
        <v>189</v>
      </c>
      <c r="G1409" s="4">
        <v>8</v>
      </c>
      <c r="H1409" s="12">
        <v>6879.2</v>
      </c>
      <c r="I1409" s="13">
        <v>5847.32</v>
      </c>
      <c r="J1409" s="13">
        <f>Orders[[#This Row],[Quantity]]*Orders[[#This Row],[Selling Price]]</f>
        <v>55033.599999999999</v>
      </c>
      <c r="K1409" s="13">
        <f>Orders[[#This Row],[Quantity]]*Orders[[#This Row],[Cost Price]]</f>
        <v>46778.559999999998</v>
      </c>
      <c r="L1409" s="13">
        <f>Orders[[#This Row],[Revenue]]-Orders[[#This Row],[Expenses]]</f>
        <v>8255.0400000000009</v>
      </c>
      <c r="M1409" t="s">
        <v>2194</v>
      </c>
      <c r="N1409" t="str">
        <f>_xlfn.XLOOKUP(Orders[[#This Row],[CustomerID]],Customers[CustomerID],Customers[CustomerName])</f>
        <v>Uche Okonkwo</v>
      </c>
      <c r="O1409" t="str">
        <f>_xlfn.XLOOKUP(Orders[[#This Row],[CustomerID]],Customers[CustomerID],Customers[City])</f>
        <v>Texas</v>
      </c>
      <c r="P1409" t="str">
        <f>_xlfn.XLOOKUP(Orders[[#This Row],[CustomerID]],Customers[CustomerID],Customers[Gender])</f>
        <v>Male</v>
      </c>
      <c r="Q1409">
        <f>_xlfn.XLOOKUP(Orders[[#This Row],[CustomerID]],Customers[CustomerID],Customers[CustomerAge])</f>
        <v>27</v>
      </c>
      <c r="R1409" t="str">
        <f>IF(Orders[[#This Row],[CustomerAge]]&gt;=35, "Older", "Young")</f>
        <v>Young</v>
      </c>
      <c r="S1409" t="str">
        <f>_xlfn.XLOOKUP(Orders[[#This Row],[ProductID]],Products[ProductID],Products[ProductName])</f>
        <v>Scrabble</v>
      </c>
      <c r="T1409" t="str">
        <f>_xlfn.XLOOKUP(Orders[[#This Row],[ProductID]],Products[ProductID],Products[Category])</f>
        <v>Games</v>
      </c>
    </row>
    <row r="1410" spans="1:20" x14ac:dyDescent="0.25">
      <c r="A1410" s="4" t="s">
        <v>1599</v>
      </c>
      <c r="B1410" s="5">
        <v>45983</v>
      </c>
      <c r="C1410" s="15">
        <f>WEEKNUM(Orders[[#This Row],[OrderDate]])</f>
        <v>47</v>
      </c>
      <c r="D1410" s="15" t="str">
        <f>TEXT(Orders[[#This Row],[OrderDate]],"mmmm")</f>
        <v>November</v>
      </c>
      <c r="E1410" s="4" t="s">
        <v>205</v>
      </c>
      <c r="F1410" s="4" t="s">
        <v>189</v>
      </c>
      <c r="G1410" s="4">
        <v>5</v>
      </c>
      <c r="H1410" s="12">
        <v>10690.5</v>
      </c>
      <c r="I1410" s="13">
        <v>9086.9249999999993</v>
      </c>
      <c r="J1410" s="13">
        <f>Orders[[#This Row],[Quantity]]*Orders[[#This Row],[Selling Price]]</f>
        <v>53452.5</v>
      </c>
      <c r="K1410" s="13">
        <f>Orders[[#This Row],[Quantity]]*Orders[[#This Row],[Cost Price]]</f>
        <v>45434.625</v>
      </c>
      <c r="L1410" s="13">
        <f>Orders[[#This Row],[Revenue]]-Orders[[#This Row],[Expenses]]</f>
        <v>8017.875</v>
      </c>
      <c r="M1410" t="s">
        <v>2192</v>
      </c>
      <c r="N1410" t="str">
        <f>_xlfn.XLOOKUP(Orders[[#This Row],[CustomerID]],Customers[CustomerID],Customers[CustomerName])</f>
        <v>Jide Adeyemi</v>
      </c>
      <c r="O1410" t="str">
        <f>_xlfn.XLOOKUP(Orders[[#This Row],[CustomerID]],Customers[CustomerID],Customers[City])</f>
        <v>Washington</v>
      </c>
      <c r="P1410" t="str">
        <f>_xlfn.XLOOKUP(Orders[[#This Row],[CustomerID]],Customers[CustomerID],Customers[Gender])</f>
        <v>Male</v>
      </c>
      <c r="Q1410">
        <f>_xlfn.XLOOKUP(Orders[[#This Row],[CustomerID]],Customers[CustomerID],Customers[CustomerAge])</f>
        <v>19</v>
      </c>
      <c r="R1410" t="str">
        <f>IF(Orders[[#This Row],[CustomerAge]]&gt;=35, "Older", "Young")</f>
        <v>Young</v>
      </c>
      <c r="S1410" t="str">
        <f>_xlfn.XLOOKUP(Orders[[#This Row],[ProductID]],Products[ProductID],Products[ProductName])</f>
        <v>Scrabble</v>
      </c>
      <c r="T1410" t="str">
        <f>_xlfn.XLOOKUP(Orders[[#This Row],[ProductID]],Products[ProductID],Products[Category])</f>
        <v>Games</v>
      </c>
    </row>
    <row r="1411" spans="1:20" x14ac:dyDescent="0.25">
      <c r="A1411" s="4" t="s">
        <v>1600</v>
      </c>
      <c r="B1411" s="5">
        <v>45952</v>
      </c>
      <c r="C1411" s="15">
        <f>WEEKNUM(Orders[[#This Row],[OrderDate]])</f>
        <v>43</v>
      </c>
      <c r="D1411" s="15" t="str">
        <f>TEXT(Orders[[#This Row],[OrderDate]],"mmmm")</f>
        <v>October</v>
      </c>
      <c r="E1411" s="4" t="s">
        <v>227</v>
      </c>
      <c r="F1411" s="4" t="s">
        <v>25</v>
      </c>
      <c r="G1411" s="4">
        <v>7</v>
      </c>
      <c r="H1411" s="12">
        <v>10819.2</v>
      </c>
      <c r="I1411" s="13">
        <v>9196.32</v>
      </c>
      <c r="J1411" s="13">
        <f>Orders[[#This Row],[Quantity]]*Orders[[#This Row],[Selling Price]]</f>
        <v>75734.400000000009</v>
      </c>
      <c r="K1411" s="13">
        <f>Orders[[#This Row],[Quantity]]*Orders[[#This Row],[Cost Price]]</f>
        <v>64374.239999999998</v>
      </c>
      <c r="L1411" s="13">
        <f>Orders[[#This Row],[Revenue]]-Orders[[#This Row],[Expenses]]</f>
        <v>11360.160000000011</v>
      </c>
      <c r="M1411" t="s">
        <v>2199</v>
      </c>
      <c r="N1411" t="str">
        <f>_xlfn.XLOOKUP(Orders[[#This Row],[CustomerID]],Customers[CustomerID],Customers[CustomerName])</f>
        <v>Emmanuel Victor</v>
      </c>
      <c r="O1411" t="str">
        <f>_xlfn.XLOOKUP(Orders[[#This Row],[CustomerID]],Customers[CustomerID],Customers[City])</f>
        <v>Washington</v>
      </c>
      <c r="P1411" t="str">
        <f>_xlfn.XLOOKUP(Orders[[#This Row],[CustomerID]],Customers[CustomerID],Customers[Gender])</f>
        <v>Male</v>
      </c>
      <c r="Q1411">
        <f>_xlfn.XLOOKUP(Orders[[#This Row],[CustomerID]],Customers[CustomerID],Customers[CustomerAge])</f>
        <v>35</v>
      </c>
      <c r="R1411" t="str">
        <f>IF(Orders[[#This Row],[CustomerAge]]&gt;=35, "Older", "Young")</f>
        <v>Older</v>
      </c>
      <c r="S1411" t="str">
        <f>_xlfn.XLOOKUP(Orders[[#This Row],[ProductID]],Products[ProductID],Products[ProductName])</f>
        <v>Gold Rings</v>
      </c>
      <c r="T1411" t="str">
        <f>_xlfn.XLOOKUP(Orders[[#This Row],[ProductID]],Products[ProductID],Products[Category])</f>
        <v>Accessories</v>
      </c>
    </row>
    <row r="1412" spans="1:20" x14ac:dyDescent="0.25">
      <c r="A1412" s="4" t="s">
        <v>1601</v>
      </c>
      <c r="B1412" s="5">
        <v>46017</v>
      </c>
      <c r="C1412" s="15">
        <f>WEEKNUM(Orders[[#This Row],[OrderDate]])</f>
        <v>52</v>
      </c>
      <c r="D1412" s="15" t="str">
        <f>TEXT(Orders[[#This Row],[OrderDate]],"mmmm")</f>
        <v>December</v>
      </c>
      <c r="E1412" s="4" t="s">
        <v>96</v>
      </c>
      <c r="F1412" s="4" t="s">
        <v>60</v>
      </c>
      <c r="G1412" s="4">
        <v>6</v>
      </c>
      <c r="H1412" s="12">
        <v>15791.400000000001</v>
      </c>
      <c r="I1412" s="13">
        <v>13422.690000000002</v>
      </c>
      <c r="J1412" s="13">
        <f>Orders[[#This Row],[Quantity]]*Orders[[#This Row],[Selling Price]]</f>
        <v>94748.400000000009</v>
      </c>
      <c r="K1412" s="13">
        <f>Orders[[#This Row],[Quantity]]*Orders[[#This Row],[Cost Price]]</f>
        <v>80536.140000000014</v>
      </c>
      <c r="L1412" s="13">
        <f>Orders[[#This Row],[Revenue]]-Orders[[#This Row],[Expenses]]</f>
        <v>14212.259999999995</v>
      </c>
      <c r="M1412" t="s">
        <v>2210</v>
      </c>
      <c r="N1412" t="str">
        <f>_xlfn.XLOOKUP(Orders[[#This Row],[CustomerID]],Customers[CustomerID],Customers[CustomerName])</f>
        <v>Amina Abubakar</v>
      </c>
      <c r="O1412" t="str">
        <f>_xlfn.XLOOKUP(Orders[[#This Row],[CustomerID]],Customers[CustomerID],Customers[City])</f>
        <v>Texas</v>
      </c>
      <c r="P1412" t="str">
        <f>_xlfn.XLOOKUP(Orders[[#This Row],[CustomerID]],Customers[CustomerID],Customers[Gender])</f>
        <v>Female</v>
      </c>
      <c r="Q1412">
        <f>_xlfn.XLOOKUP(Orders[[#This Row],[CustomerID]],Customers[CustomerID],Customers[CustomerAge])</f>
        <v>35</v>
      </c>
      <c r="R1412" t="str">
        <f>IF(Orders[[#This Row],[CustomerAge]]&gt;=35, "Older", "Young")</f>
        <v>Older</v>
      </c>
      <c r="S1412" t="str">
        <f>_xlfn.XLOOKUP(Orders[[#This Row],[ProductID]],Products[ProductID],Products[ProductName])</f>
        <v>Silver Rings</v>
      </c>
      <c r="T1412" t="str">
        <f>_xlfn.XLOOKUP(Orders[[#This Row],[ProductID]],Products[ProductID],Products[Category])</f>
        <v>Accessories</v>
      </c>
    </row>
    <row r="1413" spans="1:20" x14ac:dyDescent="0.25">
      <c r="A1413" s="4" t="s">
        <v>1602</v>
      </c>
      <c r="B1413" s="5">
        <v>45932</v>
      </c>
      <c r="C1413" s="15">
        <f>WEEKNUM(Orders[[#This Row],[OrderDate]])</f>
        <v>40</v>
      </c>
      <c r="D1413" s="15" t="str">
        <f>TEXT(Orders[[#This Row],[OrderDate]],"mmmm")</f>
        <v>October</v>
      </c>
      <c r="E1413" s="4" t="s">
        <v>307</v>
      </c>
      <c r="F1413" s="4" t="s">
        <v>9</v>
      </c>
      <c r="G1413" s="4">
        <v>9</v>
      </c>
      <c r="H1413" s="12">
        <v>16183.099999999999</v>
      </c>
      <c r="I1413" s="13">
        <v>13755.634999999998</v>
      </c>
      <c r="J1413" s="13">
        <f>Orders[[#This Row],[Quantity]]*Orders[[#This Row],[Selling Price]]</f>
        <v>145647.9</v>
      </c>
      <c r="K1413" s="13">
        <f>Orders[[#This Row],[Quantity]]*Orders[[#This Row],[Cost Price]]</f>
        <v>123800.71499999998</v>
      </c>
      <c r="L1413" s="13">
        <f>Orders[[#This Row],[Revenue]]-Orders[[#This Row],[Expenses]]</f>
        <v>21847.185000000012</v>
      </c>
      <c r="M1413" t="s">
        <v>2194</v>
      </c>
      <c r="N1413" t="str">
        <f>_xlfn.XLOOKUP(Orders[[#This Row],[CustomerID]],Customers[CustomerID],Customers[CustomerName])</f>
        <v>Adanma Bello</v>
      </c>
      <c r="O1413" t="str">
        <f>_xlfn.XLOOKUP(Orders[[#This Row],[CustomerID]],Customers[CustomerID],Customers[City])</f>
        <v>Illinois</v>
      </c>
      <c r="P1413" t="str">
        <f>_xlfn.XLOOKUP(Orders[[#This Row],[CustomerID]],Customers[CustomerID],Customers[Gender])</f>
        <v>Female</v>
      </c>
      <c r="Q1413">
        <f>_xlfn.XLOOKUP(Orders[[#This Row],[CustomerID]],Customers[CustomerID],Customers[CustomerAge])</f>
        <v>51</v>
      </c>
      <c r="R1413" t="str">
        <f>IF(Orders[[#This Row],[CustomerAge]]&gt;=35, "Older", "Young")</f>
        <v>Older</v>
      </c>
      <c r="S1413" t="str">
        <f>_xlfn.XLOOKUP(Orders[[#This Row],[ProductID]],Products[ProductID],Products[ProductName])</f>
        <v>Beaded Earrings And Necklaces</v>
      </c>
      <c r="T1413" t="str">
        <f>_xlfn.XLOOKUP(Orders[[#This Row],[ProductID]],Products[ProductID],Products[Category])</f>
        <v>Accessories</v>
      </c>
    </row>
    <row r="1414" spans="1:20" x14ac:dyDescent="0.25">
      <c r="A1414" s="4" t="s">
        <v>1603</v>
      </c>
      <c r="B1414" s="5">
        <v>45953</v>
      </c>
      <c r="C1414" s="15">
        <f>WEEKNUM(Orders[[#This Row],[OrderDate]])</f>
        <v>43</v>
      </c>
      <c r="D1414" s="15" t="str">
        <f>TEXT(Orders[[#This Row],[OrderDate]],"mmmm")</f>
        <v>October</v>
      </c>
      <c r="E1414" s="4" t="s">
        <v>94</v>
      </c>
      <c r="F1414" s="4" t="s">
        <v>15</v>
      </c>
      <c r="G1414" s="4">
        <v>6</v>
      </c>
      <c r="H1414" s="12">
        <v>6847.4</v>
      </c>
      <c r="I1414" s="13">
        <v>5820.29</v>
      </c>
      <c r="J1414" s="13">
        <f>Orders[[#This Row],[Quantity]]*Orders[[#This Row],[Selling Price]]</f>
        <v>41084.399999999994</v>
      </c>
      <c r="K1414" s="13">
        <f>Orders[[#This Row],[Quantity]]*Orders[[#This Row],[Cost Price]]</f>
        <v>34921.74</v>
      </c>
      <c r="L1414" s="13">
        <f>Orders[[#This Row],[Revenue]]-Orders[[#This Row],[Expenses]]</f>
        <v>6162.6599999999962</v>
      </c>
      <c r="M1414" t="s">
        <v>2218</v>
      </c>
      <c r="N1414" t="str">
        <f>_xlfn.XLOOKUP(Orders[[#This Row],[CustomerID]],Customers[CustomerID],Customers[CustomerName])</f>
        <v>Uche Abubakar</v>
      </c>
      <c r="O1414" t="str">
        <f>_xlfn.XLOOKUP(Orders[[#This Row],[CustomerID]],Customers[CustomerID],Customers[City])</f>
        <v>Texas</v>
      </c>
      <c r="P1414" t="str">
        <f>_xlfn.XLOOKUP(Orders[[#This Row],[CustomerID]],Customers[CustomerID],Customers[Gender])</f>
        <v>Male</v>
      </c>
      <c r="Q1414">
        <f>_xlfn.XLOOKUP(Orders[[#This Row],[CustomerID]],Customers[CustomerID],Customers[CustomerAge])</f>
        <v>26</v>
      </c>
      <c r="R1414" t="str">
        <f>IF(Orders[[#This Row],[CustomerAge]]&gt;=35, "Older", "Young")</f>
        <v>Young</v>
      </c>
      <c r="S1414" t="str">
        <f>_xlfn.XLOOKUP(Orders[[#This Row],[ProductID]],Products[ProductID],Products[ProductName])</f>
        <v>Monopoly</v>
      </c>
      <c r="T1414" t="str">
        <f>_xlfn.XLOOKUP(Orders[[#This Row],[ProductID]],Products[ProductID],Products[Category])</f>
        <v>Games</v>
      </c>
    </row>
    <row r="1415" spans="1:20" x14ac:dyDescent="0.25">
      <c r="A1415" s="4" t="s">
        <v>1604</v>
      </c>
      <c r="B1415" s="5">
        <v>46009</v>
      </c>
      <c r="C1415" s="15">
        <f>WEEKNUM(Orders[[#This Row],[OrderDate]])</f>
        <v>51</v>
      </c>
      <c r="D1415" s="15" t="str">
        <f>TEXT(Orders[[#This Row],[OrderDate]],"mmmm")</f>
        <v>December</v>
      </c>
      <c r="E1415" s="4" t="s">
        <v>203</v>
      </c>
      <c r="F1415" s="4" t="s">
        <v>23</v>
      </c>
      <c r="G1415" s="4">
        <v>9</v>
      </c>
      <c r="H1415" s="12">
        <v>8914.4000000000015</v>
      </c>
      <c r="I1415" s="13">
        <v>7577.2400000000016</v>
      </c>
      <c r="J1415" s="13">
        <f>Orders[[#This Row],[Quantity]]*Orders[[#This Row],[Selling Price]]</f>
        <v>80229.600000000006</v>
      </c>
      <c r="K1415" s="13">
        <f>Orders[[#This Row],[Quantity]]*Orders[[#This Row],[Cost Price]]</f>
        <v>68195.160000000018</v>
      </c>
      <c r="L1415" s="13">
        <f>Orders[[#This Row],[Revenue]]-Orders[[#This Row],[Expenses]]</f>
        <v>12034.439999999988</v>
      </c>
      <c r="M1415" t="s">
        <v>2196</v>
      </c>
      <c r="N1415" t="str">
        <f>_xlfn.XLOOKUP(Orders[[#This Row],[CustomerID]],Customers[CustomerID],Customers[CustomerName])</f>
        <v>Okon Bello</v>
      </c>
      <c r="O1415" t="str">
        <f>_xlfn.XLOOKUP(Orders[[#This Row],[CustomerID]],Customers[CustomerID],Customers[City])</f>
        <v>Texas</v>
      </c>
      <c r="P1415" t="str">
        <f>_xlfn.XLOOKUP(Orders[[#This Row],[CustomerID]],Customers[CustomerID],Customers[Gender])</f>
        <v>Male</v>
      </c>
      <c r="Q1415">
        <f>_xlfn.XLOOKUP(Orders[[#This Row],[CustomerID]],Customers[CustomerID],Customers[CustomerAge])</f>
        <v>20</v>
      </c>
      <c r="R1415" t="str">
        <f>IF(Orders[[#This Row],[CustomerAge]]&gt;=35, "Older", "Young")</f>
        <v>Young</v>
      </c>
      <c r="S1415" t="str">
        <f>_xlfn.XLOOKUP(Orders[[#This Row],[ProductID]],Products[ProductID],Products[ProductName])</f>
        <v>Gym Gloves</v>
      </c>
      <c r="T1415" t="str">
        <f>_xlfn.XLOOKUP(Orders[[#This Row],[ProductID]],Products[ProductID],Products[Category])</f>
        <v>Gym</v>
      </c>
    </row>
    <row r="1416" spans="1:20" x14ac:dyDescent="0.25">
      <c r="A1416" s="4" t="s">
        <v>1605</v>
      </c>
      <c r="B1416" s="5">
        <v>45968</v>
      </c>
      <c r="C1416" s="15">
        <f>WEEKNUM(Orders[[#This Row],[OrderDate]])</f>
        <v>45</v>
      </c>
      <c r="D1416" s="15" t="str">
        <f>TEXT(Orders[[#This Row],[OrderDate]],"mmmm")</f>
        <v>November</v>
      </c>
      <c r="E1416" s="4" t="s">
        <v>83</v>
      </c>
      <c r="F1416" s="4" t="s">
        <v>15</v>
      </c>
      <c r="G1416" s="4">
        <v>2</v>
      </c>
      <c r="H1416" s="12">
        <v>16141.7</v>
      </c>
      <c r="I1416" s="13">
        <v>13720.445</v>
      </c>
      <c r="J1416" s="13">
        <f>Orders[[#This Row],[Quantity]]*Orders[[#This Row],[Selling Price]]</f>
        <v>32283.4</v>
      </c>
      <c r="K1416" s="13">
        <f>Orders[[#This Row],[Quantity]]*Orders[[#This Row],[Cost Price]]</f>
        <v>27440.89</v>
      </c>
      <c r="L1416" s="13">
        <f>Orders[[#This Row],[Revenue]]-Orders[[#This Row],[Expenses]]</f>
        <v>4842.510000000002</v>
      </c>
      <c r="M1416" t="s">
        <v>2209</v>
      </c>
      <c r="N1416" t="str">
        <f>_xlfn.XLOOKUP(Orders[[#This Row],[CustomerID]],Customers[CustomerID],Customers[CustomerName])</f>
        <v>Funke Danladi</v>
      </c>
      <c r="O1416" t="str">
        <f>_xlfn.XLOOKUP(Orders[[#This Row],[CustomerID]],Customers[CustomerID],Customers[City])</f>
        <v>Florida</v>
      </c>
      <c r="P1416" t="str">
        <f>_xlfn.XLOOKUP(Orders[[#This Row],[CustomerID]],Customers[CustomerID],Customers[Gender])</f>
        <v>Female</v>
      </c>
      <c r="Q1416">
        <f>_xlfn.XLOOKUP(Orders[[#This Row],[CustomerID]],Customers[CustomerID],Customers[CustomerAge])</f>
        <v>26</v>
      </c>
      <c r="R1416" t="str">
        <f>IF(Orders[[#This Row],[CustomerAge]]&gt;=35, "Older", "Young")</f>
        <v>Young</v>
      </c>
      <c r="S1416" t="str">
        <f>_xlfn.XLOOKUP(Orders[[#This Row],[ProductID]],Products[ProductID],Products[ProductName])</f>
        <v>Monopoly</v>
      </c>
      <c r="T1416" t="str">
        <f>_xlfn.XLOOKUP(Orders[[#This Row],[ProductID]],Products[ProductID],Products[Category])</f>
        <v>Games</v>
      </c>
    </row>
    <row r="1417" spans="1:20" x14ac:dyDescent="0.25">
      <c r="A1417" s="4" t="s">
        <v>1606</v>
      </c>
      <c r="B1417" s="5">
        <v>46004</v>
      </c>
      <c r="C1417" s="15">
        <f>WEEKNUM(Orders[[#This Row],[OrderDate]])</f>
        <v>50</v>
      </c>
      <c r="D1417" s="15" t="str">
        <f>TEXT(Orders[[#This Row],[OrderDate]],"mmmm")</f>
        <v>December</v>
      </c>
      <c r="E1417" s="4" t="s">
        <v>309</v>
      </c>
      <c r="F1417" s="4" t="s">
        <v>151</v>
      </c>
      <c r="G1417" s="4">
        <v>4</v>
      </c>
      <c r="H1417" s="12">
        <v>8022.1</v>
      </c>
      <c r="I1417" s="13">
        <v>6818.7849999999999</v>
      </c>
      <c r="J1417" s="13">
        <f>Orders[[#This Row],[Quantity]]*Orders[[#This Row],[Selling Price]]</f>
        <v>32088.400000000001</v>
      </c>
      <c r="K1417" s="13">
        <f>Orders[[#This Row],[Quantity]]*Orders[[#This Row],[Cost Price]]</f>
        <v>27275.14</v>
      </c>
      <c r="L1417" s="13">
        <f>Orders[[#This Row],[Revenue]]-Orders[[#This Row],[Expenses]]</f>
        <v>4813.260000000002</v>
      </c>
      <c r="M1417" t="s">
        <v>2199</v>
      </c>
      <c r="N1417" t="str">
        <f>_xlfn.XLOOKUP(Orders[[#This Row],[CustomerID]],Customers[CustomerID],Customers[CustomerName])</f>
        <v>Temi Ojo</v>
      </c>
      <c r="O1417" t="str">
        <f>_xlfn.XLOOKUP(Orders[[#This Row],[CustomerID]],Customers[CustomerID],Customers[City])</f>
        <v>Washington</v>
      </c>
      <c r="P1417" t="str">
        <f>_xlfn.XLOOKUP(Orders[[#This Row],[CustomerID]],Customers[CustomerID],Customers[Gender])</f>
        <v>Female</v>
      </c>
      <c r="Q1417">
        <f>_xlfn.XLOOKUP(Orders[[#This Row],[CustomerID]],Customers[CustomerID],Customers[CustomerAge])</f>
        <v>36</v>
      </c>
      <c r="R1417" t="str">
        <f>IF(Orders[[#This Row],[CustomerAge]]&gt;=35, "Older", "Young")</f>
        <v>Older</v>
      </c>
      <c r="S1417" t="str">
        <f>_xlfn.XLOOKUP(Orders[[#This Row],[ProductID]],Products[ProductID],Products[ProductName])</f>
        <v>Checkers</v>
      </c>
      <c r="T1417" t="str">
        <f>_xlfn.XLOOKUP(Orders[[#This Row],[ProductID]],Products[ProductID],Products[Category])</f>
        <v>Games</v>
      </c>
    </row>
    <row r="1418" spans="1:20" x14ac:dyDescent="0.25">
      <c r="A1418" s="4" t="s">
        <v>1607</v>
      </c>
      <c r="B1418" s="5">
        <v>46012</v>
      </c>
      <c r="C1418" s="15">
        <f>WEEKNUM(Orders[[#This Row],[OrderDate]])</f>
        <v>52</v>
      </c>
      <c r="D1418" s="15" t="str">
        <f>TEXT(Orders[[#This Row],[OrderDate]],"mmmm")</f>
        <v>December</v>
      </c>
      <c r="E1418" s="4" t="s">
        <v>122</v>
      </c>
      <c r="F1418" s="4" t="s">
        <v>20</v>
      </c>
      <c r="G1418" s="4">
        <v>6</v>
      </c>
      <c r="H1418" s="12">
        <v>17545.2</v>
      </c>
      <c r="I1418" s="13">
        <v>14913.42</v>
      </c>
      <c r="J1418" s="13">
        <f>Orders[[#This Row],[Quantity]]*Orders[[#This Row],[Selling Price]]</f>
        <v>105271.20000000001</v>
      </c>
      <c r="K1418" s="13">
        <f>Orders[[#This Row],[Quantity]]*Orders[[#This Row],[Cost Price]]</f>
        <v>89480.52</v>
      </c>
      <c r="L1418" s="13">
        <f>Orders[[#This Row],[Revenue]]-Orders[[#This Row],[Expenses]]</f>
        <v>15790.680000000008</v>
      </c>
      <c r="M1418" t="s">
        <v>2197</v>
      </c>
      <c r="N1418" t="str">
        <f>_xlfn.XLOOKUP(Orders[[#This Row],[CustomerID]],Customers[CustomerID],Customers[CustomerName])</f>
        <v>Ibrahim Eze</v>
      </c>
      <c r="O1418" t="str">
        <f>_xlfn.XLOOKUP(Orders[[#This Row],[CustomerID]],Customers[CustomerID],Customers[City])</f>
        <v>Texas</v>
      </c>
      <c r="P1418" t="str">
        <f>_xlfn.XLOOKUP(Orders[[#This Row],[CustomerID]],Customers[CustomerID],Customers[Gender])</f>
        <v>Male</v>
      </c>
      <c r="Q1418">
        <f>_xlfn.XLOOKUP(Orders[[#This Row],[CustomerID]],Customers[CustomerID],Customers[CustomerAge])</f>
        <v>52</v>
      </c>
      <c r="R1418" t="str">
        <f>IF(Orders[[#This Row],[CustomerAge]]&gt;=35, "Older", "Young")</f>
        <v>Older</v>
      </c>
      <c r="S1418" t="str">
        <f>_xlfn.XLOOKUP(Orders[[#This Row],[ProductID]],Products[ProductID],Products[ProductName])</f>
        <v>Gym Bag</v>
      </c>
      <c r="T1418" t="str">
        <f>_xlfn.XLOOKUP(Orders[[#This Row],[ProductID]],Products[ProductID],Products[Category])</f>
        <v>Gym</v>
      </c>
    </row>
    <row r="1419" spans="1:20" x14ac:dyDescent="0.25">
      <c r="A1419" s="4" t="s">
        <v>1608</v>
      </c>
      <c r="B1419" s="5">
        <v>46021</v>
      </c>
      <c r="C1419" s="15">
        <f>WEEKNUM(Orders[[#This Row],[OrderDate]])</f>
        <v>53</v>
      </c>
      <c r="D1419" s="15" t="str">
        <f>TEXT(Orders[[#This Row],[OrderDate]],"mmmm")</f>
        <v>December</v>
      </c>
      <c r="E1419" s="4" t="s">
        <v>91</v>
      </c>
      <c r="F1419" s="4" t="s">
        <v>60</v>
      </c>
      <c r="G1419" s="4">
        <v>10</v>
      </c>
      <c r="H1419" s="12">
        <v>11937.1</v>
      </c>
      <c r="I1419" s="13">
        <v>10146.535</v>
      </c>
      <c r="J1419" s="13">
        <f>Orders[[#This Row],[Quantity]]*Orders[[#This Row],[Selling Price]]</f>
        <v>119371</v>
      </c>
      <c r="K1419" s="13">
        <f>Orders[[#This Row],[Quantity]]*Orders[[#This Row],[Cost Price]]</f>
        <v>101465.35</v>
      </c>
      <c r="L1419" s="13">
        <f>Orders[[#This Row],[Revenue]]-Orders[[#This Row],[Expenses]]</f>
        <v>17905.649999999994</v>
      </c>
      <c r="M1419" t="s">
        <v>2197</v>
      </c>
      <c r="N1419" t="str">
        <f>_xlfn.XLOOKUP(Orders[[#This Row],[CustomerID]],Customers[CustomerID],Customers[CustomerName])</f>
        <v>Uche Abubakar</v>
      </c>
      <c r="O1419" t="str">
        <f>_xlfn.XLOOKUP(Orders[[#This Row],[CustomerID]],Customers[CustomerID],Customers[City])</f>
        <v>Florida</v>
      </c>
      <c r="P1419" t="str">
        <f>_xlfn.XLOOKUP(Orders[[#This Row],[CustomerID]],Customers[CustomerID],Customers[Gender])</f>
        <v>Male</v>
      </c>
      <c r="Q1419">
        <f>_xlfn.XLOOKUP(Orders[[#This Row],[CustomerID]],Customers[CustomerID],Customers[CustomerAge])</f>
        <v>28</v>
      </c>
      <c r="R1419" t="str">
        <f>IF(Orders[[#This Row],[CustomerAge]]&gt;=35, "Older", "Young")</f>
        <v>Young</v>
      </c>
      <c r="S1419" t="str">
        <f>_xlfn.XLOOKUP(Orders[[#This Row],[ProductID]],Products[ProductID],Products[ProductName])</f>
        <v>Silver Rings</v>
      </c>
      <c r="T1419" t="str">
        <f>_xlfn.XLOOKUP(Orders[[#This Row],[ProductID]],Products[ProductID],Products[Category])</f>
        <v>Accessories</v>
      </c>
    </row>
    <row r="1420" spans="1:20" x14ac:dyDescent="0.25">
      <c r="A1420" s="4" t="s">
        <v>1609</v>
      </c>
      <c r="B1420" s="5">
        <v>45992</v>
      </c>
      <c r="C1420" s="15">
        <f>WEEKNUM(Orders[[#This Row],[OrderDate]])</f>
        <v>49</v>
      </c>
      <c r="D1420" s="15" t="str">
        <f>TEXT(Orders[[#This Row],[OrderDate]],"mmmm")</f>
        <v>December</v>
      </c>
      <c r="E1420" s="4" t="s">
        <v>55</v>
      </c>
      <c r="F1420" s="4" t="s">
        <v>57</v>
      </c>
      <c r="G1420" s="4">
        <v>4</v>
      </c>
      <c r="H1420" s="12">
        <v>16399.7</v>
      </c>
      <c r="I1420" s="13">
        <v>13939.745000000001</v>
      </c>
      <c r="J1420" s="13">
        <f>Orders[[#This Row],[Quantity]]*Orders[[#This Row],[Selling Price]]</f>
        <v>65598.8</v>
      </c>
      <c r="K1420" s="13">
        <f>Orders[[#This Row],[Quantity]]*Orders[[#This Row],[Cost Price]]</f>
        <v>55758.98</v>
      </c>
      <c r="L1420" s="13">
        <f>Orders[[#This Row],[Revenue]]-Orders[[#This Row],[Expenses]]</f>
        <v>9839.82</v>
      </c>
      <c r="M1420" t="s">
        <v>2213</v>
      </c>
      <c r="N1420" t="str">
        <f>_xlfn.XLOOKUP(Orders[[#This Row],[CustomerID]],Customers[CustomerID],Customers[CustomerName])</f>
        <v>Adanma Ojo</v>
      </c>
      <c r="O1420" t="str">
        <f>_xlfn.XLOOKUP(Orders[[#This Row],[CustomerID]],Customers[CustomerID],Customers[City])</f>
        <v>California</v>
      </c>
      <c r="P1420" t="str">
        <f>_xlfn.XLOOKUP(Orders[[#This Row],[CustomerID]],Customers[CustomerID],Customers[Gender])</f>
        <v>Female</v>
      </c>
      <c r="Q1420">
        <f>_xlfn.XLOOKUP(Orders[[#This Row],[CustomerID]],Customers[CustomerID],Customers[CustomerAge])</f>
        <v>48</v>
      </c>
      <c r="R1420" t="str">
        <f>IF(Orders[[#This Row],[CustomerAge]]&gt;=35, "Older", "Young")</f>
        <v>Older</v>
      </c>
      <c r="S1420" t="str">
        <f>_xlfn.XLOOKUP(Orders[[#This Row],[ProductID]],Products[ProductID],Products[ProductName])</f>
        <v>Badminton Racket</v>
      </c>
      <c r="T1420" t="str">
        <f>_xlfn.XLOOKUP(Orders[[#This Row],[ProductID]],Products[ProductID],Products[Category])</f>
        <v>Sports</v>
      </c>
    </row>
    <row r="1421" spans="1:20" x14ac:dyDescent="0.25">
      <c r="A1421" s="4" t="s">
        <v>1610</v>
      </c>
      <c r="B1421" s="5">
        <v>45991</v>
      </c>
      <c r="C1421" s="15">
        <f>WEEKNUM(Orders[[#This Row],[OrderDate]])</f>
        <v>49</v>
      </c>
      <c r="D1421" s="15" t="str">
        <f>TEXT(Orders[[#This Row],[OrderDate]],"mmmm")</f>
        <v>November</v>
      </c>
      <c r="E1421" s="4" t="s">
        <v>256</v>
      </c>
      <c r="F1421" s="4" t="s">
        <v>84</v>
      </c>
      <c r="G1421" s="4">
        <v>2</v>
      </c>
      <c r="H1421" s="12">
        <v>6521.7999999999993</v>
      </c>
      <c r="I1421" s="13">
        <v>5543.53</v>
      </c>
      <c r="J1421" s="13">
        <f>Orders[[#This Row],[Quantity]]*Orders[[#This Row],[Selling Price]]</f>
        <v>13043.599999999999</v>
      </c>
      <c r="K1421" s="13">
        <f>Orders[[#This Row],[Quantity]]*Orders[[#This Row],[Cost Price]]</f>
        <v>11087.06</v>
      </c>
      <c r="L1421" s="13">
        <f>Orders[[#This Row],[Revenue]]-Orders[[#This Row],[Expenses]]</f>
        <v>1956.5399999999991</v>
      </c>
      <c r="M1421" t="s">
        <v>2205</v>
      </c>
      <c r="N1421" t="str">
        <f>_xlfn.XLOOKUP(Orders[[#This Row],[CustomerID]],Customers[CustomerID],Customers[CustomerName])</f>
        <v>Efe Ojo</v>
      </c>
      <c r="O1421" t="str">
        <f>_xlfn.XLOOKUP(Orders[[#This Row],[CustomerID]],Customers[CustomerID],Customers[City])</f>
        <v>Georgia</v>
      </c>
      <c r="P1421" t="str">
        <f>_xlfn.XLOOKUP(Orders[[#This Row],[CustomerID]],Customers[CustomerID],Customers[Gender])</f>
        <v>Female</v>
      </c>
      <c r="Q1421">
        <f>_xlfn.XLOOKUP(Orders[[#This Row],[CustomerID]],Customers[CustomerID],Customers[CustomerAge])</f>
        <v>23</v>
      </c>
      <c r="R1421" t="str">
        <f>IF(Orders[[#This Row],[CustomerAge]]&gt;=35, "Older", "Young")</f>
        <v>Young</v>
      </c>
      <c r="S1421" t="str">
        <f>_xlfn.XLOOKUP(Orders[[#This Row],[ProductID]],Products[ProductID],Products[ProductName])</f>
        <v>Gym Wears</v>
      </c>
      <c r="T1421" t="str">
        <f>_xlfn.XLOOKUP(Orders[[#This Row],[ProductID]],Products[ProductID],Products[Category])</f>
        <v>Clothing</v>
      </c>
    </row>
    <row r="1422" spans="1:20" x14ac:dyDescent="0.25">
      <c r="A1422" s="4" t="s">
        <v>1611</v>
      </c>
      <c r="B1422" s="5">
        <v>46018</v>
      </c>
      <c r="C1422" s="15">
        <f>WEEKNUM(Orders[[#This Row],[OrderDate]])</f>
        <v>52</v>
      </c>
      <c r="D1422" s="15" t="str">
        <f>TEXT(Orders[[#This Row],[OrderDate]],"mmmm")</f>
        <v>December</v>
      </c>
      <c r="E1422" s="4" t="s">
        <v>649</v>
      </c>
      <c r="F1422" s="4" t="s">
        <v>232</v>
      </c>
      <c r="G1422" s="4">
        <v>1</v>
      </c>
      <c r="H1422" s="12">
        <v>10020.4</v>
      </c>
      <c r="I1422" s="13">
        <v>8517.34</v>
      </c>
      <c r="J1422" s="13">
        <f>Orders[[#This Row],[Quantity]]*Orders[[#This Row],[Selling Price]]</f>
        <v>10020.4</v>
      </c>
      <c r="K1422" s="13">
        <f>Orders[[#This Row],[Quantity]]*Orders[[#This Row],[Cost Price]]</f>
        <v>8517.34</v>
      </c>
      <c r="L1422" s="13">
        <f>Orders[[#This Row],[Revenue]]-Orders[[#This Row],[Expenses]]</f>
        <v>1503.0599999999995</v>
      </c>
      <c r="M1422" t="s">
        <v>2208</v>
      </c>
      <c r="N1422" t="str">
        <f>_xlfn.XLOOKUP(Orders[[#This Row],[CustomerID]],Customers[CustomerID],Customers[CustomerName])</f>
        <v>Bisi Abubakar</v>
      </c>
      <c r="O1422" t="str">
        <f>_xlfn.XLOOKUP(Orders[[#This Row],[CustomerID]],Customers[CustomerID],Customers[City])</f>
        <v>Washington</v>
      </c>
      <c r="P1422" t="str">
        <f>_xlfn.XLOOKUP(Orders[[#This Row],[CustomerID]],Customers[CustomerID],Customers[Gender])</f>
        <v>Female</v>
      </c>
      <c r="Q1422">
        <f>_xlfn.XLOOKUP(Orders[[#This Row],[CustomerID]],Customers[CustomerID],Customers[CustomerAge])</f>
        <v>35</v>
      </c>
      <c r="R1422" t="str">
        <f>IF(Orders[[#This Row],[CustomerAge]]&gt;=35, "Older", "Young")</f>
        <v>Older</v>
      </c>
      <c r="S1422" t="str">
        <f>_xlfn.XLOOKUP(Orders[[#This Row],[ProductID]],Products[ProductID],Products[ProductName])</f>
        <v>Ankara</v>
      </c>
      <c r="T1422" t="str">
        <f>_xlfn.XLOOKUP(Orders[[#This Row],[ProductID]],Products[ProductID],Products[Category])</f>
        <v>Clothing</v>
      </c>
    </row>
    <row r="1423" spans="1:20" x14ac:dyDescent="0.25">
      <c r="A1423" s="4" t="s">
        <v>1612</v>
      </c>
      <c r="B1423" s="5">
        <v>45934</v>
      </c>
      <c r="C1423" s="15">
        <f>WEEKNUM(Orders[[#This Row],[OrderDate]])</f>
        <v>40</v>
      </c>
      <c r="D1423" s="15" t="str">
        <f>TEXT(Orders[[#This Row],[OrderDate]],"mmmm")</f>
        <v>October</v>
      </c>
      <c r="E1423" s="4" t="s">
        <v>203</v>
      </c>
      <c r="F1423" s="4" t="s">
        <v>168</v>
      </c>
      <c r="G1423" s="4">
        <v>8</v>
      </c>
      <c r="H1423" s="12">
        <v>11599.9</v>
      </c>
      <c r="I1423" s="13">
        <v>9859.9149999999991</v>
      </c>
      <c r="J1423" s="13">
        <f>Orders[[#This Row],[Quantity]]*Orders[[#This Row],[Selling Price]]</f>
        <v>92799.2</v>
      </c>
      <c r="K1423" s="13">
        <f>Orders[[#This Row],[Quantity]]*Orders[[#This Row],[Cost Price]]</f>
        <v>78879.319999999992</v>
      </c>
      <c r="L1423" s="13">
        <f>Orders[[#This Row],[Revenue]]-Orders[[#This Row],[Expenses]]</f>
        <v>13919.880000000005</v>
      </c>
      <c r="M1423" t="s">
        <v>2199</v>
      </c>
      <c r="N1423" t="str">
        <f>_xlfn.XLOOKUP(Orders[[#This Row],[CustomerID]],Customers[CustomerID],Customers[CustomerName])</f>
        <v>Okon Bello</v>
      </c>
      <c r="O1423" t="str">
        <f>_xlfn.XLOOKUP(Orders[[#This Row],[CustomerID]],Customers[CustomerID],Customers[City])</f>
        <v>Texas</v>
      </c>
      <c r="P1423" t="str">
        <f>_xlfn.XLOOKUP(Orders[[#This Row],[CustomerID]],Customers[CustomerID],Customers[Gender])</f>
        <v>Male</v>
      </c>
      <c r="Q1423">
        <f>_xlfn.XLOOKUP(Orders[[#This Row],[CustomerID]],Customers[CustomerID],Customers[CustomerAge])</f>
        <v>20</v>
      </c>
      <c r="R1423" t="str">
        <f>IF(Orders[[#This Row],[CustomerAge]]&gt;=35, "Older", "Young")</f>
        <v>Young</v>
      </c>
      <c r="S1423" t="str">
        <f>_xlfn.XLOOKUP(Orders[[#This Row],[ProductID]],Products[ProductID],Products[ProductName])</f>
        <v>Dumb Bells</v>
      </c>
      <c r="T1423" t="str">
        <f>_xlfn.XLOOKUP(Orders[[#This Row],[ProductID]],Products[ProductID],Products[Category])</f>
        <v>Gym</v>
      </c>
    </row>
    <row r="1424" spans="1:20" x14ac:dyDescent="0.25">
      <c r="A1424" s="4" t="s">
        <v>1613</v>
      </c>
      <c r="B1424" s="5">
        <v>45963</v>
      </c>
      <c r="C1424" s="15">
        <f>WEEKNUM(Orders[[#This Row],[OrderDate]])</f>
        <v>45</v>
      </c>
      <c r="D1424" s="15" t="str">
        <f>TEXT(Orders[[#This Row],[OrderDate]],"mmmm")</f>
        <v>November</v>
      </c>
      <c r="E1424" s="4" t="s">
        <v>52</v>
      </c>
      <c r="F1424" s="4" t="s">
        <v>84</v>
      </c>
      <c r="G1424" s="4">
        <v>3</v>
      </c>
      <c r="H1424" s="12">
        <v>7922.7999999999993</v>
      </c>
      <c r="I1424" s="13">
        <v>6734.3799999999992</v>
      </c>
      <c r="J1424" s="13">
        <f>Orders[[#This Row],[Quantity]]*Orders[[#This Row],[Selling Price]]</f>
        <v>23768.399999999998</v>
      </c>
      <c r="K1424" s="13">
        <f>Orders[[#This Row],[Quantity]]*Orders[[#This Row],[Cost Price]]</f>
        <v>20203.14</v>
      </c>
      <c r="L1424" s="13">
        <f>Orders[[#This Row],[Revenue]]-Orders[[#This Row],[Expenses]]</f>
        <v>3565.2599999999984</v>
      </c>
      <c r="M1424" t="s">
        <v>2210</v>
      </c>
      <c r="N1424" t="str">
        <f>_xlfn.XLOOKUP(Orders[[#This Row],[CustomerID]],Customers[CustomerID],Customers[CustomerName])</f>
        <v>Folasade Ojo</v>
      </c>
      <c r="O1424" t="str">
        <f>_xlfn.XLOOKUP(Orders[[#This Row],[CustomerID]],Customers[CustomerID],Customers[City])</f>
        <v>Texas</v>
      </c>
      <c r="P1424" t="str">
        <f>_xlfn.XLOOKUP(Orders[[#This Row],[CustomerID]],Customers[CustomerID],Customers[Gender])</f>
        <v>Female</v>
      </c>
      <c r="Q1424">
        <f>_xlfn.XLOOKUP(Orders[[#This Row],[CustomerID]],Customers[CustomerID],Customers[CustomerAge])</f>
        <v>29</v>
      </c>
      <c r="R1424" t="str">
        <f>IF(Orders[[#This Row],[CustomerAge]]&gt;=35, "Older", "Young")</f>
        <v>Young</v>
      </c>
      <c r="S1424" t="str">
        <f>_xlfn.XLOOKUP(Orders[[#This Row],[ProductID]],Products[ProductID],Products[ProductName])</f>
        <v>Gym Wears</v>
      </c>
      <c r="T1424" t="str">
        <f>_xlfn.XLOOKUP(Orders[[#This Row],[ProductID]],Products[ProductID],Products[Category])</f>
        <v>Clothing</v>
      </c>
    </row>
    <row r="1425" spans="1:20" x14ac:dyDescent="0.25">
      <c r="A1425" s="4" t="s">
        <v>1614</v>
      </c>
      <c r="B1425" s="5">
        <v>46016</v>
      </c>
      <c r="C1425" s="15">
        <f>WEEKNUM(Orders[[#This Row],[OrderDate]])</f>
        <v>52</v>
      </c>
      <c r="D1425" s="15" t="str">
        <f>TEXT(Orders[[#This Row],[OrderDate]],"mmmm")</f>
        <v>December</v>
      </c>
      <c r="E1425" s="4" t="s">
        <v>234</v>
      </c>
      <c r="F1425" s="4" t="s">
        <v>208</v>
      </c>
      <c r="G1425" s="4">
        <v>7</v>
      </c>
      <c r="H1425" s="12">
        <v>17017.3</v>
      </c>
      <c r="I1425" s="13">
        <v>14464.705</v>
      </c>
      <c r="J1425" s="13">
        <f>Orders[[#This Row],[Quantity]]*Orders[[#This Row],[Selling Price]]</f>
        <v>119121.09999999999</v>
      </c>
      <c r="K1425" s="13">
        <f>Orders[[#This Row],[Quantity]]*Orders[[#This Row],[Cost Price]]</f>
        <v>101252.935</v>
      </c>
      <c r="L1425" s="13">
        <f>Orders[[#This Row],[Revenue]]-Orders[[#This Row],[Expenses]]</f>
        <v>17868.164999999994</v>
      </c>
      <c r="M1425" t="s">
        <v>2200</v>
      </c>
      <c r="N1425" t="str">
        <f>_xlfn.XLOOKUP(Orders[[#This Row],[CustomerID]],Customers[CustomerID],Customers[CustomerName])</f>
        <v>Adanma Ojo</v>
      </c>
      <c r="O1425" t="str">
        <f>_xlfn.XLOOKUP(Orders[[#This Row],[CustomerID]],Customers[CustomerID],Customers[City])</f>
        <v>Texas</v>
      </c>
      <c r="P1425" t="str">
        <f>_xlfn.XLOOKUP(Orders[[#This Row],[CustomerID]],Customers[CustomerID],Customers[Gender])</f>
        <v>Female</v>
      </c>
      <c r="Q1425">
        <f>_xlfn.XLOOKUP(Orders[[#This Row],[CustomerID]],Customers[CustomerID],Customers[CustomerAge])</f>
        <v>18</v>
      </c>
      <c r="R1425" t="str">
        <f>IF(Orders[[#This Row],[CustomerAge]]&gt;=35, "Older", "Young")</f>
        <v>Young</v>
      </c>
      <c r="S1425" t="str">
        <f>_xlfn.XLOOKUP(Orders[[#This Row],[ProductID]],Products[ProductID],Products[ProductName])</f>
        <v>Skipping Rope</v>
      </c>
      <c r="T1425" t="str">
        <f>_xlfn.XLOOKUP(Orders[[#This Row],[ProductID]],Products[ProductID],Products[Category])</f>
        <v>Sports</v>
      </c>
    </row>
    <row r="1426" spans="1:20" x14ac:dyDescent="0.25">
      <c r="A1426" s="4" t="s">
        <v>1615</v>
      </c>
      <c r="B1426" s="5">
        <v>45931</v>
      </c>
      <c r="C1426" s="15">
        <f>WEEKNUM(Orders[[#This Row],[OrderDate]])</f>
        <v>40</v>
      </c>
      <c r="D1426" s="15" t="str">
        <f>TEXT(Orders[[#This Row],[OrderDate]],"mmmm")</f>
        <v>October</v>
      </c>
      <c r="E1426" s="4" t="s">
        <v>124</v>
      </c>
      <c r="F1426" s="4" t="s">
        <v>12</v>
      </c>
      <c r="G1426" s="4">
        <v>10</v>
      </c>
      <c r="H1426" s="12">
        <v>5842.2000000000007</v>
      </c>
      <c r="I1426" s="13">
        <v>4965.8700000000008</v>
      </c>
      <c r="J1426" s="13">
        <f>Orders[[#This Row],[Quantity]]*Orders[[#This Row],[Selling Price]]</f>
        <v>58422.000000000007</v>
      </c>
      <c r="K1426" s="13">
        <f>Orders[[#This Row],[Quantity]]*Orders[[#This Row],[Cost Price]]</f>
        <v>49658.700000000012</v>
      </c>
      <c r="L1426" s="13">
        <f>Orders[[#This Row],[Revenue]]-Orders[[#This Row],[Expenses]]</f>
        <v>8763.2999999999956</v>
      </c>
      <c r="M1426" t="s">
        <v>2215</v>
      </c>
      <c r="N1426" t="str">
        <f>_xlfn.XLOOKUP(Orders[[#This Row],[CustomerID]],Customers[CustomerID],Customers[CustomerName])</f>
        <v>Ngozi Ojo</v>
      </c>
      <c r="O1426" t="str">
        <f>_xlfn.XLOOKUP(Orders[[#This Row],[CustomerID]],Customers[CustomerID],Customers[City])</f>
        <v>Texas</v>
      </c>
      <c r="P1426" t="str">
        <f>_xlfn.XLOOKUP(Orders[[#This Row],[CustomerID]],Customers[CustomerID],Customers[Gender])</f>
        <v>Female</v>
      </c>
      <c r="Q1426">
        <f>_xlfn.XLOOKUP(Orders[[#This Row],[CustomerID]],Customers[CustomerID],Customers[CustomerAge])</f>
        <v>22</v>
      </c>
      <c r="R1426" t="str">
        <f>IF(Orders[[#This Row],[CustomerAge]]&gt;=35, "Older", "Young")</f>
        <v>Young</v>
      </c>
      <c r="S1426" t="str">
        <f>_xlfn.XLOOKUP(Orders[[#This Row],[ProductID]],Products[ProductID],Products[ProductName])</f>
        <v>Boubou</v>
      </c>
      <c r="T1426" t="str">
        <f>_xlfn.XLOOKUP(Orders[[#This Row],[ProductID]],Products[ProductID],Products[Category])</f>
        <v>Clothing</v>
      </c>
    </row>
    <row r="1427" spans="1:20" x14ac:dyDescent="0.25">
      <c r="A1427" s="4" t="s">
        <v>1616</v>
      </c>
      <c r="B1427" s="5">
        <v>45970</v>
      </c>
      <c r="C1427" s="15">
        <f>WEEKNUM(Orders[[#This Row],[OrderDate]])</f>
        <v>46</v>
      </c>
      <c r="D1427" s="15" t="str">
        <f>TEXT(Orders[[#This Row],[OrderDate]],"mmmm")</f>
        <v>November</v>
      </c>
      <c r="E1427" s="4" t="s">
        <v>295</v>
      </c>
      <c r="F1427" s="4" t="s">
        <v>37</v>
      </c>
      <c r="G1427" s="4">
        <v>2</v>
      </c>
      <c r="H1427" s="12">
        <v>1049.3000000000002</v>
      </c>
      <c r="I1427" s="13">
        <v>891.9050000000002</v>
      </c>
      <c r="J1427" s="13">
        <f>Orders[[#This Row],[Quantity]]*Orders[[#This Row],[Selling Price]]</f>
        <v>2098.6000000000004</v>
      </c>
      <c r="K1427" s="13">
        <f>Orders[[#This Row],[Quantity]]*Orders[[#This Row],[Cost Price]]</f>
        <v>1783.8100000000004</v>
      </c>
      <c r="L1427" s="13">
        <f>Orders[[#This Row],[Revenue]]-Orders[[#This Row],[Expenses]]</f>
        <v>314.78999999999996</v>
      </c>
      <c r="M1427" t="s">
        <v>2215</v>
      </c>
      <c r="N1427" t="str">
        <f>_xlfn.XLOOKUP(Orders[[#This Row],[CustomerID]],Customers[CustomerID],Customers[CustomerName])</f>
        <v>Sani Obi</v>
      </c>
      <c r="O1427" t="str">
        <f>_xlfn.XLOOKUP(Orders[[#This Row],[CustomerID]],Customers[CustomerID],Customers[City])</f>
        <v>Texas</v>
      </c>
      <c r="P1427" t="str">
        <f>_xlfn.XLOOKUP(Orders[[#This Row],[CustomerID]],Customers[CustomerID],Customers[Gender])</f>
        <v>Male</v>
      </c>
      <c r="Q1427">
        <f>_xlfn.XLOOKUP(Orders[[#This Row],[CustomerID]],Customers[CustomerID],Customers[CustomerAge])</f>
        <v>31</v>
      </c>
      <c r="R1427" t="str">
        <f>IF(Orders[[#This Row],[CustomerAge]]&gt;=35, "Older", "Young")</f>
        <v>Young</v>
      </c>
      <c r="S1427" t="str">
        <f>_xlfn.XLOOKUP(Orders[[#This Row],[ProductID]],Products[ProductID],Products[ProductName])</f>
        <v>Iron</v>
      </c>
      <c r="T1427" t="str">
        <f>_xlfn.XLOOKUP(Orders[[#This Row],[ProductID]],Products[ProductID],Products[Category])</f>
        <v>Electronics</v>
      </c>
    </row>
    <row r="1428" spans="1:20" x14ac:dyDescent="0.25">
      <c r="A1428" s="4" t="s">
        <v>1617</v>
      </c>
      <c r="B1428" s="5">
        <v>45951</v>
      </c>
      <c r="C1428" s="15">
        <f>WEEKNUM(Orders[[#This Row],[OrderDate]])</f>
        <v>43</v>
      </c>
      <c r="D1428" s="15" t="str">
        <f>TEXT(Orders[[#This Row],[OrderDate]],"mmmm")</f>
        <v>October</v>
      </c>
      <c r="E1428" s="4" t="s">
        <v>418</v>
      </c>
      <c r="F1428" s="4" t="s">
        <v>208</v>
      </c>
      <c r="G1428" s="4">
        <v>4</v>
      </c>
      <c r="H1428" s="12">
        <v>17740.3</v>
      </c>
      <c r="I1428" s="13">
        <v>15079.254999999999</v>
      </c>
      <c r="J1428" s="13">
        <f>Orders[[#This Row],[Quantity]]*Orders[[#This Row],[Selling Price]]</f>
        <v>70961.2</v>
      </c>
      <c r="K1428" s="13">
        <f>Orders[[#This Row],[Quantity]]*Orders[[#This Row],[Cost Price]]</f>
        <v>60317.02</v>
      </c>
      <c r="L1428" s="13">
        <f>Orders[[#This Row],[Revenue]]-Orders[[#This Row],[Expenses]]</f>
        <v>10644.18</v>
      </c>
      <c r="M1428" t="s">
        <v>2194</v>
      </c>
      <c r="N1428" t="str">
        <f>_xlfn.XLOOKUP(Orders[[#This Row],[CustomerID]],Customers[CustomerID],Customers[CustomerName])</f>
        <v>Amina Danladi</v>
      </c>
      <c r="O1428" t="str">
        <f>_xlfn.XLOOKUP(Orders[[#This Row],[CustomerID]],Customers[CustomerID],Customers[City])</f>
        <v>Illinois</v>
      </c>
      <c r="P1428" t="str">
        <f>_xlfn.XLOOKUP(Orders[[#This Row],[CustomerID]],Customers[CustomerID],Customers[Gender])</f>
        <v>Female</v>
      </c>
      <c r="Q1428">
        <f>_xlfn.XLOOKUP(Orders[[#This Row],[CustomerID]],Customers[CustomerID],Customers[CustomerAge])</f>
        <v>20</v>
      </c>
      <c r="R1428" t="str">
        <f>IF(Orders[[#This Row],[CustomerAge]]&gt;=35, "Older", "Young")</f>
        <v>Young</v>
      </c>
      <c r="S1428" t="str">
        <f>_xlfn.XLOOKUP(Orders[[#This Row],[ProductID]],Products[ProductID],Products[ProductName])</f>
        <v>Skipping Rope</v>
      </c>
      <c r="T1428" t="str">
        <f>_xlfn.XLOOKUP(Orders[[#This Row],[ProductID]],Products[ProductID],Products[Category])</f>
        <v>Sports</v>
      </c>
    </row>
    <row r="1429" spans="1:20" x14ac:dyDescent="0.25">
      <c r="A1429" s="4" t="s">
        <v>1618</v>
      </c>
      <c r="B1429" s="5">
        <v>45978</v>
      </c>
      <c r="C1429" s="15">
        <f>WEEKNUM(Orders[[#This Row],[OrderDate]])</f>
        <v>47</v>
      </c>
      <c r="D1429" s="15" t="str">
        <f>TEXT(Orders[[#This Row],[OrderDate]],"mmmm")</f>
        <v>November</v>
      </c>
      <c r="E1429" s="4" t="s">
        <v>33</v>
      </c>
      <c r="F1429" s="4" t="s">
        <v>25</v>
      </c>
      <c r="G1429" s="4">
        <v>10</v>
      </c>
      <c r="H1429" s="12">
        <v>9631.2000000000007</v>
      </c>
      <c r="I1429" s="13">
        <v>8186.52</v>
      </c>
      <c r="J1429" s="13">
        <f>Orders[[#This Row],[Quantity]]*Orders[[#This Row],[Selling Price]]</f>
        <v>96312</v>
      </c>
      <c r="K1429" s="13">
        <f>Orders[[#This Row],[Quantity]]*Orders[[#This Row],[Cost Price]]</f>
        <v>81865.200000000012</v>
      </c>
      <c r="L1429" s="13">
        <f>Orders[[#This Row],[Revenue]]-Orders[[#This Row],[Expenses]]</f>
        <v>14446.799999999988</v>
      </c>
      <c r="M1429" t="s">
        <v>2197</v>
      </c>
      <c r="N1429" t="str">
        <f>_xlfn.XLOOKUP(Orders[[#This Row],[CustomerID]],Customers[CustomerID],Customers[CustomerName])</f>
        <v>Okon Balogun</v>
      </c>
      <c r="O1429" t="str">
        <f>_xlfn.XLOOKUP(Orders[[#This Row],[CustomerID]],Customers[CustomerID],Customers[City])</f>
        <v>Texas</v>
      </c>
      <c r="P1429" t="str">
        <f>_xlfn.XLOOKUP(Orders[[#This Row],[CustomerID]],Customers[CustomerID],Customers[Gender])</f>
        <v>Male</v>
      </c>
      <c r="Q1429">
        <f>_xlfn.XLOOKUP(Orders[[#This Row],[CustomerID]],Customers[CustomerID],Customers[CustomerAge])</f>
        <v>28</v>
      </c>
      <c r="R1429" t="str">
        <f>IF(Orders[[#This Row],[CustomerAge]]&gt;=35, "Older", "Young")</f>
        <v>Young</v>
      </c>
      <c r="S1429" t="str">
        <f>_xlfn.XLOOKUP(Orders[[#This Row],[ProductID]],Products[ProductID],Products[ProductName])</f>
        <v>Gold Rings</v>
      </c>
      <c r="T1429" t="str">
        <f>_xlfn.XLOOKUP(Orders[[#This Row],[ProductID]],Products[ProductID],Products[Category])</f>
        <v>Accessories</v>
      </c>
    </row>
    <row r="1430" spans="1:20" x14ac:dyDescent="0.25">
      <c r="A1430" s="4" t="s">
        <v>1619</v>
      </c>
      <c r="B1430" s="5">
        <v>45992</v>
      </c>
      <c r="C1430" s="15">
        <f>WEEKNUM(Orders[[#This Row],[OrderDate]])</f>
        <v>49</v>
      </c>
      <c r="D1430" s="15" t="str">
        <f>TEXT(Orders[[#This Row],[OrderDate]],"mmmm")</f>
        <v>December</v>
      </c>
      <c r="E1430" s="4" t="s">
        <v>309</v>
      </c>
      <c r="F1430" s="4" t="s">
        <v>12</v>
      </c>
      <c r="G1430" s="4">
        <v>1</v>
      </c>
      <c r="H1430" s="12">
        <v>12096.099999999999</v>
      </c>
      <c r="I1430" s="13">
        <v>10281.684999999999</v>
      </c>
      <c r="J1430" s="13">
        <f>Orders[[#This Row],[Quantity]]*Orders[[#This Row],[Selling Price]]</f>
        <v>12096.099999999999</v>
      </c>
      <c r="K1430" s="13">
        <f>Orders[[#This Row],[Quantity]]*Orders[[#This Row],[Cost Price]]</f>
        <v>10281.684999999999</v>
      </c>
      <c r="L1430" s="13">
        <f>Orders[[#This Row],[Revenue]]-Orders[[#This Row],[Expenses]]</f>
        <v>1814.4149999999991</v>
      </c>
      <c r="M1430" t="s">
        <v>2205</v>
      </c>
      <c r="N1430" t="str">
        <f>_xlfn.XLOOKUP(Orders[[#This Row],[CustomerID]],Customers[CustomerID],Customers[CustomerName])</f>
        <v>Temi Ojo</v>
      </c>
      <c r="O1430" t="str">
        <f>_xlfn.XLOOKUP(Orders[[#This Row],[CustomerID]],Customers[CustomerID],Customers[City])</f>
        <v>Washington</v>
      </c>
      <c r="P1430" t="str">
        <f>_xlfn.XLOOKUP(Orders[[#This Row],[CustomerID]],Customers[CustomerID],Customers[Gender])</f>
        <v>Female</v>
      </c>
      <c r="Q1430">
        <f>_xlfn.XLOOKUP(Orders[[#This Row],[CustomerID]],Customers[CustomerID],Customers[CustomerAge])</f>
        <v>36</v>
      </c>
      <c r="R1430" t="str">
        <f>IF(Orders[[#This Row],[CustomerAge]]&gt;=35, "Older", "Young")</f>
        <v>Older</v>
      </c>
      <c r="S1430" t="str">
        <f>_xlfn.XLOOKUP(Orders[[#This Row],[ProductID]],Products[ProductID],Products[ProductName])</f>
        <v>Boubou</v>
      </c>
      <c r="T1430" t="str">
        <f>_xlfn.XLOOKUP(Orders[[#This Row],[ProductID]],Products[ProductID],Products[Category])</f>
        <v>Clothing</v>
      </c>
    </row>
    <row r="1431" spans="1:20" x14ac:dyDescent="0.25">
      <c r="A1431" s="4" t="s">
        <v>1620</v>
      </c>
      <c r="B1431" s="5">
        <v>45977</v>
      </c>
      <c r="C1431" s="15">
        <f>WEEKNUM(Orders[[#This Row],[OrderDate]])</f>
        <v>47</v>
      </c>
      <c r="D1431" s="15" t="str">
        <f>TEXT(Orders[[#This Row],[OrderDate]],"mmmm")</f>
        <v>November</v>
      </c>
      <c r="E1431" s="4" t="s">
        <v>41</v>
      </c>
      <c r="F1431" s="4" t="s">
        <v>63</v>
      </c>
      <c r="G1431" s="4">
        <v>1</v>
      </c>
      <c r="H1431" s="12">
        <v>7967</v>
      </c>
      <c r="I1431" s="13">
        <v>6771.95</v>
      </c>
      <c r="J1431" s="13">
        <f>Orders[[#This Row],[Quantity]]*Orders[[#This Row],[Selling Price]]</f>
        <v>7967</v>
      </c>
      <c r="K1431" s="13">
        <f>Orders[[#This Row],[Quantity]]*Orders[[#This Row],[Cost Price]]</f>
        <v>6771.95</v>
      </c>
      <c r="L1431" s="13">
        <f>Orders[[#This Row],[Revenue]]-Orders[[#This Row],[Expenses]]</f>
        <v>1195.0500000000002</v>
      </c>
      <c r="M1431" t="s">
        <v>2201</v>
      </c>
      <c r="N1431" t="str">
        <f>_xlfn.XLOOKUP(Orders[[#This Row],[CustomerID]],Customers[CustomerID],Customers[CustomerName])</f>
        <v>Mustafa Balogun</v>
      </c>
      <c r="O1431" t="str">
        <f>_xlfn.XLOOKUP(Orders[[#This Row],[CustomerID]],Customers[CustomerID],Customers[City])</f>
        <v>Texas</v>
      </c>
      <c r="P1431" t="str">
        <f>_xlfn.XLOOKUP(Orders[[#This Row],[CustomerID]],Customers[CustomerID],Customers[Gender])</f>
        <v>Male</v>
      </c>
      <c r="Q1431">
        <f>_xlfn.XLOOKUP(Orders[[#This Row],[CustomerID]],Customers[CustomerID],Customers[CustomerAge])</f>
        <v>40</v>
      </c>
      <c r="R1431" t="str">
        <f>IF(Orders[[#This Row],[CustomerAge]]&gt;=35, "Older", "Young")</f>
        <v>Older</v>
      </c>
      <c r="S1431" t="str">
        <f>_xlfn.XLOOKUP(Orders[[#This Row],[ProductID]],Products[ProductID],Products[ProductName])</f>
        <v>Tennis Bat</v>
      </c>
      <c r="T1431" t="str">
        <f>_xlfn.XLOOKUP(Orders[[#This Row],[ProductID]],Products[ProductID],Products[Category])</f>
        <v>Sports</v>
      </c>
    </row>
    <row r="1432" spans="1:20" x14ac:dyDescent="0.25">
      <c r="A1432" s="4" t="s">
        <v>1621</v>
      </c>
      <c r="B1432" s="5">
        <v>46017</v>
      </c>
      <c r="C1432" s="15">
        <f>WEEKNUM(Orders[[#This Row],[OrderDate]])</f>
        <v>52</v>
      </c>
      <c r="D1432" s="15" t="str">
        <f>TEXT(Orders[[#This Row],[OrderDate]],"mmmm")</f>
        <v>December</v>
      </c>
      <c r="E1432" s="4" t="s">
        <v>264</v>
      </c>
      <c r="F1432" s="4" t="s">
        <v>28</v>
      </c>
      <c r="G1432" s="4">
        <v>3</v>
      </c>
      <c r="H1432" s="12">
        <v>10831</v>
      </c>
      <c r="I1432" s="13">
        <v>9206.35</v>
      </c>
      <c r="J1432" s="13">
        <f>Orders[[#This Row],[Quantity]]*Orders[[#This Row],[Selling Price]]</f>
        <v>32493</v>
      </c>
      <c r="K1432" s="13">
        <f>Orders[[#This Row],[Quantity]]*Orders[[#This Row],[Cost Price]]</f>
        <v>27619.050000000003</v>
      </c>
      <c r="L1432" s="13">
        <f>Orders[[#This Row],[Revenue]]-Orders[[#This Row],[Expenses]]</f>
        <v>4873.9499999999971</v>
      </c>
      <c r="M1432" t="s">
        <v>2216</v>
      </c>
      <c r="N1432" t="str">
        <f>_xlfn.XLOOKUP(Orders[[#This Row],[CustomerID]],Customers[CustomerID],Customers[CustomerName])</f>
        <v>Ronke Adeyemi</v>
      </c>
      <c r="O1432" t="str">
        <f>_xlfn.XLOOKUP(Orders[[#This Row],[CustomerID]],Customers[CustomerID],Customers[City])</f>
        <v>Georgia</v>
      </c>
      <c r="P1432" t="str">
        <f>_xlfn.XLOOKUP(Orders[[#This Row],[CustomerID]],Customers[CustomerID],Customers[Gender])</f>
        <v>Female</v>
      </c>
      <c r="Q1432">
        <f>_xlfn.XLOOKUP(Orders[[#This Row],[CustomerID]],Customers[CustomerID],Customers[CustomerAge])</f>
        <v>19</v>
      </c>
      <c r="R1432" t="str">
        <f>IF(Orders[[#This Row],[CustomerAge]]&gt;=35, "Older", "Young")</f>
        <v>Young</v>
      </c>
      <c r="S1432" t="str">
        <f>_xlfn.XLOOKUP(Orders[[#This Row],[ProductID]],Products[ProductID],Products[ProductName])</f>
        <v>Sneakers</v>
      </c>
      <c r="T1432" t="str">
        <f>_xlfn.XLOOKUP(Orders[[#This Row],[ProductID]],Products[ProductID],Products[Category])</f>
        <v>Sports</v>
      </c>
    </row>
    <row r="1433" spans="1:20" x14ac:dyDescent="0.25">
      <c r="A1433" s="4" t="s">
        <v>1622</v>
      </c>
      <c r="B1433" s="5">
        <v>46017</v>
      </c>
      <c r="C1433" s="15">
        <f>WEEKNUM(Orders[[#This Row],[OrderDate]])</f>
        <v>52</v>
      </c>
      <c r="D1433" s="15" t="str">
        <f>TEXT(Orders[[#This Row],[OrderDate]],"mmmm")</f>
        <v>December</v>
      </c>
      <c r="E1433" s="4" t="s">
        <v>416</v>
      </c>
      <c r="F1433" s="4" t="s">
        <v>15</v>
      </c>
      <c r="G1433" s="4">
        <v>6</v>
      </c>
      <c r="H1433" s="12">
        <v>11102.2</v>
      </c>
      <c r="I1433" s="13">
        <v>9436.8700000000008</v>
      </c>
      <c r="J1433" s="13">
        <f>Orders[[#This Row],[Quantity]]*Orders[[#This Row],[Selling Price]]</f>
        <v>66613.200000000012</v>
      </c>
      <c r="K1433" s="13">
        <f>Orders[[#This Row],[Quantity]]*Orders[[#This Row],[Cost Price]]</f>
        <v>56621.22</v>
      </c>
      <c r="L1433" s="13">
        <f>Orders[[#This Row],[Revenue]]-Orders[[#This Row],[Expenses]]</f>
        <v>9991.9800000000105</v>
      </c>
      <c r="M1433" t="s">
        <v>2201</v>
      </c>
      <c r="N1433" t="str">
        <f>_xlfn.XLOOKUP(Orders[[#This Row],[CustomerID]],Customers[CustomerID],Customers[CustomerName])</f>
        <v>Chinedu Igwe</v>
      </c>
      <c r="O1433" t="str">
        <f>_xlfn.XLOOKUP(Orders[[#This Row],[CustomerID]],Customers[CustomerID],Customers[City])</f>
        <v>Texas</v>
      </c>
      <c r="P1433" t="str">
        <f>_xlfn.XLOOKUP(Orders[[#This Row],[CustomerID]],Customers[CustomerID],Customers[Gender])</f>
        <v>Male</v>
      </c>
      <c r="Q1433">
        <f>_xlfn.XLOOKUP(Orders[[#This Row],[CustomerID]],Customers[CustomerID],Customers[CustomerAge])</f>
        <v>26</v>
      </c>
      <c r="R1433" t="str">
        <f>IF(Orders[[#This Row],[CustomerAge]]&gt;=35, "Older", "Young")</f>
        <v>Young</v>
      </c>
      <c r="S1433" t="str">
        <f>_xlfn.XLOOKUP(Orders[[#This Row],[ProductID]],Products[ProductID],Products[ProductName])</f>
        <v>Monopoly</v>
      </c>
      <c r="T1433" t="str">
        <f>_xlfn.XLOOKUP(Orders[[#This Row],[ProductID]],Products[ProductID],Products[Category])</f>
        <v>Games</v>
      </c>
    </row>
    <row r="1434" spans="1:20" x14ac:dyDescent="0.25">
      <c r="A1434" s="4" t="s">
        <v>1623</v>
      </c>
      <c r="B1434" s="5">
        <v>45941</v>
      </c>
      <c r="C1434" s="15">
        <f>WEEKNUM(Orders[[#This Row],[OrderDate]])</f>
        <v>41</v>
      </c>
      <c r="D1434" s="15" t="str">
        <f>TEXT(Orders[[#This Row],[OrderDate]],"mmmm")</f>
        <v>October</v>
      </c>
      <c r="E1434" s="4" t="s">
        <v>89</v>
      </c>
      <c r="F1434" s="4" t="s">
        <v>84</v>
      </c>
      <c r="G1434" s="4">
        <v>2</v>
      </c>
      <c r="H1434" s="12">
        <v>4782.0999999999995</v>
      </c>
      <c r="I1434" s="13">
        <v>4064.7849999999994</v>
      </c>
      <c r="J1434" s="13">
        <f>Orders[[#This Row],[Quantity]]*Orders[[#This Row],[Selling Price]]</f>
        <v>9564.1999999999989</v>
      </c>
      <c r="K1434" s="13">
        <f>Orders[[#This Row],[Quantity]]*Orders[[#This Row],[Cost Price]]</f>
        <v>8129.5699999999988</v>
      </c>
      <c r="L1434" s="13">
        <f>Orders[[#This Row],[Revenue]]-Orders[[#This Row],[Expenses]]</f>
        <v>1434.63</v>
      </c>
      <c r="M1434" t="s">
        <v>2201</v>
      </c>
      <c r="N1434" t="str">
        <f>_xlfn.XLOOKUP(Orders[[#This Row],[CustomerID]],Customers[CustomerID],Customers[CustomerName])</f>
        <v>Blessing Balogun</v>
      </c>
      <c r="O1434" t="str">
        <f>_xlfn.XLOOKUP(Orders[[#This Row],[CustomerID]],Customers[CustomerID],Customers[City])</f>
        <v>Washington</v>
      </c>
      <c r="P1434" t="str">
        <f>_xlfn.XLOOKUP(Orders[[#This Row],[CustomerID]],Customers[CustomerID],Customers[Gender])</f>
        <v>Female</v>
      </c>
      <c r="Q1434">
        <f>_xlfn.XLOOKUP(Orders[[#This Row],[CustomerID]],Customers[CustomerID],Customers[CustomerAge])</f>
        <v>19</v>
      </c>
      <c r="R1434" t="str">
        <f>IF(Orders[[#This Row],[CustomerAge]]&gt;=35, "Older", "Young")</f>
        <v>Young</v>
      </c>
      <c r="S1434" t="str">
        <f>_xlfn.XLOOKUP(Orders[[#This Row],[ProductID]],Products[ProductID],Products[ProductName])</f>
        <v>Gym Wears</v>
      </c>
      <c r="T1434" t="str">
        <f>_xlfn.XLOOKUP(Orders[[#This Row],[ProductID]],Products[ProductID],Products[Category])</f>
        <v>Clothing</v>
      </c>
    </row>
    <row r="1435" spans="1:20" x14ac:dyDescent="0.25">
      <c r="A1435" s="4" t="s">
        <v>1624</v>
      </c>
      <c r="B1435" s="5">
        <v>45968</v>
      </c>
      <c r="C1435" s="15">
        <f>WEEKNUM(Orders[[#This Row],[OrderDate]])</f>
        <v>45</v>
      </c>
      <c r="D1435" s="15" t="str">
        <f>TEXT(Orders[[#This Row],[OrderDate]],"mmmm")</f>
        <v>November</v>
      </c>
      <c r="E1435" s="4" t="s">
        <v>352</v>
      </c>
      <c r="F1435" s="4" t="s">
        <v>31</v>
      </c>
      <c r="G1435" s="4">
        <v>4</v>
      </c>
      <c r="H1435" s="12">
        <v>17611.8</v>
      </c>
      <c r="I1435" s="13">
        <v>14970.029999999999</v>
      </c>
      <c r="J1435" s="13">
        <f>Orders[[#This Row],[Quantity]]*Orders[[#This Row],[Selling Price]]</f>
        <v>70447.199999999997</v>
      </c>
      <c r="K1435" s="13">
        <f>Orders[[#This Row],[Quantity]]*Orders[[#This Row],[Cost Price]]</f>
        <v>59880.119999999995</v>
      </c>
      <c r="L1435" s="13">
        <f>Orders[[#This Row],[Revenue]]-Orders[[#This Row],[Expenses]]</f>
        <v>10567.080000000002</v>
      </c>
      <c r="M1435" t="s">
        <v>2199</v>
      </c>
      <c r="N1435" t="str">
        <f>_xlfn.XLOOKUP(Orders[[#This Row],[CustomerID]],Customers[CustomerID],Customers[CustomerName])</f>
        <v>Zainab Eze</v>
      </c>
      <c r="O1435" t="str">
        <f>_xlfn.XLOOKUP(Orders[[#This Row],[CustomerID]],Customers[CustomerID],Customers[City])</f>
        <v>Texas</v>
      </c>
      <c r="P1435" t="str">
        <f>_xlfn.XLOOKUP(Orders[[#This Row],[CustomerID]],Customers[CustomerID],Customers[Gender])</f>
        <v>Female</v>
      </c>
      <c r="Q1435">
        <f>_xlfn.XLOOKUP(Orders[[#This Row],[CustomerID]],Customers[CustomerID],Customers[CustomerAge])</f>
        <v>40</v>
      </c>
      <c r="R1435" t="str">
        <f>IF(Orders[[#This Row],[CustomerAge]]&gt;=35, "Older", "Young")</f>
        <v>Older</v>
      </c>
      <c r="S1435" t="str">
        <f>_xlfn.XLOOKUP(Orders[[#This Row],[ProductID]],Products[ProductID],Products[ProductName])</f>
        <v>Kids Games</v>
      </c>
      <c r="T1435" t="str">
        <f>_xlfn.XLOOKUP(Orders[[#This Row],[ProductID]],Products[ProductID],Products[Category])</f>
        <v>Games</v>
      </c>
    </row>
    <row r="1436" spans="1:20" x14ac:dyDescent="0.25">
      <c r="A1436" s="4" t="s">
        <v>1625</v>
      </c>
      <c r="B1436" s="5">
        <v>45959</v>
      </c>
      <c r="C1436" s="15">
        <f>WEEKNUM(Orders[[#This Row],[OrderDate]])</f>
        <v>44</v>
      </c>
      <c r="D1436" s="15" t="str">
        <f>TEXT(Orders[[#This Row],[OrderDate]],"mmmm")</f>
        <v>October</v>
      </c>
      <c r="E1436" s="4" t="s">
        <v>343</v>
      </c>
      <c r="F1436" s="4" t="s">
        <v>353</v>
      </c>
      <c r="G1436" s="4">
        <v>4</v>
      </c>
      <c r="H1436" s="12">
        <v>19560.8</v>
      </c>
      <c r="I1436" s="13">
        <v>16626.68</v>
      </c>
      <c r="J1436" s="13">
        <f>Orders[[#This Row],[Quantity]]*Orders[[#This Row],[Selling Price]]</f>
        <v>78243.199999999997</v>
      </c>
      <c r="K1436" s="13">
        <f>Orders[[#This Row],[Quantity]]*Orders[[#This Row],[Cost Price]]</f>
        <v>66506.720000000001</v>
      </c>
      <c r="L1436" s="13">
        <f>Orders[[#This Row],[Revenue]]-Orders[[#This Row],[Expenses]]</f>
        <v>11736.479999999996</v>
      </c>
      <c r="M1436" t="s">
        <v>2220</v>
      </c>
      <c r="N1436" t="str">
        <f>_xlfn.XLOOKUP(Orders[[#This Row],[CustomerID]],Customers[CustomerID],Customers[CustomerName])</f>
        <v>Ronke Obi</v>
      </c>
      <c r="O1436" t="str">
        <f>_xlfn.XLOOKUP(Orders[[#This Row],[CustomerID]],Customers[CustomerID],Customers[City])</f>
        <v>Washington</v>
      </c>
      <c r="P1436" t="str">
        <f>_xlfn.XLOOKUP(Orders[[#This Row],[CustomerID]],Customers[CustomerID],Customers[Gender])</f>
        <v>Female</v>
      </c>
      <c r="Q1436">
        <f>_xlfn.XLOOKUP(Orders[[#This Row],[CustomerID]],Customers[CustomerID],Customers[CustomerAge])</f>
        <v>31</v>
      </c>
      <c r="R1436" t="str">
        <f>IF(Orders[[#This Row],[CustomerAge]]&gt;=35, "Older", "Young")</f>
        <v>Young</v>
      </c>
      <c r="S1436" t="str">
        <f>_xlfn.XLOOKUP(Orders[[#This Row],[ProductID]],Products[ProductID],Products[ProductName])</f>
        <v>Silver Earrings And Necklaces</v>
      </c>
      <c r="T1436" t="str">
        <f>_xlfn.XLOOKUP(Orders[[#This Row],[ProductID]],Products[ProductID],Products[Category])</f>
        <v>Accessories</v>
      </c>
    </row>
    <row r="1437" spans="1:20" x14ac:dyDescent="0.25">
      <c r="A1437" s="4" t="s">
        <v>1626</v>
      </c>
      <c r="B1437" s="5">
        <v>46021</v>
      </c>
      <c r="C1437" s="15">
        <f>WEEKNUM(Orders[[#This Row],[OrderDate]])</f>
        <v>53</v>
      </c>
      <c r="D1437" s="15" t="str">
        <f>TEXT(Orders[[#This Row],[OrderDate]],"mmmm")</f>
        <v>December</v>
      </c>
      <c r="E1437" s="4" t="s">
        <v>178</v>
      </c>
      <c r="F1437" s="4" t="s">
        <v>189</v>
      </c>
      <c r="G1437" s="4">
        <v>3</v>
      </c>
      <c r="H1437" s="12">
        <v>14864.400000000001</v>
      </c>
      <c r="I1437" s="13">
        <v>12634.740000000002</v>
      </c>
      <c r="J1437" s="13">
        <f>Orders[[#This Row],[Quantity]]*Orders[[#This Row],[Selling Price]]</f>
        <v>44593.200000000004</v>
      </c>
      <c r="K1437" s="13">
        <f>Orders[[#This Row],[Quantity]]*Orders[[#This Row],[Cost Price]]</f>
        <v>37904.22</v>
      </c>
      <c r="L1437" s="13">
        <f>Orders[[#This Row],[Revenue]]-Orders[[#This Row],[Expenses]]</f>
        <v>6688.9800000000032</v>
      </c>
      <c r="M1437" t="s">
        <v>2214</v>
      </c>
      <c r="N1437" t="str">
        <f>_xlfn.XLOOKUP(Orders[[#This Row],[CustomerID]],Customers[CustomerID],Customers[CustomerName])</f>
        <v>Ibrahim Igwe</v>
      </c>
      <c r="O1437" t="str">
        <f>_xlfn.XLOOKUP(Orders[[#This Row],[CustomerID]],Customers[CustomerID],Customers[City])</f>
        <v>Florida</v>
      </c>
      <c r="P1437" t="str">
        <f>_xlfn.XLOOKUP(Orders[[#This Row],[CustomerID]],Customers[CustomerID],Customers[Gender])</f>
        <v>Male</v>
      </c>
      <c r="Q1437">
        <f>_xlfn.XLOOKUP(Orders[[#This Row],[CustomerID]],Customers[CustomerID],Customers[CustomerAge])</f>
        <v>19</v>
      </c>
      <c r="R1437" t="str">
        <f>IF(Orders[[#This Row],[CustomerAge]]&gt;=35, "Older", "Young")</f>
        <v>Young</v>
      </c>
      <c r="S1437" t="str">
        <f>_xlfn.XLOOKUP(Orders[[#This Row],[ProductID]],Products[ProductID],Products[ProductName])</f>
        <v>Scrabble</v>
      </c>
      <c r="T1437" t="str">
        <f>_xlfn.XLOOKUP(Orders[[#This Row],[ProductID]],Products[ProductID],Products[Category])</f>
        <v>Games</v>
      </c>
    </row>
    <row r="1438" spans="1:20" x14ac:dyDescent="0.25">
      <c r="A1438" s="4" t="s">
        <v>1627</v>
      </c>
      <c r="B1438" s="5">
        <v>45960</v>
      </c>
      <c r="C1438" s="15">
        <f>WEEKNUM(Orders[[#This Row],[OrderDate]])</f>
        <v>44</v>
      </c>
      <c r="D1438" s="15" t="str">
        <f>TEXT(Orders[[#This Row],[OrderDate]],"mmmm")</f>
        <v>October</v>
      </c>
      <c r="E1438" s="4" t="s">
        <v>124</v>
      </c>
      <c r="F1438" s="4" t="s">
        <v>20</v>
      </c>
      <c r="G1438" s="4">
        <v>7</v>
      </c>
      <c r="H1438" s="12">
        <v>6974.5</v>
      </c>
      <c r="I1438" s="13">
        <v>5928.3249999999998</v>
      </c>
      <c r="J1438" s="13">
        <f>Orders[[#This Row],[Quantity]]*Orders[[#This Row],[Selling Price]]</f>
        <v>48821.5</v>
      </c>
      <c r="K1438" s="13">
        <f>Orders[[#This Row],[Quantity]]*Orders[[#This Row],[Cost Price]]</f>
        <v>41498.275000000001</v>
      </c>
      <c r="L1438" s="13">
        <f>Orders[[#This Row],[Revenue]]-Orders[[#This Row],[Expenses]]</f>
        <v>7323.2249999999985</v>
      </c>
      <c r="M1438" t="s">
        <v>2194</v>
      </c>
      <c r="N1438" t="str">
        <f>_xlfn.XLOOKUP(Orders[[#This Row],[CustomerID]],Customers[CustomerID],Customers[CustomerName])</f>
        <v>Ngozi Ojo</v>
      </c>
      <c r="O1438" t="str">
        <f>_xlfn.XLOOKUP(Orders[[#This Row],[CustomerID]],Customers[CustomerID],Customers[City])</f>
        <v>Texas</v>
      </c>
      <c r="P1438" t="str">
        <f>_xlfn.XLOOKUP(Orders[[#This Row],[CustomerID]],Customers[CustomerID],Customers[Gender])</f>
        <v>Female</v>
      </c>
      <c r="Q1438">
        <f>_xlfn.XLOOKUP(Orders[[#This Row],[CustomerID]],Customers[CustomerID],Customers[CustomerAge])</f>
        <v>22</v>
      </c>
      <c r="R1438" t="str">
        <f>IF(Orders[[#This Row],[CustomerAge]]&gt;=35, "Older", "Young")</f>
        <v>Young</v>
      </c>
      <c r="S1438" t="str">
        <f>_xlfn.XLOOKUP(Orders[[#This Row],[ProductID]],Products[ProductID],Products[ProductName])</f>
        <v>Gym Bag</v>
      </c>
      <c r="T1438" t="str">
        <f>_xlfn.XLOOKUP(Orders[[#This Row],[ProductID]],Products[ProductID],Products[Category])</f>
        <v>Gym</v>
      </c>
    </row>
    <row r="1439" spans="1:20" x14ac:dyDescent="0.25">
      <c r="A1439" s="4" t="s">
        <v>1628</v>
      </c>
      <c r="B1439" s="5">
        <v>45977</v>
      </c>
      <c r="C1439" s="15">
        <f>WEEKNUM(Orders[[#This Row],[OrderDate]])</f>
        <v>47</v>
      </c>
      <c r="D1439" s="15" t="str">
        <f>TEXT(Orders[[#This Row],[OrderDate]],"mmmm")</f>
        <v>November</v>
      </c>
      <c r="E1439" s="4" t="s">
        <v>107</v>
      </c>
      <c r="F1439" s="4" t="s">
        <v>130</v>
      </c>
      <c r="G1439" s="4">
        <v>2</v>
      </c>
      <c r="H1439" s="12">
        <v>3289.9</v>
      </c>
      <c r="I1439" s="13">
        <v>2796.415</v>
      </c>
      <c r="J1439" s="13">
        <f>Orders[[#This Row],[Quantity]]*Orders[[#This Row],[Selling Price]]</f>
        <v>6579.8</v>
      </c>
      <c r="K1439" s="13">
        <f>Orders[[#This Row],[Quantity]]*Orders[[#This Row],[Cost Price]]</f>
        <v>5592.83</v>
      </c>
      <c r="L1439" s="13">
        <f>Orders[[#This Row],[Revenue]]-Orders[[#This Row],[Expenses]]</f>
        <v>986.97000000000025</v>
      </c>
      <c r="M1439" t="s">
        <v>2201</v>
      </c>
      <c r="N1439" t="str">
        <f>_xlfn.XLOOKUP(Orders[[#This Row],[CustomerID]],Customers[CustomerID],Customers[CustomerName])</f>
        <v>Blessing Eze</v>
      </c>
      <c r="O1439" t="str">
        <f>_xlfn.XLOOKUP(Orders[[#This Row],[CustomerID]],Customers[CustomerID],Customers[City])</f>
        <v>Texas</v>
      </c>
      <c r="P1439" t="str">
        <f>_xlfn.XLOOKUP(Orders[[#This Row],[CustomerID]],Customers[CustomerID],Customers[Gender])</f>
        <v>Female</v>
      </c>
      <c r="Q1439">
        <f>_xlfn.XLOOKUP(Orders[[#This Row],[CustomerID]],Customers[CustomerID],Customers[CustomerAge])</f>
        <v>44</v>
      </c>
      <c r="R1439" t="str">
        <f>IF(Orders[[#This Row],[CustomerAge]]&gt;=35, "Older", "Young")</f>
        <v>Older</v>
      </c>
      <c r="S1439" t="str">
        <f>_xlfn.XLOOKUP(Orders[[#This Row],[ProductID]],Products[ProductID],Products[ProductName])</f>
        <v>Gold Earrings And Necklaces</v>
      </c>
      <c r="T1439" t="str">
        <f>_xlfn.XLOOKUP(Orders[[#This Row],[ProductID]],Products[ProductID],Products[Category])</f>
        <v>Accessories</v>
      </c>
    </row>
    <row r="1440" spans="1:20" x14ac:dyDescent="0.25">
      <c r="A1440" s="4" t="s">
        <v>1629</v>
      </c>
      <c r="B1440" s="5">
        <v>46010</v>
      </c>
      <c r="C1440" s="15">
        <f>WEEKNUM(Orders[[#This Row],[OrderDate]])</f>
        <v>51</v>
      </c>
      <c r="D1440" s="15" t="str">
        <f>TEXT(Orders[[#This Row],[OrderDate]],"mmmm")</f>
        <v>December</v>
      </c>
      <c r="E1440" s="4" t="s">
        <v>280</v>
      </c>
      <c r="F1440" s="4" t="s">
        <v>46</v>
      </c>
      <c r="G1440" s="4">
        <v>4</v>
      </c>
      <c r="H1440" s="12">
        <v>11754.6</v>
      </c>
      <c r="I1440" s="13">
        <v>9991.41</v>
      </c>
      <c r="J1440" s="13">
        <f>Orders[[#This Row],[Quantity]]*Orders[[#This Row],[Selling Price]]</f>
        <v>47018.400000000001</v>
      </c>
      <c r="K1440" s="13">
        <f>Orders[[#This Row],[Quantity]]*Orders[[#This Row],[Cost Price]]</f>
        <v>39965.64</v>
      </c>
      <c r="L1440" s="13">
        <f>Orders[[#This Row],[Revenue]]-Orders[[#This Row],[Expenses]]</f>
        <v>7052.760000000002</v>
      </c>
      <c r="M1440" t="s">
        <v>2213</v>
      </c>
      <c r="N1440" t="str">
        <f>_xlfn.XLOOKUP(Orders[[#This Row],[CustomerID]],Customers[CustomerID],Customers[CustomerName])</f>
        <v>Folasade Okonkwo</v>
      </c>
      <c r="O1440" t="str">
        <f>_xlfn.XLOOKUP(Orders[[#This Row],[CustomerID]],Customers[CustomerID],Customers[City])</f>
        <v>Texas</v>
      </c>
      <c r="P1440" t="str">
        <f>_xlfn.XLOOKUP(Orders[[#This Row],[CustomerID]],Customers[CustomerID],Customers[Gender])</f>
        <v>Female</v>
      </c>
      <c r="Q1440">
        <f>_xlfn.XLOOKUP(Orders[[#This Row],[CustomerID]],Customers[CustomerID],Customers[CustomerAge])</f>
        <v>21</v>
      </c>
      <c r="R1440" t="str">
        <f>IF(Orders[[#This Row],[CustomerAge]]&gt;=35, "Older", "Young")</f>
        <v>Young</v>
      </c>
      <c r="S1440" t="str">
        <f>_xlfn.XLOOKUP(Orders[[#This Row],[ProductID]],Products[ProductID],Products[ProductName])</f>
        <v>Turtle Neck</v>
      </c>
      <c r="T1440" t="str">
        <f>_xlfn.XLOOKUP(Orders[[#This Row],[ProductID]],Products[ProductID],Products[Category])</f>
        <v>Clothing</v>
      </c>
    </row>
    <row r="1441" spans="1:20" x14ac:dyDescent="0.25">
      <c r="A1441" s="4" t="s">
        <v>1630</v>
      </c>
      <c r="B1441" s="5">
        <v>46016</v>
      </c>
      <c r="C1441" s="15">
        <f>WEEKNUM(Orders[[#This Row],[OrderDate]])</f>
        <v>52</v>
      </c>
      <c r="D1441" s="15" t="str">
        <f>TEXT(Orders[[#This Row],[OrderDate]],"mmmm")</f>
        <v>December</v>
      </c>
      <c r="E1441" s="4" t="s">
        <v>574</v>
      </c>
      <c r="F1441" s="4" t="s">
        <v>9</v>
      </c>
      <c r="G1441" s="4">
        <v>9</v>
      </c>
      <c r="H1441" s="12">
        <v>7581</v>
      </c>
      <c r="I1441" s="13">
        <v>6443.85</v>
      </c>
      <c r="J1441" s="13">
        <f>Orders[[#This Row],[Quantity]]*Orders[[#This Row],[Selling Price]]</f>
        <v>68229</v>
      </c>
      <c r="K1441" s="13">
        <f>Orders[[#This Row],[Quantity]]*Orders[[#This Row],[Cost Price]]</f>
        <v>57994.65</v>
      </c>
      <c r="L1441" s="13">
        <f>Orders[[#This Row],[Revenue]]-Orders[[#This Row],[Expenses]]</f>
        <v>10234.349999999999</v>
      </c>
      <c r="M1441" t="s">
        <v>2220</v>
      </c>
      <c r="N1441" t="str">
        <f>_xlfn.XLOOKUP(Orders[[#This Row],[CustomerID]],Customers[CustomerID],Customers[CustomerName])</f>
        <v>Adanma Obi</v>
      </c>
      <c r="O1441" t="str">
        <f>_xlfn.XLOOKUP(Orders[[#This Row],[CustomerID]],Customers[CustomerID],Customers[City])</f>
        <v>Texas</v>
      </c>
      <c r="P1441" t="str">
        <f>_xlfn.XLOOKUP(Orders[[#This Row],[CustomerID]],Customers[CustomerID],Customers[Gender])</f>
        <v>Female</v>
      </c>
      <c r="Q1441">
        <f>_xlfn.XLOOKUP(Orders[[#This Row],[CustomerID]],Customers[CustomerID],Customers[CustomerAge])</f>
        <v>23</v>
      </c>
      <c r="R1441" t="str">
        <f>IF(Orders[[#This Row],[CustomerAge]]&gt;=35, "Older", "Young")</f>
        <v>Young</v>
      </c>
      <c r="S1441" t="str">
        <f>_xlfn.XLOOKUP(Orders[[#This Row],[ProductID]],Products[ProductID],Products[ProductName])</f>
        <v>Beaded Earrings And Necklaces</v>
      </c>
      <c r="T1441" t="str">
        <f>_xlfn.XLOOKUP(Orders[[#This Row],[ProductID]],Products[ProductID],Products[Category])</f>
        <v>Accessories</v>
      </c>
    </row>
    <row r="1442" spans="1:20" x14ac:dyDescent="0.25">
      <c r="A1442" s="4" t="s">
        <v>1631</v>
      </c>
      <c r="B1442" s="5">
        <v>45972</v>
      </c>
      <c r="C1442" s="15">
        <f>WEEKNUM(Orders[[#This Row],[OrderDate]])</f>
        <v>46</v>
      </c>
      <c r="D1442" s="15" t="str">
        <f>TEXT(Orders[[#This Row],[OrderDate]],"mmmm")</f>
        <v>November</v>
      </c>
      <c r="E1442" s="4" t="s">
        <v>14</v>
      </c>
      <c r="F1442" s="4" t="s">
        <v>46</v>
      </c>
      <c r="G1442" s="4">
        <v>1</v>
      </c>
      <c r="H1442" s="12">
        <v>6979.0999999999995</v>
      </c>
      <c r="I1442" s="13">
        <v>5932.2349999999997</v>
      </c>
      <c r="J1442" s="13">
        <f>Orders[[#This Row],[Quantity]]*Orders[[#This Row],[Selling Price]]</f>
        <v>6979.0999999999995</v>
      </c>
      <c r="K1442" s="13">
        <f>Orders[[#This Row],[Quantity]]*Orders[[#This Row],[Cost Price]]</f>
        <v>5932.2349999999997</v>
      </c>
      <c r="L1442" s="13">
        <f>Orders[[#This Row],[Revenue]]-Orders[[#This Row],[Expenses]]</f>
        <v>1046.8649999999998</v>
      </c>
      <c r="M1442" t="s">
        <v>2201</v>
      </c>
      <c r="N1442" t="str">
        <f>_xlfn.XLOOKUP(Orders[[#This Row],[CustomerID]],Customers[CustomerID],Customers[CustomerName])</f>
        <v>Abiola Igwe</v>
      </c>
      <c r="O1442" t="str">
        <f>_xlfn.XLOOKUP(Orders[[#This Row],[CustomerID]],Customers[CustomerID],Customers[City])</f>
        <v>Texas</v>
      </c>
      <c r="P1442" t="str">
        <f>_xlfn.XLOOKUP(Orders[[#This Row],[CustomerID]],Customers[CustomerID],Customers[Gender])</f>
        <v>Male</v>
      </c>
      <c r="Q1442">
        <f>_xlfn.XLOOKUP(Orders[[#This Row],[CustomerID]],Customers[CustomerID],Customers[CustomerAge])</f>
        <v>39</v>
      </c>
      <c r="R1442" t="str">
        <f>IF(Orders[[#This Row],[CustomerAge]]&gt;=35, "Older", "Young")</f>
        <v>Older</v>
      </c>
      <c r="S1442" t="str">
        <f>_xlfn.XLOOKUP(Orders[[#This Row],[ProductID]],Products[ProductID],Products[ProductName])</f>
        <v>Turtle Neck</v>
      </c>
      <c r="T1442" t="str">
        <f>_xlfn.XLOOKUP(Orders[[#This Row],[ProductID]],Products[ProductID],Products[Category])</f>
        <v>Clothing</v>
      </c>
    </row>
    <row r="1443" spans="1:20" x14ac:dyDescent="0.25">
      <c r="A1443" s="4" t="s">
        <v>1632</v>
      </c>
      <c r="B1443" s="5">
        <v>46010</v>
      </c>
      <c r="C1443" s="15">
        <f>WEEKNUM(Orders[[#This Row],[OrderDate]])</f>
        <v>51</v>
      </c>
      <c r="D1443" s="15" t="str">
        <f>TEXT(Orders[[#This Row],[OrderDate]],"mmmm")</f>
        <v>December</v>
      </c>
      <c r="E1443" s="4" t="s">
        <v>178</v>
      </c>
      <c r="F1443" s="4" t="s">
        <v>111</v>
      </c>
      <c r="G1443" s="4">
        <v>10</v>
      </c>
      <c r="H1443" s="12">
        <v>6651.2</v>
      </c>
      <c r="I1443" s="13">
        <v>5653.5199999999995</v>
      </c>
      <c r="J1443" s="13">
        <f>Orders[[#This Row],[Quantity]]*Orders[[#This Row],[Selling Price]]</f>
        <v>66512</v>
      </c>
      <c r="K1443" s="13">
        <f>Orders[[#This Row],[Quantity]]*Orders[[#This Row],[Cost Price]]</f>
        <v>56535.199999999997</v>
      </c>
      <c r="L1443" s="13">
        <f>Orders[[#This Row],[Revenue]]-Orders[[#This Row],[Expenses]]</f>
        <v>9976.8000000000029</v>
      </c>
      <c r="M1443" t="s">
        <v>2219</v>
      </c>
      <c r="N1443" t="str">
        <f>_xlfn.XLOOKUP(Orders[[#This Row],[CustomerID]],Customers[CustomerID],Customers[CustomerName])</f>
        <v>Ibrahim Igwe</v>
      </c>
      <c r="O1443" t="str">
        <f>_xlfn.XLOOKUP(Orders[[#This Row],[CustomerID]],Customers[CustomerID],Customers[City])</f>
        <v>Florida</v>
      </c>
      <c r="P1443" t="str">
        <f>_xlfn.XLOOKUP(Orders[[#This Row],[CustomerID]],Customers[CustomerID],Customers[Gender])</f>
        <v>Male</v>
      </c>
      <c r="Q1443">
        <f>_xlfn.XLOOKUP(Orders[[#This Row],[CustomerID]],Customers[CustomerID],Customers[CustomerAge])</f>
        <v>19</v>
      </c>
      <c r="R1443" t="str">
        <f>IF(Orders[[#This Row],[CustomerAge]]&gt;=35, "Older", "Young")</f>
        <v>Young</v>
      </c>
      <c r="S1443" t="str">
        <f>_xlfn.XLOOKUP(Orders[[#This Row],[ProductID]],Products[ProductID],Products[ProductName])</f>
        <v>Refrigerator</v>
      </c>
      <c r="T1443" t="str">
        <f>_xlfn.XLOOKUP(Orders[[#This Row],[ProductID]],Products[ProductID],Products[Category])</f>
        <v>Electronics</v>
      </c>
    </row>
    <row r="1444" spans="1:20" x14ac:dyDescent="0.25">
      <c r="A1444" s="4" t="s">
        <v>1633</v>
      </c>
      <c r="B1444" s="5">
        <v>45949</v>
      </c>
      <c r="C1444" s="15">
        <f>WEEKNUM(Orders[[#This Row],[OrderDate]])</f>
        <v>43</v>
      </c>
      <c r="D1444" s="15" t="str">
        <f>TEXT(Orders[[#This Row],[OrderDate]],"mmmm")</f>
        <v>October</v>
      </c>
      <c r="E1444" s="4" t="s">
        <v>96</v>
      </c>
      <c r="F1444" s="4" t="s">
        <v>208</v>
      </c>
      <c r="G1444" s="4">
        <v>3</v>
      </c>
      <c r="H1444" s="12">
        <v>13911</v>
      </c>
      <c r="I1444" s="13">
        <v>11824.35</v>
      </c>
      <c r="J1444" s="13">
        <f>Orders[[#This Row],[Quantity]]*Orders[[#This Row],[Selling Price]]</f>
        <v>41733</v>
      </c>
      <c r="K1444" s="13">
        <f>Orders[[#This Row],[Quantity]]*Orders[[#This Row],[Cost Price]]</f>
        <v>35473.050000000003</v>
      </c>
      <c r="L1444" s="13">
        <f>Orders[[#This Row],[Revenue]]-Orders[[#This Row],[Expenses]]</f>
        <v>6259.9499999999971</v>
      </c>
      <c r="M1444" t="s">
        <v>2202</v>
      </c>
      <c r="N1444" t="str">
        <f>_xlfn.XLOOKUP(Orders[[#This Row],[CustomerID]],Customers[CustomerID],Customers[CustomerName])</f>
        <v>Amina Abubakar</v>
      </c>
      <c r="O1444" t="str">
        <f>_xlfn.XLOOKUP(Orders[[#This Row],[CustomerID]],Customers[CustomerID],Customers[City])</f>
        <v>Texas</v>
      </c>
      <c r="P1444" t="str">
        <f>_xlfn.XLOOKUP(Orders[[#This Row],[CustomerID]],Customers[CustomerID],Customers[Gender])</f>
        <v>Female</v>
      </c>
      <c r="Q1444">
        <f>_xlfn.XLOOKUP(Orders[[#This Row],[CustomerID]],Customers[CustomerID],Customers[CustomerAge])</f>
        <v>35</v>
      </c>
      <c r="R1444" t="str">
        <f>IF(Orders[[#This Row],[CustomerAge]]&gt;=35, "Older", "Young")</f>
        <v>Older</v>
      </c>
      <c r="S1444" t="str">
        <f>_xlfn.XLOOKUP(Orders[[#This Row],[ProductID]],Products[ProductID],Products[ProductName])</f>
        <v>Skipping Rope</v>
      </c>
      <c r="T1444" t="str">
        <f>_xlfn.XLOOKUP(Orders[[#This Row],[ProductID]],Products[ProductID],Products[Category])</f>
        <v>Sports</v>
      </c>
    </row>
    <row r="1445" spans="1:20" x14ac:dyDescent="0.25">
      <c r="A1445" s="4" t="s">
        <v>1634</v>
      </c>
      <c r="B1445" s="5">
        <v>46016</v>
      </c>
      <c r="C1445" s="15">
        <f>WEEKNUM(Orders[[#This Row],[OrderDate]])</f>
        <v>52</v>
      </c>
      <c r="D1445" s="15" t="str">
        <f>TEXT(Orders[[#This Row],[OrderDate]],"mmmm")</f>
        <v>December</v>
      </c>
      <c r="E1445" s="4" t="s">
        <v>521</v>
      </c>
      <c r="F1445" s="4" t="s">
        <v>63</v>
      </c>
      <c r="G1445" s="4">
        <v>5</v>
      </c>
      <c r="H1445" s="12">
        <v>1525.3999999999999</v>
      </c>
      <c r="I1445" s="13">
        <v>1296.5899999999999</v>
      </c>
      <c r="J1445" s="13">
        <f>Orders[[#This Row],[Quantity]]*Orders[[#This Row],[Selling Price]]</f>
        <v>7626.9999999999991</v>
      </c>
      <c r="K1445" s="13">
        <f>Orders[[#This Row],[Quantity]]*Orders[[#This Row],[Cost Price]]</f>
        <v>6482.95</v>
      </c>
      <c r="L1445" s="13">
        <f>Orders[[#This Row],[Revenue]]-Orders[[#This Row],[Expenses]]</f>
        <v>1144.0499999999993</v>
      </c>
      <c r="M1445" t="s">
        <v>2220</v>
      </c>
      <c r="N1445" t="str">
        <f>_xlfn.XLOOKUP(Orders[[#This Row],[CustomerID]],Customers[CustomerID],Customers[CustomerName])</f>
        <v>Ronke Eze</v>
      </c>
      <c r="O1445" t="str">
        <f>_xlfn.XLOOKUP(Orders[[#This Row],[CustomerID]],Customers[CustomerID],Customers[City])</f>
        <v>Illinois</v>
      </c>
      <c r="P1445" t="str">
        <f>_xlfn.XLOOKUP(Orders[[#This Row],[CustomerID]],Customers[CustomerID],Customers[Gender])</f>
        <v>Female</v>
      </c>
      <c r="Q1445">
        <f>_xlfn.XLOOKUP(Orders[[#This Row],[CustomerID]],Customers[CustomerID],Customers[CustomerAge])</f>
        <v>25</v>
      </c>
      <c r="R1445" t="str">
        <f>IF(Orders[[#This Row],[CustomerAge]]&gt;=35, "Older", "Young")</f>
        <v>Young</v>
      </c>
      <c r="S1445" t="str">
        <f>_xlfn.XLOOKUP(Orders[[#This Row],[ProductID]],Products[ProductID],Products[ProductName])</f>
        <v>Tennis Bat</v>
      </c>
      <c r="T1445" t="str">
        <f>_xlfn.XLOOKUP(Orders[[#This Row],[ProductID]],Products[ProductID],Products[Category])</f>
        <v>Sports</v>
      </c>
    </row>
    <row r="1446" spans="1:20" x14ac:dyDescent="0.25">
      <c r="A1446" s="4" t="s">
        <v>1635</v>
      </c>
      <c r="B1446" s="5">
        <v>45998</v>
      </c>
      <c r="C1446" s="15">
        <f>WEEKNUM(Orders[[#This Row],[OrderDate]])</f>
        <v>50</v>
      </c>
      <c r="D1446" s="15" t="str">
        <f>TEXT(Orders[[#This Row],[OrderDate]],"mmmm")</f>
        <v>December</v>
      </c>
      <c r="E1446" s="4" t="s">
        <v>73</v>
      </c>
      <c r="F1446" s="4" t="s">
        <v>12</v>
      </c>
      <c r="G1446" s="4">
        <v>7</v>
      </c>
      <c r="H1446" s="12">
        <v>2052.4</v>
      </c>
      <c r="I1446" s="13">
        <v>1744.54</v>
      </c>
      <c r="J1446" s="13">
        <f>Orders[[#This Row],[Quantity]]*Orders[[#This Row],[Selling Price]]</f>
        <v>14366.800000000001</v>
      </c>
      <c r="K1446" s="13">
        <f>Orders[[#This Row],[Quantity]]*Orders[[#This Row],[Cost Price]]</f>
        <v>12211.779999999999</v>
      </c>
      <c r="L1446" s="13">
        <f>Orders[[#This Row],[Revenue]]-Orders[[#This Row],[Expenses]]</f>
        <v>2155.0200000000023</v>
      </c>
      <c r="M1446" t="s">
        <v>2192</v>
      </c>
      <c r="N1446" t="str">
        <f>_xlfn.XLOOKUP(Orders[[#This Row],[CustomerID]],Customers[CustomerID],Customers[CustomerName])</f>
        <v>Ronke Okonkwo</v>
      </c>
      <c r="O1446" t="str">
        <f>_xlfn.XLOOKUP(Orders[[#This Row],[CustomerID]],Customers[CustomerID],Customers[City])</f>
        <v>California</v>
      </c>
      <c r="P1446" t="str">
        <f>_xlfn.XLOOKUP(Orders[[#This Row],[CustomerID]],Customers[CustomerID],Customers[Gender])</f>
        <v>Female</v>
      </c>
      <c r="Q1446">
        <f>_xlfn.XLOOKUP(Orders[[#This Row],[CustomerID]],Customers[CustomerID],Customers[CustomerAge])</f>
        <v>20</v>
      </c>
      <c r="R1446" t="str">
        <f>IF(Orders[[#This Row],[CustomerAge]]&gt;=35, "Older", "Young")</f>
        <v>Young</v>
      </c>
      <c r="S1446" t="str">
        <f>_xlfn.XLOOKUP(Orders[[#This Row],[ProductID]],Products[ProductID],Products[ProductName])</f>
        <v>Boubou</v>
      </c>
      <c r="T1446" t="str">
        <f>_xlfn.XLOOKUP(Orders[[#This Row],[ProductID]],Products[ProductID],Products[Category])</f>
        <v>Clothing</v>
      </c>
    </row>
    <row r="1447" spans="1:20" x14ac:dyDescent="0.25">
      <c r="A1447" s="4" t="s">
        <v>1636</v>
      </c>
      <c r="B1447" s="5">
        <v>45954</v>
      </c>
      <c r="C1447" s="15">
        <f>WEEKNUM(Orders[[#This Row],[OrderDate]])</f>
        <v>43</v>
      </c>
      <c r="D1447" s="15" t="str">
        <f>TEXT(Orders[[#This Row],[OrderDate]],"mmmm")</f>
        <v>October</v>
      </c>
      <c r="E1447" s="4" t="s">
        <v>295</v>
      </c>
      <c r="F1447" s="4" t="s">
        <v>76</v>
      </c>
      <c r="G1447" s="4">
        <v>2</v>
      </c>
      <c r="H1447" s="12">
        <v>5717.6</v>
      </c>
      <c r="I1447" s="13">
        <v>4859.96</v>
      </c>
      <c r="J1447" s="13">
        <f>Orders[[#This Row],[Quantity]]*Orders[[#This Row],[Selling Price]]</f>
        <v>11435.2</v>
      </c>
      <c r="K1447" s="13">
        <f>Orders[[#This Row],[Quantity]]*Orders[[#This Row],[Cost Price]]</f>
        <v>9719.92</v>
      </c>
      <c r="L1447" s="13">
        <f>Orders[[#This Row],[Revenue]]-Orders[[#This Row],[Expenses]]</f>
        <v>1715.2800000000007</v>
      </c>
      <c r="M1447" t="s">
        <v>2217</v>
      </c>
      <c r="N1447" t="str">
        <f>_xlfn.XLOOKUP(Orders[[#This Row],[CustomerID]],Customers[CustomerID],Customers[CustomerName])</f>
        <v>Sani Obi</v>
      </c>
      <c r="O1447" t="str">
        <f>_xlfn.XLOOKUP(Orders[[#This Row],[CustomerID]],Customers[CustomerID],Customers[City])</f>
        <v>Texas</v>
      </c>
      <c r="P1447" t="str">
        <f>_xlfn.XLOOKUP(Orders[[#This Row],[CustomerID]],Customers[CustomerID],Customers[Gender])</f>
        <v>Male</v>
      </c>
      <c r="Q1447">
        <f>_xlfn.XLOOKUP(Orders[[#This Row],[CustomerID]],Customers[CustomerID],Customers[CustomerAge])</f>
        <v>31</v>
      </c>
      <c r="R1447" t="str">
        <f>IF(Orders[[#This Row],[CustomerAge]]&gt;=35, "Older", "Young")</f>
        <v>Young</v>
      </c>
      <c r="S1447" t="str">
        <f>_xlfn.XLOOKUP(Orders[[#This Row],[ProductID]],Products[ProductID],Products[ProductName])</f>
        <v>Blender</v>
      </c>
      <c r="T1447" t="str">
        <f>_xlfn.XLOOKUP(Orders[[#This Row],[ProductID]],Products[ProductID],Products[Category])</f>
        <v>Electronics</v>
      </c>
    </row>
    <row r="1448" spans="1:20" x14ac:dyDescent="0.25">
      <c r="A1448" s="4" t="s">
        <v>1637</v>
      </c>
      <c r="B1448" s="5">
        <v>45982</v>
      </c>
      <c r="C1448" s="15">
        <f>WEEKNUM(Orders[[#This Row],[OrderDate]])</f>
        <v>47</v>
      </c>
      <c r="D1448" s="15" t="str">
        <f>TEXT(Orders[[#This Row],[OrderDate]],"mmmm")</f>
        <v>November</v>
      </c>
      <c r="E1448" s="4" t="s">
        <v>322</v>
      </c>
      <c r="F1448" s="4" t="s">
        <v>31</v>
      </c>
      <c r="G1448" s="4">
        <v>6</v>
      </c>
      <c r="H1448" s="12">
        <v>5232.6000000000004</v>
      </c>
      <c r="I1448" s="13">
        <v>4447.71</v>
      </c>
      <c r="J1448" s="13">
        <f>Orders[[#This Row],[Quantity]]*Orders[[#This Row],[Selling Price]]</f>
        <v>31395.600000000002</v>
      </c>
      <c r="K1448" s="13">
        <f>Orders[[#This Row],[Quantity]]*Orders[[#This Row],[Cost Price]]</f>
        <v>26686.260000000002</v>
      </c>
      <c r="L1448" s="13">
        <f>Orders[[#This Row],[Revenue]]-Orders[[#This Row],[Expenses]]</f>
        <v>4709.34</v>
      </c>
      <c r="M1448" t="s">
        <v>2213</v>
      </c>
      <c r="N1448" t="str">
        <f>_xlfn.XLOOKUP(Orders[[#This Row],[CustomerID]],Customers[CustomerID],Customers[CustomerName])</f>
        <v>Ngozi Bello</v>
      </c>
      <c r="O1448" t="str">
        <f>_xlfn.XLOOKUP(Orders[[#This Row],[CustomerID]],Customers[CustomerID],Customers[City])</f>
        <v>Washington</v>
      </c>
      <c r="P1448" t="str">
        <f>_xlfn.XLOOKUP(Orders[[#This Row],[CustomerID]],Customers[CustomerID],Customers[Gender])</f>
        <v>Female</v>
      </c>
      <c r="Q1448">
        <f>_xlfn.XLOOKUP(Orders[[#This Row],[CustomerID]],Customers[CustomerID],Customers[CustomerAge])</f>
        <v>32</v>
      </c>
      <c r="R1448" t="str">
        <f>IF(Orders[[#This Row],[CustomerAge]]&gt;=35, "Older", "Young")</f>
        <v>Young</v>
      </c>
      <c r="S1448" t="str">
        <f>_xlfn.XLOOKUP(Orders[[#This Row],[ProductID]],Products[ProductID],Products[ProductName])</f>
        <v>Kids Games</v>
      </c>
      <c r="T1448" t="str">
        <f>_xlfn.XLOOKUP(Orders[[#This Row],[ProductID]],Products[ProductID],Products[Category])</f>
        <v>Games</v>
      </c>
    </row>
    <row r="1449" spans="1:20" x14ac:dyDescent="0.25">
      <c r="A1449" s="4" t="s">
        <v>1638</v>
      </c>
      <c r="B1449" s="5">
        <v>46022</v>
      </c>
      <c r="C1449" s="15">
        <f>WEEKNUM(Orders[[#This Row],[OrderDate]])</f>
        <v>53</v>
      </c>
      <c r="D1449" s="15" t="str">
        <f>TEXT(Orders[[#This Row],[OrderDate]],"mmmm")</f>
        <v>December</v>
      </c>
      <c r="E1449" s="4" t="s">
        <v>207</v>
      </c>
      <c r="F1449" s="4" t="s">
        <v>66</v>
      </c>
      <c r="G1449" s="4">
        <v>4</v>
      </c>
      <c r="H1449" s="12">
        <v>14938.800000000001</v>
      </c>
      <c r="I1449" s="13">
        <v>12697.980000000001</v>
      </c>
      <c r="J1449" s="13">
        <f>Orders[[#This Row],[Quantity]]*Orders[[#This Row],[Selling Price]]</f>
        <v>59755.200000000004</v>
      </c>
      <c r="K1449" s="13">
        <f>Orders[[#This Row],[Quantity]]*Orders[[#This Row],[Cost Price]]</f>
        <v>50791.920000000006</v>
      </c>
      <c r="L1449" s="13">
        <f>Orders[[#This Row],[Revenue]]-Orders[[#This Row],[Expenses]]</f>
        <v>8963.2799999999988</v>
      </c>
      <c r="M1449" t="s">
        <v>2200</v>
      </c>
      <c r="N1449" t="str">
        <f>_xlfn.XLOOKUP(Orders[[#This Row],[CustomerID]],Customers[CustomerID],Customers[CustomerName])</f>
        <v>Bisi Eze</v>
      </c>
      <c r="O1449" t="str">
        <f>_xlfn.XLOOKUP(Orders[[#This Row],[CustomerID]],Customers[CustomerID],Customers[City])</f>
        <v>Florida</v>
      </c>
      <c r="P1449" t="str">
        <f>_xlfn.XLOOKUP(Orders[[#This Row],[CustomerID]],Customers[CustomerID],Customers[Gender])</f>
        <v>Female</v>
      </c>
      <c r="Q1449">
        <f>_xlfn.XLOOKUP(Orders[[#This Row],[CustomerID]],Customers[CustomerID],Customers[CustomerAge])</f>
        <v>37</v>
      </c>
      <c r="R1449" t="str">
        <f>IF(Orders[[#This Row],[CustomerAge]]&gt;=35, "Older", "Young")</f>
        <v>Older</v>
      </c>
      <c r="S1449" t="str">
        <f>_xlfn.XLOOKUP(Orders[[#This Row],[ProductID]],Products[ProductID],Products[ProductName])</f>
        <v>Microwave</v>
      </c>
      <c r="T1449" t="str">
        <f>_xlfn.XLOOKUP(Orders[[#This Row],[ProductID]],Products[ProductID],Products[Category])</f>
        <v>Electronics</v>
      </c>
    </row>
    <row r="1450" spans="1:20" x14ac:dyDescent="0.25">
      <c r="A1450" s="4" t="s">
        <v>1639</v>
      </c>
      <c r="B1450" s="5">
        <v>45989</v>
      </c>
      <c r="C1450" s="15">
        <f>WEEKNUM(Orders[[#This Row],[OrderDate]])</f>
        <v>48</v>
      </c>
      <c r="D1450" s="15" t="str">
        <f>TEXT(Orders[[#This Row],[OrderDate]],"mmmm")</f>
        <v>November</v>
      </c>
      <c r="E1450" s="4" t="s">
        <v>237</v>
      </c>
      <c r="F1450" s="4" t="s">
        <v>151</v>
      </c>
      <c r="G1450" s="4">
        <v>6</v>
      </c>
      <c r="H1450" s="12">
        <v>8740.2000000000007</v>
      </c>
      <c r="I1450" s="13">
        <v>7429.170000000001</v>
      </c>
      <c r="J1450" s="13">
        <f>Orders[[#This Row],[Quantity]]*Orders[[#This Row],[Selling Price]]</f>
        <v>52441.200000000004</v>
      </c>
      <c r="K1450" s="13">
        <f>Orders[[#This Row],[Quantity]]*Orders[[#This Row],[Cost Price]]</f>
        <v>44575.020000000004</v>
      </c>
      <c r="L1450" s="13">
        <f>Orders[[#This Row],[Revenue]]-Orders[[#This Row],[Expenses]]</f>
        <v>7866.18</v>
      </c>
      <c r="M1450" t="s">
        <v>2201</v>
      </c>
      <c r="N1450" t="str">
        <f>_xlfn.XLOOKUP(Orders[[#This Row],[CustomerID]],Customers[CustomerID],Customers[CustomerName])</f>
        <v>Ronke Danladi</v>
      </c>
      <c r="O1450" t="str">
        <f>_xlfn.XLOOKUP(Orders[[#This Row],[CustomerID]],Customers[CustomerID],Customers[City])</f>
        <v>Florida</v>
      </c>
      <c r="P1450" t="str">
        <f>_xlfn.XLOOKUP(Orders[[#This Row],[CustomerID]],Customers[CustomerID],Customers[Gender])</f>
        <v>Female</v>
      </c>
      <c r="Q1450">
        <f>_xlfn.XLOOKUP(Orders[[#This Row],[CustomerID]],Customers[CustomerID],Customers[CustomerAge])</f>
        <v>25</v>
      </c>
      <c r="R1450" t="str">
        <f>IF(Orders[[#This Row],[CustomerAge]]&gt;=35, "Older", "Young")</f>
        <v>Young</v>
      </c>
      <c r="S1450" t="str">
        <f>_xlfn.XLOOKUP(Orders[[#This Row],[ProductID]],Products[ProductID],Products[ProductName])</f>
        <v>Checkers</v>
      </c>
      <c r="T1450" t="str">
        <f>_xlfn.XLOOKUP(Orders[[#This Row],[ProductID]],Products[ProductID],Products[Category])</f>
        <v>Games</v>
      </c>
    </row>
    <row r="1451" spans="1:20" x14ac:dyDescent="0.25">
      <c r="A1451" s="4" t="s">
        <v>1640</v>
      </c>
      <c r="B1451" s="5">
        <v>46017</v>
      </c>
      <c r="C1451" s="15">
        <f>WEEKNUM(Orders[[#This Row],[OrderDate]])</f>
        <v>52</v>
      </c>
      <c r="D1451" s="15" t="str">
        <f>TEXT(Orders[[#This Row],[OrderDate]],"mmmm")</f>
        <v>December</v>
      </c>
      <c r="E1451" s="4" t="s">
        <v>91</v>
      </c>
      <c r="F1451" s="4" t="s">
        <v>84</v>
      </c>
      <c r="G1451" s="4">
        <v>10</v>
      </c>
      <c r="H1451" s="12">
        <v>9496.6999999999989</v>
      </c>
      <c r="I1451" s="13">
        <v>8072.1949999999988</v>
      </c>
      <c r="J1451" s="13">
        <f>Orders[[#This Row],[Quantity]]*Orders[[#This Row],[Selling Price]]</f>
        <v>94966.999999999985</v>
      </c>
      <c r="K1451" s="13">
        <f>Orders[[#This Row],[Quantity]]*Orders[[#This Row],[Cost Price]]</f>
        <v>80721.949999999983</v>
      </c>
      <c r="L1451" s="13">
        <f>Orders[[#This Row],[Revenue]]-Orders[[#This Row],[Expenses]]</f>
        <v>14245.050000000003</v>
      </c>
      <c r="M1451" t="s">
        <v>2217</v>
      </c>
      <c r="N1451" t="str">
        <f>_xlfn.XLOOKUP(Orders[[#This Row],[CustomerID]],Customers[CustomerID],Customers[CustomerName])</f>
        <v>Uche Abubakar</v>
      </c>
      <c r="O1451" t="str">
        <f>_xlfn.XLOOKUP(Orders[[#This Row],[CustomerID]],Customers[CustomerID],Customers[City])</f>
        <v>Florida</v>
      </c>
      <c r="P1451" t="str">
        <f>_xlfn.XLOOKUP(Orders[[#This Row],[CustomerID]],Customers[CustomerID],Customers[Gender])</f>
        <v>Male</v>
      </c>
      <c r="Q1451">
        <f>_xlfn.XLOOKUP(Orders[[#This Row],[CustomerID]],Customers[CustomerID],Customers[CustomerAge])</f>
        <v>28</v>
      </c>
      <c r="R1451" t="str">
        <f>IF(Orders[[#This Row],[CustomerAge]]&gt;=35, "Older", "Young")</f>
        <v>Young</v>
      </c>
      <c r="S1451" t="str">
        <f>_xlfn.XLOOKUP(Orders[[#This Row],[ProductID]],Products[ProductID],Products[ProductName])</f>
        <v>Gym Wears</v>
      </c>
      <c r="T1451" t="str">
        <f>_xlfn.XLOOKUP(Orders[[#This Row],[ProductID]],Products[ProductID],Products[Category])</f>
        <v>Clothing</v>
      </c>
    </row>
    <row r="1452" spans="1:20" x14ac:dyDescent="0.25">
      <c r="A1452" s="4" t="s">
        <v>1641</v>
      </c>
      <c r="B1452" s="5">
        <v>45991</v>
      </c>
      <c r="C1452" s="15">
        <f>WEEKNUM(Orders[[#This Row],[OrderDate]])</f>
        <v>49</v>
      </c>
      <c r="D1452" s="15" t="str">
        <f>TEXT(Orders[[#This Row],[OrderDate]],"mmmm")</f>
        <v>November</v>
      </c>
      <c r="E1452" s="4" t="s">
        <v>324</v>
      </c>
      <c r="F1452" s="4" t="s">
        <v>76</v>
      </c>
      <c r="G1452" s="4">
        <v>4</v>
      </c>
      <c r="H1452" s="12">
        <v>15876.5</v>
      </c>
      <c r="I1452" s="13">
        <v>13495.025</v>
      </c>
      <c r="J1452" s="13">
        <f>Orders[[#This Row],[Quantity]]*Orders[[#This Row],[Selling Price]]</f>
        <v>63506</v>
      </c>
      <c r="K1452" s="13">
        <f>Orders[[#This Row],[Quantity]]*Orders[[#This Row],[Cost Price]]</f>
        <v>53980.1</v>
      </c>
      <c r="L1452" s="13">
        <f>Orders[[#This Row],[Revenue]]-Orders[[#This Row],[Expenses]]</f>
        <v>9525.9000000000015</v>
      </c>
      <c r="M1452" t="s">
        <v>2199</v>
      </c>
      <c r="N1452" t="str">
        <f>_xlfn.XLOOKUP(Orders[[#This Row],[CustomerID]],Customers[CustomerID],Customers[CustomerName])</f>
        <v>Tunde Okonkwo</v>
      </c>
      <c r="O1452" t="str">
        <f>_xlfn.XLOOKUP(Orders[[#This Row],[CustomerID]],Customers[CustomerID],Customers[City])</f>
        <v>Texas</v>
      </c>
      <c r="P1452" t="str">
        <f>_xlfn.XLOOKUP(Orders[[#This Row],[CustomerID]],Customers[CustomerID],Customers[Gender])</f>
        <v>Male</v>
      </c>
      <c r="Q1452">
        <f>_xlfn.XLOOKUP(Orders[[#This Row],[CustomerID]],Customers[CustomerID],Customers[CustomerAge])</f>
        <v>25</v>
      </c>
      <c r="R1452" t="str">
        <f>IF(Orders[[#This Row],[CustomerAge]]&gt;=35, "Older", "Young")</f>
        <v>Young</v>
      </c>
      <c r="S1452" t="str">
        <f>_xlfn.XLOOKUP(Orders[[#This Row],[ProductID]],Products[ProductID],Products[ProductName])</f>
        <v>Blender</v>
      </c>
      <c r="T1452" t="str">
        <f>_xlfn.XLOOKUP(Orders[[#This Row],[ProductID]],Products[ProductID],Products[Category])</f>
        <v>Electronics</v>
      </c>
    </row>
    <row r="1453" spans="1:20" x14ac:dyDescent="0.25">
      <c r="A1453" s="4" t="s">
        <v>1642</v>
      </c>
      <c r="B1453" s="5">
        <v>45933</v>
      </c>
      <c r="C1453" s="15">
        <f>WEEKNUM(Orders[[#This Row],[OrderDate]])</f>
        <v>40</v>
      </c>
      <c r="D1453" s="15" t="str">
        <f>TEXT(Orders[[#This Row],[OrderDate]],"mmmm")</f>
        <v>October</v>
      </c>
      <c r="E1453" s="4" t="s">
        <v>607</v>
      </c>
      <c r="F1453" s="4" t="s">
        <v>57</v>
      </c>
      <c r="G1453" s="4">
        <v>3</v>
      </c>
      <c r="H1453" s="12">
        <v>11334.6</v>
      </c>
      <c r="I1453" s="13">
        <v>9634.41</v>
      </c>
      <c r="J1453" s="13">
        <f>Orders[[#This Row],[Quantity]]*Orders[[#This Row],[Selling Price]]</f>
        <v>34003.800000000003</v>
      </c>
      <c r="K1453" s="13">
        <f>Orders[[#This Row],[Quantity]]*Orders[[#This Row],[Cost Price]]</f>
        <v>28903.23</v>
      </c>
      <c r="L1453" s="13">
        <f>Orders[[#This Row],[Revenue]]-Orders[[#This Row],[Expenses]]</f>
        <v>5100.5700000000033</v>
      </c>
      <c r="M1453" t="s">
        <v>2213</v>
      </c>
      <c r="N1453" t="str">
        <f>_xlfn.XLOOKUP(Orders[[#This Row],[CustomerID]],Customers[CustomerID],Customers[CustomerName])</f>
        <v>Folasade Ojo</v>
      </c>
      <c r="O1453" t="str">
        <f>_xlfn.XLOOKUP(Orders[[#This Row],[CustomerID]],Customers[CustomerID],Customers[City])</f>
        <v>Texas</v>
      </c>
      <c r="P1453" t="str">
        <f>_xlfn.XLOOKUP(Orders[[#This Row],[CustomerID]],Customers[CustomerID],Customers[Gender])</f>
        <v>Female</v>
      </c>
      <c r="Q1453">
        <f>_xlfn.XLOOKUP(Orders[[#This Row],[CustomerID]],Customers[CustomerID],Customers[CustomerAge])</f>
        <v>19</v>
      </c>
      <c r="R1453" t="str">
        <f>IF(Orders[[#This Row],[CustomerAge]]&gt;=35, "Older", "Young")</f>
        <v>Young</v>
      </c>
      <c r="S1453" t="str">
        <f>_xlfn.XLOOKUP(Orders[[#This Row],[ProductID]],Products[ProductID],Products[ProductName])</f>
        <v>Badminton Racket</v>
      </c>
      <c r="T1453" t="str">
        <f>_xlfn.XLOOKUP(Orders[[#This Row],[ProductID]],Products[ProductID],Products[Category])</f>
        <v>Sports</v>
      </c>
    </row>
    <row r="1454" spans="1:20" x14ac:dyDescent="0.25">
      <c r="A1454" s="4" t="s">
        <v>1643</v>
      </c>
      <c r="B1454" s="5">
        <v>45989</v>
      </c>
      <c r="C1454" s="15">
        <f>WEEKNUM(Orders[[#This Row],[OrderDate]])</f>
        <v>48</v>
      </c>
      <c r="D1454" s="15" t="str">
        <f>TEXT(Orders[[#This Row],[OrderDate]],"mmmm")</f>
        <v>November</v>
      </c>
      <c r="E1454" s="4" t="s">
        <v>118</v>
      </c>
      <c r="F1454" s="4" t="s">
        <v>81</v>
      </c>
      <c r="G1454" s="4">
        <v>1</v>
      </c>
      <c r="H1454" s="12">
        <v>1071.0999999999999</v>
      </c>
      <c r="I1454" s="13">
        <v>910.43499999999995</v>
      </c>
      <c r="J1454" s="13">
        <f>Orders[[#This Row],[Quantity]]*Orders[[#This Row],[Selling Price]]</f>
        <v>1071.0999999999999</v>
      </c>
      <c r="K1454" s="13">
        <f>Orders[[#This Row],[Quantity]]*Orders[[#This Row],[Cost Price]]</f>
        <v>910.43499999999995</v>
      </c>
      <c r="L1454" s="13">
        <f>Orders[[#This Row],[Revenue]]-Orders[[#This Row],[Expenses]]</f>
        <v>160.66499999999996</v>
      </c>
      <c r="M1454" t="s">
        <v>2198</v>
      </c>
      <c r="N1454" t="str">
        <f>_xlfn.XLOOKUP(Orders[[#This Row],[CustomerID]],Customers[CustomerID],Customers[CustomerName])</f>
        <v>Ibrahim Balogun</v>
      </c>
      <c r="O1454" t="str">
        <f>_xlfn.XLOOKUP(Orders[[#This Row],[CustomerID]],Customers[CustomerID],Customers[City])</f>
        <v>Georgia</v>
      </c>
      <c r="P1454" t="str">
        <f>_xlfn.XLOOKUP(Orders[[#This Row],[CustomerID]],Customers[CustomerID],Customers[Gender])</f>
        <v>Male</v>
      </c>
      <c r="Q1454">
        <f>_xlfn.XLOOKUP(Orders[[#This Row],[CustomerID]],Customers[CustomerID],Customers[CustomerAge])</f>
        <v>55</v>
      </c>
      <c r="R1454" t="str">
        <f>IF(Orders[[#This Row],[CustomerAge]]&gt;=35, "Older", "Young")</f>
        <v>Older</v>
      </c>
      <c r="S1454" t="str">
        <f>_xlfn.XLOOKUP(Orders[[#This Row],[ProductID]],Products[ProductID],Products[ProductName])</f>
        <v>Trousers</v>
      </c>
      <c r="T1454" t="str">
        <f>_xlfn.XLOOKUP(Orders[[#This Row],[ProductID]],Products[ProductID],Products[Category])</f>
        <v>Clothing</v>
      </c>
    </row>
    <row r="1455" spans="1:20" x14ac:dyDescent="0.25">
      <c r="A1455" s="4" t="s">
        <v>1644</v>
      </c>
      <c r="B1455" s="5">
        <v>45971</v>
      </c>
      <c r="C1455" s="15">
        <f>WEEKNUM(Orders[[#This Row],[OrderDate]])</f>
        <v>46</v>
      </c>
      <c r="D1455" s="15" t="str">
        <f>TEXT(Orders[[#This Row],[OrderDate]],"mmmm")</f>
        <v>November</v>
      </c>
      <c r="E1455" s="4" t="s">
        <v>311</v>
      </c>
      <c r="F1455" s="4" t="s">
        <v>232</v>
      </c>
      <c r="G1455" s="4">
        <v>6</v>
      </c>
      <c r="H1455" s="12">
        <v>7824.8</v>
      </c>
      <c r="I1455" s="13">
        <v>6651.08</v>
      </c>
      <c r="J1455" s="13">
        <f>Orders[[#This Row],[Quantity]]*Orders[[#This Row],[Selling Price]]</f>
        <v>46948.800000000003</v>
      </c>
      <c r="K1455" s="13">
        <f>Orders[[#This Row],[Quantity]]*Orders[[#This Row],[Cost Price]]</f>
        <v>39906.479999999996</v>
      </c>
      <c r="L1455" s="13">
        <f>Orders[[#This Row],[Revenue]]-Orders[[#This Row],[Expenses]]</f>
        <v>7042.320000000007</v>
      </c>
      <c r="M1455" t="s">
        <v>2220</v>
      </c>
      <c r="N1455" t="str">
        <f>_xlfn.XLOOKUP(Orders[[#This Row],[CustomerID]],Customers[CustomerID],Customers[CustomerName])</f>
        <v>Bisi Bello</v>
      </c>
      <c r="O1455" t="str">
        <f>_xlfn.XLOOKUP(Orders[[#This Row],[CustomerID]],Customers[CustomerID],Customers[City])</f>
        <v>Georgia</v>
      </c>
      <c r="P1455" t="str">
        <f>_xlfn.XLOOKUP(Orders[[#This Row],[CustomerID]],Customers[CustomerID],Customers[Gender])</f>
        <v>Female</v>
      </c>
      <c r="Q1455">
        <f>_xlfn.XLOOKUP(Orders[[#This Row],[CustomerID]],Customers[CustomerID],Customers[CustomerAge])</f>
        <v>31</v>
      </c>
      <c r="R1455" t="str">
        <f>IF(Orders[[#This Row],[CustomerAge]]&gt;=35, "Older", "Young")</f>
        <v>Young</v>
      </c>
      <c r="S1455" t="str">
        <f>_xlfn.XLOOKUP(Orders[[#This Row],[ProductID]],Products[ProductID],Products[ProductName])</f>
        <v>Ankara</v>
      </c>
      <c r="T1455" t="str">
        <f>_xlfn.XLOOKUP(Orders[[#This Row],[ProductID]],Products[ProductID],Products[Category])</f>
        <v>Clothing</v>
      </c>
    </row>
    <row r="1456" spans="1:20" x14ac:dyDescent="0.25">
      <c r="A1456" s="4" t="s">
        <v>1645</v>
      </c>
      <c r="B1456" s="5">
        <v>46006</v>
      </c>
      <c r="C1456" s="15">
        <f>WEEKNUM(Orders[[#This Row],[OrderDate]])</f>
        <v>51</v>
      </c>
      <c r="D1456" s="15" t="str">
        <f>TEXT(Orders[[#This Row],[OrderDate]],"mmmm")</f>
        <v>December</v>
      </c>
      <c r="E1456" s="4" t="s">
        <v>216</v>
      </c>
      <c r="F1456" s="4" t="s">
        <v>34</v>
      </c>
      <c r="G1456" s="4">
        <v>5</v>
      </c>
      <c r="H1456" s="12">
        <v>7300.2999999999993</v>
      </c>
      <c r="I1456" s="13">
        <v>6205.2549999999992</v>
      </c>
      <c r="J1456" s="13">
        <f>Orders[[#This Row],[Quantity]]*Orders[[#This Row],[Selling Price]]</f>
        <v>36501.5</v>
      </c>
      <c r="K1456" s="13">
        <f>Orders[[#This Row],[Quantity]]*Orders[[#This Row],[Cost Price]]</f>
        <v>31026.274999999994</v>
      </c>
      <c r="L1456" s="13">
        <f>Orders[[#This Row],[Revenue]]-Orders[[#This Row],[Expenses]]</f>
        <v>5475.2250000000058</v>
      </c>
      <c r="M1456" t="s">
        <v>2196</v>
      </c>
      <c r="N1456" t="str">
        <f>_xlfn.XLOOKUP(Orders[[#This Row],[CustomerID]],Customers[CustomerID],Customers[CustomerName])</f>
        <v>Ngozi Obi</v>
      </c>
      <c r="O1456" t="str">
        <f>_xlfn.XLOOKUP(Orders[[#This Row],[CustomerID]],Customers[CustomerID],Customers[City])</f>
        <v>California</v>
      </c>
      <c r="P1456" t="str">
        <f>_xlfn.XLOOKUP(Orders[[#This Row],[CustomerID]],Customers[CustomerID],Customers[Gender])</f>
        <v>Female</v>
      </c>
      <c r="Q1456">
        <f>_xlfn.XLOOKUP(Orders[[#This Row],[CustomerID]],Customers[CustomerID],Customers[CustomerAge])</f>
        <v>54</v>
      </c>
      <c r="R1456" t="str">
        <f>IF(Orders[[#This Row],[CustomerAge]]&gt;=35, "Older", "Young")</f>
        <v>Older</v>
      </c>
      <c r="S1456" t="str">
        <f>_xlfn.XLOOKUP(Orders[[#This Row],[ProductID]],Products[ProductID],Products[ProductName])</f>
        <v>Gold Bracelets</v>
      </c>
      <c r="T1456" t="str">
        <f>_xlfn.XLOOKUP(Orders[[#This Row],[ProductID]],Products[ProductID],Products[Category])</f>
        <v>Accessories</v>
      </c>
    </row>
    <row r="1457" spans="1:20" x14ac:dyDescent="0.25">
      <c r="A1457" s="4" t="s">
        <v>1646</v>
      </c>
      <c r="B1457" s="5">
        <v>45993</v>
      </c>
      <c r="C1457" s="15">
        <f>WEEKNUM(Orders[[#This Row],[OrderDate]])</f>
        <v>49</v>
      </c>
      <c r="D1457" s="15" t="str">
        <f>TEXT(Orders[[#This Row],[OrderDate]],"mmmm")</f>
        <v>December</v>
      </c>
      <c r="E1457" s="4" t="s">
        <v>207</v>
      </c>
      <c r="F1457" s="4" t="s">
        <v>353</v>
      </c>
      <c r="G1457" s="4">
        <v>8</v>
      </c>
      <c r="H1457" s="12">
        <v>11419.8</v>
      </c>
      <c r="I1457" s="13">
        <v>9706.83</v>
      </c>
      <c r="J1457" s="13">
        <f>Orders[[#This Row],[Quantity]]*Orders[[#This Row],[Selling Price]]</f>
        <v>91358.399999999994</v>
      </c>
      <c r="K1457" s="13">
        <f>Orders[[#This Row],[Quantity]]*Orders[[#This Row],[Cost Price]]</f>
        <v>77654.64</v>
      </c>
      <c r="L1457" s="13">
        <f>Orders[[#This Row],[Revenue]]-Orders[[#This Row],[Expenses]]</f>
        <v>13703.759999999995</v>
      </c>
      <c r="M1457" t="s">
        <v>2219</v>
      </c>
      <c r="N1457" t="str">
        <f>_xlfn.XLOOKUP(Orders[[#This Row],[CustomerID]],Customers[CustomerID],Customers[CustomerName])</f>
        <v>Bisi Eze</v>
      </c>
      <c r="O1457" t="str">
        <f>_xlfn.XLOOKUP(Orders[[#This Row],[CustomerID]],Customers[CustomerID],Customers[City])</f>
        <v>Florida</v>
      </c>
      <c r="P1457" t="str">
        <f>_xlfn.XLOOKUP(Orders[[#This Row],[CustomerID]],Customers[CustomerID],Customers[Gender])</f>
        <v>Female</v>
      </c>
      <c r="Q1457">
        <f>_xlfn.XLOOKUP(Orders[[#This Row],[CustomerID]],Customers[CustomerID],Customers[CustomerAge])</f>
        <v>37</v>
      </c>
      <c r="R1457" t="str">
        <f>IF(Orders[[#This Row],[CustomerAge]]&gt;=35, "Older", "Young")</f>
        <v>Older</v>
      </c>
      <c r="S1457" t="str">
        <f>_xlfn.XLOOKUP(Orders[[#This Row],[ProductID]],Products[ProductID],Products[ProductName])</f>
        <v>Silver Earrings And Necklaces</v>
      </c>
      <c r="T1457" t="str">
        <f>_xlfn.XLOOKUP(Orders[[#This Row],[ProductID]],Products[ProductID],Products[Category])</f>
        <v>Accessories</v>
      </c>
    </row>
    <row r="1458" spans="1:20" x14ac:dyDescent="0.25">
      <c r="A1458" s="4" t="s">
        <v>1647</v>
      </c>
      <c r="B1458" s="5">
        <v>45976</v>
      </c>
      <c r="C1458" s="15">
        <f>WEEKNUM(Orders[[#This Row],[OrderDate]])</f>
        <v>46</v>
      </c>
      <c r="D1458" s="15" t="str">
        <f>TEXT(Orders[[#This Row],[OrderDate]],"mmmm")</f>
        <v>November</v>
      </c>
      <c r="E1458" s="4" t="s">
        <v>386</v>
      </c>
      <c r="F1458" s="4" t="s">
        <v>31</v>
      </c>
      <c r="G1458" s="4">
        <v>6</v>
      </c>
      <c r="H1458" s="12">
        <v>11460</v>
      </c>
      <c r="I1458" s="13">
        <v>9741</v>
      </c>
      <c r="J1458" s="13">
        <f>Orders[[#This Row],[Quantity]]*Orders[[#This Row],[Selling Price]]</f>
        <v>68760</v>
      </c>
      <c r="K1458" s="13">
        <f>Orders[[#This Row],[Quantity]]*Orders[[#This Row],[Cost Price]]</f>
        <v>58446</v>
      </c>
      <c r="L1458" s="13">
        <f>Orders[[#This Row],[Revenue]]-Orders[[#This Row],[Expenses]]</f>
        <v>10314</v>
      </c>
      <c r="M1458" t="s">
        <v>2212</v>
      </c>
      <c r="N1458" t="str">
        <f>_xlfn.XLOOKUP(Orders[[#This Row],[CustomerID]],Customers[CustomerID],Customers[CustomerName])</f>
        <v>Chinedu Eze</v>
      </c>
      <c r="O1458" t="str">
        <f>_xlfn.XLOOKUP(Orders[[#This Row],[CustomerID]],Customers[CustomerID],Customers[City])</f>
        <v>Washington</v>
      </c>
      <c r="P1458" t="str">
        <f>_xlfn.XLOOKUP(Orders[[#This Row],[CustomerID]],Customers[CustomerID],Customers[Gender])</f>
        <v>Male</v>
      </c>
      <c r="Q1458">
        <f>_xlfn.XLOOKUP(Orders[[#This Row],[CustomerID]],Customers[CustomerID],Customers[CustomerAge])</f>
        <v>32</v>
      </c>
      <c r="R1458" t="str">
        <f>IF(Orders[[#This Row],[CustomerAge]]&gt;=35, "Older", "Young")</f>
        <v>Young</v>
      </c>
      <c r="S1458" t="str">
        <f>_xlfn.XLOOKUP(Orders[[#This Row],[ProductID]],Products[ProductID],Products[ProductName])</f>
        <v>Kids Games</v>
      </c>
      <c r="T1458" t="str">
        <f>_xlfn.XLOOKUP(Orders[[#This Row],[ProductID]],Products[ProductID],Products[Category])</f>
        <v>Games</v>
      </c>
    </row>
    <row r="1459" spans="1:20" x14ac:dyDescent="0.25">
      <c r="A1459" s="4" t="s">
        <v>1648</v>
      </c>
      <c r="B1459" s="5">
        <v>45931</v>
      </c>
      <c r="C1459" s="15">
        <f>WEEKNUM(Orders[[#This Row],[OrderDate]])</f>
        <v>40</v>
      </c>
      <c r="D1459" s="15" t="str">
        <f>TEXT(Orders[[#This Row],[OrderDate]],"mmmm")</f>
        <v>October</v>
      </c>
      <c r="E1459" s="4" t="s">
        <v>210</v>
      </c>
      <c r="F1459" s="4" t="s">
        <v>253</v>
      </c>
      <c r="G1459" s="4">
        <v>4</v>
      </c>
      <c r="H1459" s="12">
        <v>14283.4</v>
      </c>
      <c r="I1459" s="13">
        <v>12140.89</v>
      </c>
      <c r="J1459" s="13">
        <f>Orders[[#This Row],[Quantity]]*Orders[[#This Row],[Selling Price]]</f>
        <v>57133.599999999999</v>
      </c>
      <c r="K1459" s="13">
        <f>Orders[[#This Row],[Quantity]]*Orders[[#This Row],[Cost Price]]</f>
        <v>48563.56</v>
      </c>
      <c r="L1459" s="13">
        <f>Orders[[#This Row],[Revenue]]-Orders[[#This Row],[Expenses]]</f>
        <v>8570.0400000000009</v>
      </c>
      <c r="M1459" t="s">
        <v>2211</v>
      </c>
      <c r="N1459" t="str">
        <f>_xlfn.XLOOKUP(Orders[[#This Row],[CustomerID]],Customers[CustomerID],Customers[CustomerName])</f>
        <v>Zainab Bello</v>
      </c>
      <c r="O1459" t="str">
        <f>_xlfn.XLOOKUP(Orders[[#This Row],[CustomerID]],Customers[CustomerID],Customers[City])</f>
        <v>Illinois</v>
      </c>
      <c r="P1459" t="str">
        <f>_xlfn.XLOOKUP(Orders[[#This Row],[CustomerID]],Customers[CustomerID],Customers[Gender])</f>
        <v>Female</v>
      </c>
      <c r="Q1459">
        <f>_xlfn.XLOOKUP(Orders[[#This Row],[CustomerID]],Customers[CustomerID],Customers[CustomerAge])</f>
        <v>27</v>
      </c>
      <c r="R1459" t="str">
        <f>IF(Orders[[#This Row],[CustomerAge]]&gt;=35, "Older", "Young")</f>
        <v>Young</v>
      </c>
      <c r="S1459" t="str">
        <f>_xlfn.XLOOKUP(Orders[[#This Row],[ProductID]],Products[ProductID],Products[ProductName])</f>
        <v>Nose Rings</v>
      </c>
      <c r="T1459" t="str">
        <f>_xlfn.XLOOKUP(Orders[[#This Row],[ProductID]],Products[ProductID],Products[Category])</f>
        <v>Accessories</v>
      </c>
    </row>
    <row r="1460" spans="1:20" x14ac:dyDescent="0.25">
      <c r="A1460" s="4" t="s">
        <v>1649</v>
      </c>
      <c r="B1460" s="5">
        <v>46021</v>
      </c>
      <c r="C1460" s="15">
        <f>WEEKNUM(Orders[[#This Row],[OrderDate]])</f>
        <v>53</v>
      </c>
      <c r="D1460" s="15" t="str">
        <f>TEXT(Orders[[#This Row],[OrderDate]],"mmmm")</f>
        <v>December</v>
      </c>
      <c r="E1460" s="4" t="s">
        <v>216</v>
      </c>
      <c r="F1460" s="4" t="s">
        <v>53</v>
      </c>
      <c r="G1460" s="4">
        <v>9</v>
      </c>
      <c r="H1460" s="12">
        <v>10269.300000000001</v>
      </c>
      <c r="I1460" s="13">
        <v>8728.9050000000007</v>
      </c>
      <c r="J1460" s="13">
        <f>Orders[[#This Row],[Quantity]]*Orders[[#This Row],[Selling Price]]</f>
        <v>92423.700000000012</v>
      </c>
      <c r="K1460" s="13">
        <f>Orders[[#This Row],[Quantity]]*Orders[[#This Row],[Cost Price]]</f>
        <v>78560.145000000004</v>
      </c>
      <c r="L1460" s="13">
        <f>Orders[[#This Row],[Revenue]]-Orders[[#This Row],[Expenses]]</f>
        <v>13863.555000000008</v>
      </c>
      <c r="M1460" t="s">
        <v>2214</v>
      </c>
      <c r="N1460" t="str">
        <f>_xlfn.XLOOKUP(Orders[[#This Row],[CustomerID]],Customers[CustomerID],Customers[CustomerName])</f>
        <v>Ngozi Obi</v>
      </c>
      <c r="O1460" t="str">
        <f>_xlfn.XLOOKUP(Orders[[#This Row],[CustomerID]],Customers[CustomerID],Customers[City])</f>
        <v>California</v>
      </c>
      <c r="P1460" t="str">
        <f>_xlfn.XLOOKUP(Orders[[#This Row],[CustomerID]],Customers[CustomerID],Customers[Gender])</f>
        <v>Female</v>
      </c>
      <c r="Q1460">
        <f>_xlfn.XLOOKUP(Orders[[#This Row],[CustomerID]],Customers[CustomerID],Customers[CustomerAge])</f>
        <v>54</v>
      </c>
      <c r="R1460" t="str">
        <f>IF(Orders[[#This Row],[CustomerAge]]&gt;=35, "Older", "Young")</f>
        <v>Older</v>
      </c>
      <c r="S1460" t="str">
        <f>_xlfn.XLOOKUP(Orders[[#This Row],[ProductID]],Products[ProductID],Products[ProductName])</f>
        <v>Silver Bangles</v>
      </c>
      <c r="T1460" t="str">
        <f>_xlfn.XLOOKUP(Orders[[#This Row],[ProductID]],Products[ProductID],Products[Category])</f>
        <v>Accessories</v>
      </c>
    </row>
    <row r="1461" spans="1:20" x14ac:dyDescent="0.25">
      <c r="A1461" s="4" t="s">
        <v>1650</v>
      </c>
      <c r="B1461" s="5">
        <v>46022</v>
      </c>
      <c r="C1461" s="15">
        <f>WEEKNUM(Orders[[#This Row],[OrderDate]])</f>
        <v>53</v>
      </c>
      <c r="D1461" s="15" t="str">
        <f>TEXT(Orders[[#This Row],[OrderDate]],"mmmm")</f>
        <v>December</v>
      </c>
      <c r="E1461" s="4" t="s">
        <v>383</v>
      </c>
      <c r="F1461" s="4" t="s">
        <v>151</v>
      </c>
      <c r="G1461" s="4">
        <v>1</v>
      </c>
      <c r="H1461" s="12">
        <v>17720.099999999999</v>
      </c>
      <c r="I1461" s="13">
        <v>15062.084999999999</v>
      </c>
      <c r="J1461" s="13">
        <f>Orders[[#This Row],[Quantity]]*Orders[[#This Row],[Selling Price]]</f>
        <v>17720.099999999999</v>
      </c>
      <c r="K1461" s="13">
        <f>Orders[[#This Row],[Quantity]]*Orders[[#This Row],[Cost Price]]</f>
        <v>15062.084999999999</v>
      </c>
      <c r="L1461" s="13">
        <f>Orders[[#This Row],[Revenue]]-Orders[[#This Row],[Expenses]]</f>
        <v>2658.0149999999994</v>
      </c>
      <c r="M1461" t="s">
        <v>2202</v>
      </c>
      <c r="N1461" t="str">
        <f>_xlfn.XLOOKUP(Orders[[#This Row],[CustomerID]],Customers[CustomerID],Customers[CustomerName])</f>
        <v>Ibrahim Balogun</v>
      </c>
      <c r="O1461" t="str">
        <f>_xlfn.XLOOKUP(Orders[[#This Row],[CustomerID]],Customers[CustomerID],Customers[City])</f>
        <v>Florida</v>
      </c>
      <c r="P1461" t="str">
        <f>_xlfn.XLOOKUP(Orders[[#This Row],[CustomerID]],Customers[CustomerID],Customers[Gender])</f>
        <v>Male</v>
      </c>
      <c r="Q1461">
        <f>_xlfn.XLOOKUP(Orders[[#This Row],[CustomerID]],Customers[CustomerID],Customers[CustomerAge])</f>
        <v>27</v>
      </c>
      <c r="R1461" t="str">
        <f>IF(Orders[[#This Row],[CustomerAge]]&gt;=35, "Older", "Young")</f>
        <v>Young</v>
      </c>
      <c r="S1461" t="str">
        <f>_xlfn.XLOOKUP(Orders[[#This Row],[ProductID]],Products[ProductID],Products[ProductName])</f>
        <v>Checkers</v>
      </c>
      <c r="T1461" t="str">
        <f>_xlfn.XLOOKUP(Orders[[#This Row],[ProductID]],Products[ProductID],Products[Category])</f>
        <v>Games</v>
      </c>
    </row>
    <row r="1462" spans="1:20" x14ac:dyDescent="0.25">
      <c r="A1462" s="4" t="s">
        <v>1651</v>
      </c>
      <c r="B1462" s="5">
        <v>46007</v>
      </c>
      <c r="C1462" s="15">
        <f>WEEKNUM(Orders[[#This Row],[OrderDate]])</f>
        <v>51</v>
      </c>
      <c r="D1462" s="15" t="str">
        <f>TEXT(Orders[[#This Row],[OrderDate]],"mmmm")</f>
        <v>December</v>
      </c>
      <c r="E1462" s="4" t="s">
        <v>186</v>
      </c>
      <c r="F1462" s="4" t="s">
        <v>15</v>
      </c>
      <c r="G1462" s="4">
        <v>3</v>
      </c>
      <c r="H1462" s="12">
        <v>12082.1</v>
      </c>
      <c r="I1462" s="13">
        <v>10269.785</v>
      </c>
      <c r="J1462" s="13">
        <f>Orders[[#This Row],[Quantity]]*Orders[[#This Row],[Selling Price]]</f>
        <v>36246.300000000003</v>
      </c>
      <c r="K1462" s="13">
        <f>Orders[[#This Row],[Quantity]]*Orders[[#This Row],[Cost Price]]</f>
        <v>30809.355</v>
      </c>
      <c r="L1462" s="13">
        <f>Orders[[#This Row],[Revenue]]-Orders[[#This Row],[Expenses]]</f>
        <v>5436.9450000000033</v>
      </c>
      <c r="M1462" t="s">
        <v>2210</v>
      </c>
      <c r="N1462" t="str">
        <f>_xlfn.XLOOKUP(Orders[[#This Row],[CustomerID]],Customers[CustomerID],Customers[CustomerName])</f>
        <v>Ronke Eze</v>
      </c>
      <c r="O1462" t="str">
        <f>_xlfn.XLOOKUP(Orders[[#This Row],[CustomerID]],Customers[CustomerID],Customers[City])</f>
        <v>Texas</v>
      </c>
      <c r="P1462" t="str">
        <f>_xlfn.XLOOKUP(Orders[[#This Row],[CustomerID]],Customers[CustomerID],Customers[Gender])</f>
        <v>Female</v>
      </c>
      <c r="Q1462">
        <f>_xlfn.XLOOKUP(Orders[[#This Row],[CustomerID]],Customers[CustomerID],Customers[CustomerAge])</f>
        <v>37</v>
      </c>
      <c r="R1462" t="str">
        <f>IF(Orders[[#This Row],[CustomerAge]]&gt;=35, "Older", "Young")</f>
        <v>Older</v>
      </c>
      <c r="S1462" t="str">
        <f>_xlfn.XLOOKUP(Orders[[#This Row],[ProductID]],Products[ProductID],Products[ProductName])</f>
        <v>Monopoly</v>
      </c>
      <c r="T1462" t="str">
        <f>_xlfn.XLOOKUP(Orders[[#This Row],[ProductID]],Products[ProductID],Products[Category])</f>
        <v>Games</v>
      </c>
    </row>
    <row r="1463" spans="1:20" x14ac:dyDescent="0.25">
      <c r="A1463" s="4" t="s">
        <v>1652</v>
      </c>
      <c r="B1463" s="5">
        <v>45946</v>
      </c>
      <c r="C1463" s="15">
        <f>WEEKNUM(Orders[[#This Row],[OrderDate]])</f>
        <v>42</v>
      </c>
      <c r="D1463" s="15" t="str">
        <f>TEXT(Orders[[#This Row],[OrderDate]],"mmmm")</f>
        <v>October</v>
      </c>
      <c r="E1463" s="4" t="s">
        <v>89</v>
      </c>
      <c r="F1463" s="4" t="s">
        <v>20</v>
      </c>
      <c r="G1463" s="4">
        <v>4</v>
      </c>
      <c r="H1463" s="12">
        <v>19901.5</v>
      </c>
      <c r="I1463" s="13">
        <v>16916.275000000001</v>
      </c>
      <c r="J1463" s="13">
        <f>Orders[[#This Row],[Quantity]]*Orders[[#This Row],[Selling Price]]</f>
        <v>79606</v>
      </c>
      <c r="K1463" s="13">
        <f>Orders[[#This Row],[Quantity]]*Orders[[#This Row],[Cost Price]]</f>
        <v>67665.100000000006</v>
      </c>
      <c r="L1463" s="13">
        <f>Orders[[#This Row],[Revenue]]-Orders[[#This Row],[Expenses]]</f>
        <v>11940.899999999994</v>
      </c>
      <c r="M1463" t="s">
        <v>2193</v>
      </c>
      <c r="N1463" t="str">
        <f>_xlfn.XLOOKUP(Orders[[#This Row],[CustomerID]],Customers[CustomerID],Customers[CustomerName])</f>
        <v>Blessing Balogun</v>
      </c>
      <c r="O1463" t="str">
        <f>_xlfn.XLOOKUP(Orders[[#This Row],[CustomerID]],Customers[CustomerID],Customers[City])</f>
        <v>Washington</v>
      </c>
      <c r="P1463" t="str">
        <f>_xlfn.XLOOKUP(Orders[[#This Row],[CustomerID]],Customers[CustomerID],Customers[Gender])</f>
        <v>Female</v>
      </c>
      <c r="Q1463">
        <f>_xlfn.XLOOKUP(Orders[[#This Row],[CustomerID]],Customers[CustomerID],Customers[CustomerAge])</f>
        <v>19</v>
      </c>
      <c r="R1463" t="str">
        <f>IF(Orders[[#This Row],[CustomerAge]]&gt;=35, "Older", "Young")</f>
        <v>Young</v>
      </c>
      <c r="S1463" t="str">
        <f>_xlfn.XLOOKUP(Orders[[#This Row],[ProductID]],Products[ProductID],Products[ProductName])</f>
        <v>Gym Bag</v>
      </c>
      <c r="T1463" t="str">
        <f>_xlfn.XLOOKUP(Orders[[#This Row],[ProductID]],Products[ProductID],Products[Category])</f>
        <v>Gym</v>
      </c>
    </row>
    <row r="1464" spans="1:20" x14ac:dyDescent="0.25">
      <c r="A1464" s="4" t="s">
        <v>1653</v>
      </c>
      <c r="B1464" s="5">
        <v>45934</v>
      </c>
      <c r="C1464" s="15">
        <f>WEEKNUM(Orders[[#This Row],[OrderDate]])</f>
        <v>40</v>
      </c>
      <c r="D1464" s="15" t="str">
        <f>TEXT(Orders[[#This Row],[OrderDate]],"mmmm")</f>
        <v>October</v>
      </c>
      <c r="E1464" s="4" t="s">
        <v>298</v>
      </c>
      <c r="F1464" s="4" t="s">
        <v>23</v>
      </c>
      <c r="G1464" s="4">
        <v>4</v>
      </c>
      <c r="H1464" s="12">
        <v>4117.7999999999993</v>
      </c>
      <c r="I1464" s="13">
        <v>3500.1299999999992</v>
      </c>
      <c r="J1464" s="13">
        <f>Orders[[#This Row],[Quantity]]*Orders[[#This Row],[Selling Price]]</f>
        <v>16471.199999999997</v>
      </c>
      <c r="K1464" s="13">
        <f>Orders[[#This Row],[Quantity]]*Orders[[#This Row],[Cost Price]]</f>
        <v>14000.519999999997</v>
      </c>
      <c r="L1464" s="13">
        <f>Orders[[#This Row],[Revenue]]-Orders[[#This Row],[Expenses]]</f>
        <v>2470.6800000000003</v>
      </c>
      <c r="M1464" t="s">
        <v>2209</v>
      </c>
      <c r="N1464" t="str">
        <f>_xlfn.XLOOKUP(Orders[[#This Row],[CustomerID]],Customers[CustomerID],Customers[CustomerName])</f>
        <v>Amina Obi</v>
      </c>
      <c r="O1464" t="str">
        <f>_xlfn.XLOOKUP(Orders[[#This Row],[CustomerID]],Customers[CustomerID],Customers[City])</f>
        <v>Florida</v>
      </c>
      <c r="P1464" t="str">
        <f>_xlfn.XLOOKUP(Orders[[#This Row],[CustomerID]],Customers[CustomerID],Customers[Gender])</f>
        <v>Female</v>
      </c>
      <c r="Q1464">
        <f>_xlfn.XLOOKUP(Orders[[#This Row],[CustomerID]],Customers[CustomerID],Customers[CustomerAge])</f>
        <v>19</v>
      </c>
      <c r="R1464" t="str">
        <f>IF(Orders[[#This Row],[CustomerAge]]&gt;=35, "Older", "Young")</f>
        <v>Young</v>
      </c>
      <c r="S1464" t="str">
        <f>_xlfn.XLOOKUP(Orders[[#This Row],[ProductID]],Products[ProductID],Products[ProductName])</f>
        <v>Gym Gloves</v>
      </c>
      <c r="T1464" t="str">
        <f>_xlfn.XLOOKUP(Orders[[#This Row],[ProductID]],Products[ProductID],Products[Category])</f>
        <v>Gym</v>
      </c>
    </row>
    <row r="1465" spans="1:20" x14ac:dyDescent="0.25">
      <c r="A1465" s="4" t="s">
        <v>1654</v>
      </c>
      <c r="B1465" s="5">
        <v>45970</v>
      </c>
      <c r="C1465" s="15">
        <f>WEEKNUM(Orders[[#This Row],[OrderDate]])</f>
        <v>46</v>
      </c>
      <c r="D1465" s="15" t="str">
        <f>TEXT(Orders[[#This Row],[OrderDate]],"mmmm")</f>
        <v>November</v>
      </c>
      <c r="E1465" s="4" t="s">
        <v>113</v>
      </c>
      <c r="F1465" s="4" t="s">
        <v>81</v>
      </c>
      <c r="G1465" s="4">
        <v>7</v>
      </c>
      <c r="H1465" s="12">
        <v>14602.9</v>
      </c>
      <c r="I1465" s="13">
        <v>12412.465</v>
      </c>
      <c r="J1465" s="13">
        <f>Orders[[#This Row],[Quantity]]*Orders[[#This Row],[Selling Price]]</f>
        <v>102220.3</v>
      </c>
      <c r="K1465" s="13">
        <f>Orders[[#This Row],[Quantity]]*Orders[[#This Row],[Cost Price]]</f>
        <v>86887.255000000005</v>
      </c>
      <c r="L1465" s="13">
        <f>Orders[[#This Row],[Revenue]]-Orders[[#This Row],[Expenses]]</f>
        <v>15333.044999999998</v>
      </c>
      <c r="M1465" t="s">
        <v>2215</v>
      </c>
      <c r="N1465" t="str">
        <f>_xlfn.XLOOKUP(Orders[[#This Row],[CustomerID]],Customers[CustomerID],Customers[CustomerName])</f>
        <v>Uche Igwe</v>
      </c>
      <c r="O1465" t="str">
        <f>_xlfn.XLOOKUP(Orders[[#This Row],[CustomerID]],Customers[CustomerID],Customers[City])</f>
        <v>Texas</v>
      </c>
      <c r="P1465" t="str">
        <f>_xlfn.XLOOKUP(Orders[[#This Row],[CustomerID]],Customers[CustomerID],Customers[Gender])</f>
        <v>Male</v>
      </c>
      <c r="Q1465">
        <f>_xlfn.XLOOKUP(Orders[[#This Row],[CustomerID]],Customers[CustomerID],Customers[CustomerAge])</f>
        <v>35</v>
      </c>
      <c r="R1465" t="str">
        <f>IF(Orders[[#This Row],[CustomerAge]]&gt;=35, "Older", "Young")</f>
        <v>Older</v>
      </c>
      <c r="S1465" t="str">
        <f>_xlfn.XLOOKUP(Orders[[#This Row],[ProductID]],Products[ProductID],Products[ProductName])</f>
        <v>Trousers</v>
      </c>
      <c r="T1465" t="str">
        <f>_xlfn.XLOOKUP(Orders[[#This Row],[ProductID]],Products[ProductID],Products[Category])</f>
        <v>Clothing</v>
      </c>
    </row>
    <row r="1466" spans="1:20" x14ac:dyDescent="0.25">
      <c r="A1466" s="4" t="s">
        <v>1655</v>
      </c>
      <c r="B1466" s="5">
        <v>45997</v>
      </c>
      <c r="C1466" s="15">
        <f>WEEKNUM(Orders[[#This Row],[OrderDate]])</f>
        <v>49</v>
      </c>
      <c r="D1466" s="15" t="str">
        <f>TEXT(Orders[[#This Row],[OrderDate]],"mmmm")</f>
        <v>December</v>
      </c>
      <c r="E1466" s="4" t="s">
        <v>186</v>
      </c>
      <c r="F1466" s="4" t="s">
        <v>46</v>
      </c>
      <c r="G1466" s="4">
        <v>10</v>
      </c>
      <c r="H1466" s="12">
        <v>1682.2</v>
      </c>
      <c r="I1466" s="13">
        <v>1429.8700000000001</v>
      </c>
      <c r="J1466" s="13">
        <f>Orders[[#This Row],[Quantity]]*Orders[[#This Row],[Selling Price]]</f>
        <v>16822</v>
      </c>
      <c r="K1466" s="13">
        <f>Orders[[#This Row],[Quantity]]*Orders[[#This Row],[Cost Price]]</f>
        <v>14298.7</v>
      </c>
      <c r="L1466" s="13">
        <f>Orders[[#This Row],[Revenue]]-Orders[[#This Row],[Expenses]]</f>
        <v>2523.2999999999993</v>
      </c>
      <c r="M1466" t="s">
        <v>2206</v>
      </c>
      <c r="N1466" t="str">
        <f>_xlfn.XLOOKUP(Orders[[#This Row],[CustomerID]],Customers[CustomerID],Customers[CustomerName])</f>
        <v>Ronke Eze</v>
      </c>
      <c r="O1466" t="str">
        <f>_xlfn.XLOOKUP(Orders[[#This Row],[CustomerID]],Customers[CustomerID],Customers[City])</f>
        <v>Texas</v>
      </c>
      <c r="P1466" t="str">
        <f>_xlfn.XLOOKUP(Orders[[#This Row],[CustomerID]],Customers[CustomerID],Customers[Gender])</f>
        <v>Female</v>
      </c>
      <c r="Q1466">
        <f>_xlfn.XLOOKUP(Orders[[#This Row],[CustomerID]],Customers[CustomerID],Customers[CustomerAge])</f>
        <v>37</v>
      </c>
      <c r="R1466" t="str">
        <f>IF(Orders[[#This Row],[CustomerAge]]&gt;=35, "Older", "Young")</f>
        <v>Older</v>
      </c>
      <c r="S1466" t="str">
        <f>_xlfn.XLOOKUP(Orders[[#This Row],[ProductID]],Products[ProductID],Products[ProductName])</f>
        <v>Turtle Neck</v>
      </c>
      <c r="T1466" t="str">
        <f>_xlfn.XLOOKUP(Orders[[#This Row],[ProductID]],Products[ProductID],Products[Category])</f>
        <v>Clothing</v>
      </c>
    </row>
    <row r="1467" spans="1:20" x14ac:dyDescent="0.25">
      <c r="A1467" s="4" t="s">
        <v>1656</v>
      </c>
      <c r="B1467" s="5">
        <v>45939</v>
      </c>
      <c r="C1467" s="15">
        <f>WEEKNUM(Orders[[#This Row],[OrderDate]])</f>
        <v>41</v>
      </c>
      <c r="D1467" s="15" t="str">
        <f>TEXT(Orders[[#This Row],[OrderDate]],"mmmm")</f>
        <v>October</v>
      </c>
      <c r="E1467" s="4" t="s">
        <v>113</v>
      </c>
      <c r="F1467" s="4" t="s">
        <v>20</v>
      </c>
      <c r="G1467" s="4">
        <v>9</v>
      </c>
      <c r="H1467" s="12">
        <v>6977.4</v>
      </c>
      <c r="I1467" s="13">
        <v>5930.79</v>
      </c>
      <c r="J1467" s="13">
        <f>Orders[[#This Row],[Quantity]]*Orders[[#This Row],[Selling Price]]</f>
        <v>62796.6</v>
      </c>
      <c r="K1467" s="13">
        <f>Orders[[#This Row],[Quantity]]*Orders[[#This Row],[Cost Price]]</f>
        <v>53377.11</v>
      </c>
      <c r="L1467" s="13">
        <f>Orders[[#This Row],[Revenue]]-Orders[[#This Row],[Expenses]]</f>
        <v>9419.489999999998</v>
      </c>
      <c r="M1467" t="s">
        <v>2214</v>
      </c>
      <c r="N1467" t="str">
        <f>_xlfn.XLOOKUP(Orders[[#This Row],[CustomerID]],Customers[CustomerID],Customers[CustomerName])</f>
        <v>Uche Igwe</v>
      </c>
      <c r="O1467" t="str">
        <f>_xlfn.XLOOKUP(Orders[[#This Row],[CustomerID]],Customers[CustomerID],Customers[City])</f>
        <v>Texas</v>
      </c>
      <c r="P1467" t="str">
        <f>_xlfn.XLOOKUP(Orders[[#This Row],[CustomerID]],Customers[CustomerID],Customers[Gender])</f>
        <v>Male</v>
      </c>
      <c r="Q1467">
        <f>_xlfn.XLOOKUP(Orders[[#This Row],[CustomerID]],Customers[CustomerID],Customers[CustomerAge])</f>
        <v>35</v>
      </c>
      <c r="R1467" t="str">
        <f>IF(Orders[[#This Row],[CustomerAge]]&gt;=35, "Older", "Young")</f>
        <v>Older</v>
      </c>
      <c r="S1467" t="str">
        <f>_xlfn.XLOOKUP(Orders[[#This Row],[ProductID]],Products[ProductID],Products[ProductName])</f>
        <v>Gym Bag</v>
      </c>
      <c r="T1467" t="str">
        <f>_xlfn.XLOOKUP(Orders[[#This Row],[ProductID]],Products[ProductID],Products[Category])</f>
        <v>Gym</v>
      </c>
    </row>
    <row r="1468" spans="1:20" x14ac:dyDescent="0.25">
      <c r="A1468" s="4" t="s">
        <v>1657</v>
      </c>
      <c r="B1468" s="5">
        <v>46004</v>
      </c>
      <c r="C1468" s="15">
        <f>WEEKNUM(Orders[[#This Row],[OrderDate]])</f>
        <v>50</v>
      </c>
      <c r="D1468" s="15" t="str">
        <f>TEXT(Orders[[#This Row],[OrderDate]],"mmmm")</f>
        <v>December</v>
      </c>
      <c r="E1468" s="4" t="s">
        <v>291</v>
      </c>
      <c r="F1468" s="4" t="s">
        <v>81</v>
      </c>
      <c r="G1468" s="4">
        <v>3</v>
      </c>
      <c r="H1468" s="12">
        <v>8913.7999999999993</v>
      </c>
      <c r="I1468" s="13">
        <v>7576.73</v>
      </c>
      <c r="J1468" s="13">
        <f>Orders[[#This Row],[Quantity]]*Orders[[#This Row],[Selling Price]]</f>
        <v>26741.399999999998</v>
      </c>
      <c r="K1468" s="13">
        <f>Orders[[#This Row],[Quantity]]*Orders[[#This Row],[Cost Price]]</f>
        <v>22730.19</v>
      </c>
      <c r="L1468" s="13">
        <f>Orders[[#This Row],[Revenue]]-Orders[[#This Row],[Expenses]]</f>
        <v>4011.2099999999991</v>
      </c>
      <c r="M1468" t="s">
        <v>2216</v>
      </c>
      <c r="N1468" t="str">
        <f>_xlfn.XLOOKUP(Orders[[#This Row],[CustomerID]],Customers[CustomerID],Customers[CustomerName])</f>
        <v>Okon Igwe</v>
      </c>
      <c r="O1468" t="str">
        <f>_xlfn.XLOOKUP(Orders[[#This Row],[CustomerID]],Customers[CustomerID],Customers[City])</f>
        <v>Texas</v>
      </c>
      <c r="P1468" t="str">
        <f>_xlfn.XLOOKUP(Orders[[#This Row],[CustomerID]],Customers[CustomerID],Customers[Gender])</f>
        <v>Male</v>
      </c>
      <c r="Q1468">
        <f>_xlfn.XLOOKUP(Orders[[#This Row],[CustomerID]],Customers[CustomerID],Customers[CustomerAge])</f>
        <v>33</v>
      </c>
      <c r="R1468" t="str">
        <f>IF(Orders[[#This Row],[CustomerAge]]&gt;=35, "Older", "Young")</f>
        <v>Young</v>
      </c>
      <c r="S1468" t="str">
        <f>_xlfn.XLOOKUP(Orders[[#This Row],[ProductID]],Products[ProductID],Products[ProductName])</f>
        <v>Trousers</v>
      </c>
      <c r="T1468" t="str">
        <f>_xlfn.XLOOKUP(Orders[[#This Row],[ProductID]],Products[ProductID],Products[Category])</f>
        <v>Clothing</v>
      </c>
    </row>
    <row r="1469" spans="1:20" x14ac:dyDescent="0.25">
      <c r="A1469" s="4" t="s">
        <v>1658</v>
      </c>
      <c r="B1469" s="5">
        <v>45982</v>
      </c>
      <c r="C1469" s="15">
        <f>WEEKNUM(Orders[[#This Row],[OrderDate]])</f>
        <v>47</v>
      </c>
      <c r="D1469" s="15" t="str">
        <f>TEXT(Orders[[#This Row],[OrderDate]],"mmmm")</f>
        <v>November</v>
      </c>
      <c r="E1469" s="4" t="s">
        <v>552</v>
      </c>
      <c r="F1469" s="4" t="s">
        <v>31</v>
      </c>
      <c r="G1469" s="4">
        <v>6</v>
      </c>
      <c r="H1469" s="12">
        <v>7657.2000000000007</v>
      </c>
      <c r="I1469" s="13">
        <v>6508.6200000000008</v>
      </c>
      <c r="J1469" s="13">
        <f>Orders[[#This Row],[Quantity]]*Orders[[#This Row],[Selling Price]]</f>
        <v>45943.200000000004</v>
      </c>
      <c r="K1469" s="13">
        <f>Orders[[#This Row],[Quantity]]*Orders[[#This Row],[Cost Price]]</f>
        <v>39051.72</v>
      </c>
      <c r="L1469" s="13">
        <f>Orders[[#This Row],[Revenue]]-Orders[[#This Row],[Expenses]]</f>
        <v>6891.4800000000032</v>
      </c>
      <c r="M1469" t="s">
        <v>2219</v>
      </c>
      <c r="N1469" t="str">
        <f>_xlfn.XLOOKUP(Orders[[#This Row],[CustomerID]],Customers[CustomerID],Customers[CustomerName])</f>
        <v>Chioma Eze</v>
      </c>
      <c r="O1469" t="str">
        <f>_xlfn.XLOOKUP(Orders[[#This Row],[CustomerID]],Customers[CustomerID],Customers[City])</f>
        <v>Georgia</v>
      </c>
      <c r="P1469" t="str">
        <f>_xlfn.XLOOKUP(Orders[[#This Row],[CustomerID]],Customers[CustomerID],Customers[Gender])</f>
        <v>Female</v>
      </c>
      <c r="Q1469">
        <f>_xlfn.XLOOKUP(Orders[[#This Row],[CustomerID]],Customers[CustomerID],Customers[CustomerAge])</f>
        <v>40</v>
      </c>
      <c r="R1469" t="str">
        <f>IF(Orders[[#This Row],[CustomerAge]]&gt;=35, "Older", "Young")</f>
        <v>Older</v>
      </c>
      <c r="S1469" t="str">
        <f>_xlfn.XLOOKUP(Orders[[#This Row],[ProductID]],Products[ProductID],Products[ProductName])</f>
        <v>Kids Games</v>
      </c>
      <c r="T1469" t="str">
        <f>_xlfn.XLOOKUP(Orders[[#This Row],[ProductID]],Products[ProductID],Products[Category])</f>
        <v>Games</v>
      </c>
    </row>
    <row r="1470" spans="1:20" x14ac:dyDescent="0.25">
      <c r="A1470" s="4" t="s">
        <v>1659</v>
      </c>
      <c r="B1470" s="5">
        <v>45965</v>
      </c>
      <c r="C1470" s="15">
        <f>WEEKNUM(Orders[[#This Row],[OrderDate]])</f>
        <v>45</v>
      </c>
      <c r="D1470" s="15" t="str">
        <f>TEXT(Orders[[#This Row],[OrderDate]],"mmmm")</f>
        <v>November</v>
      </c>
      <c r="E1470" s="4" t="s">
        <v>352</v>
      </c>
      <c r="F1470" s="4" t="s">
        <v>208</v>
      </c>
      <c r="G1470" s="4">
        <v>4</v>
      </c>
      <c r="H1470" s="12">
        <v>10333.199999999999</v>
      </c>
      <c r="I1470" s="13">
        <v>8783.2199999999993</v>
      </c>
      <c r="J1470" s="13">
        <f>Orders[[#This Row],[Quantity]]*Orders[[#This Row],[Selling Price]]</f>
        <v>41332.799999999996</v>
      </c>
      <c r="K1470" s="13">
        <f>Orders[[#This Row],[Quantity]]*Orders[[#This Row],[Cost Price]]</f>
        <v>35132.879999999997</v>
      </c>
      <c r="L1470" s="13">
        <f>Orders[[#This Row],[Revenue]]-Orders[[#This Row],[Expenses]]</f>
        <v>6199.9199999999983</v>
      </c>
      <c r="M1470" t="s">
        <v>2203</v>
      </c>
      <c r="N1470" t="str">
        <f>_xlfn.XLOOKUP(Orders[[#This Row],[CustomerID]],Customers[CustomerID],Customers[CustomerName])</f>
        <v>Zainab Eze</v>
      </c>
      <c r="O1470" t="str">
        <f>_xlfn.XLOOKUP(Orders[[#This Row],[CustomerID]],Customers[CustomerID],Customers[City])</f>
        <v>Texas</v>
      </c>
      <c r="P1470" t="str">
        <f>_xlfn.XLOOKUP(Orders[[#This Row],[CustomerID]],Customers[CustomerID],Customers[Gender])</f>
        <v>Female</v>
      </c>
      <c r="Q1470">
        <f>_xlfn.XLOOKUP(Orders[[#This Row],[CustomerID]],Customers[CustomerID],Customers[CustomerAge])</f>
        <v>40</v>
      </c>
      <c r="R1470" t="str">
        <f>IF(Orders[[#This Row],[CustomerAge]]&gt;=35, "Older", "Young")</f>
        <v>Older</v>
      </c>
      <c r="S1470" t="str">
        <f>_xlfn.XLOOKUP(Orders[[#This Row],[ProductID]],Products[ProductID],Products[ProductName])</f>
        <v>Skipping Rope</v>
      </c>
      <c r="T1470" t="str">
        <f>_xlfn.XLOOKUP(Orders[[#This Row],[ProductID]],Products[ProductID],Products[Category])</f>
        <v>Sports</v>
      </c>
    </row>
    <row r="1471" spans="1:20" x14ac:dyDescent="0.25">
      <c r="A1471" s="4" t="s">
        <v>1660</v>
      </c>
      <c r="B1471" s="5">
        <v>45992</v>
      </c>
      <c r="C1471" s="15">
        <f>WEEKNUM(Orders[[#This Row],[OrderDate]])</f>
        <v>49</v>
      </c>
      <c r="D1471" s="15" t="str">
        <f>TEXT(Orders[[#This Row],[OrderDate]],"mmmm")</f>
        <v>December</v>
      </c>
      <c r="E1471" s="4" t="s">
        <v>502</v>
      </c>
      <c r="F1471" s="4" t="s">
        <v>92</v>
      </c>
      <c r="G1471" s="4">
        <v>5</v>
      </c>
      <c r="H1471" s="12">
        <v>10015.5</v>
      </c>
      <c r="I1471" s="13">
        <v>8513.1749999999993</v>
      </c>
      <c r="J1471" s="13">
        <f>Orders[[#This Row],[Quantity]]*Orders[[#This Row],[Selling Price]]</f>
        <v>50077.5</v>
      </c>
      <c r="K1471" s="13">
        <f>Orders[[#This Row],[Quantity]]*Orders[[#This Row],[Cost Price]]</f>
        <v>42565.875</v>
      </c>
      <c r="L1471" s="13">
        <f>Orders[[#This Row],[Revenue]]-Orders[[#This Row],[Expenses]]</f>
        <v>7511.625</v>
      </c>
      <c r="M1471" t="s">
        <v>2195</v>
      </c>
      <c r="N1471" t="str">
        <f>_xlfn.XLOOKUP(Orders[[#This Row],[CustomerID]],Customers[CustomerID],Customers[CustomerName])</f>
        <v>Obi Eze</v>
      </c>
      <c r="O1471" t="str">
        <f>_xlfn.XLOOKUP(Orders[[#This Row],[CustomerID]],Customers[CustomerID],Customers[City])</f>
        <v>Texas</v>
      </c>
      <c r="P1471" t="str">
        <f>_xlfn.XLOOKUP(Orders[[#This Row],[CustomerID]],Customers[CustomerID],Customers[Gender])</f>
        <v>Male</v>
      </c>
      <c r="Q1471">
        <f>_xlfn.XLOOKUP(Orders[[#This Row],[CustomerID]],Customers[CustomerID],Customers[CustomerAge])</f>
        <v>24</v>
      </c>
      <c r="R1471" t="str">
        <f>IF(Orders[[#This Row],[CustomerAge]]&gt;=35, "Older", "Young")</f>
        <v>Young</v>
      </c>
      <c r="S1471" t="str">
        <f>_xlfn.XLOOKUP(Orders[[#This Row],[ProductID]],Products[ProductID],Products[ProductName])</f>
        <v>Chest Expander</v>
      </c>
      <c r="T1471" t="str">
        <f>_xlfn.XLOOKUP(Orders[[#This Row],[ProductID]],Products[ProductID],Products[Category])</f>
        <v>Gym</v>
      </c>
    </row>
    <row r="1472" spans="1:20" x14ac:dyDescent="0.25">
      <c r="A1472" s="4" t="s">
        <v>1661</v>
      </c>
      <c r="B1472" s="5">
        <v>45998</v>
      </c>
      <c r="C1472" s="15">
        <f>WEEKNUM(Orders[[#This Row],[OrderDate]])</f>
        <v>50</v>
      </c>
      <c r="D1472" s="15" t="str">
        <f>TEXT(Orders[[#This Row],[OrderDate]],"mmmm")</f>
        <v>December</v>
      </c>
      <c r="E1472" s="4" t="s">
        <v>96</v>
      </c>
      <c r="F1472" s="4" t="s">
        <v>208</v>
      </c>
      <c r="G1472" s="4">
        <v>6</v>
      </c>
      <c r="H1472" s="12">
        <v>6234.4000000000005</v>
      </c>
      <c r="I1472" s="13">
        <v>5299.2400000000007</v>
      </c>
      <c r="J1472" s="13">
        <f>Orders[[#This Row],[Quantity]]*Orders[[#This Row],[Selling Price]]</f>
        <v>37406.400000000001</v>
      </c>
      <c r="K1472" s="13">
        <f>Orders[[#This Row],[Quantity]]*Orders[[#This Row],[Cost Price]]</f>
        <v>31795.440000000002</v>
      </c>
      <c r="L1472" s="13">
        <f>Orders[[#This Row],[Revenue]]-Orders[[#This Row],[Expenses]]</f>
        <v>5610.9599999999991</v>
      </c>
      <c r="M1472" t="s">
        <v>2208</v>
      </c>
      <c r="N1472" t="str">
        <f>_xlfn.XLOOKUP(Orders[[#This Row],[CustomerID]],Customers[CustomerID],Customers[CustomerName])</f>
        <v>Amina Abubakar</v>
      </c>
      <c r="O1472" t="str">
        <f>_xlfn.XLOOKUP(Orders[[#This Row],[CustomerID]],Customers[CustomerID],Customers[City])</f>
        <v>Texas</v>
      </c>
      <c r="P1472" t="str">
        <f>_xlfn.XLOOKUP(Orders[[#This Row],[CustomerID]],Customers[CustomerID],Customers[Gender])</f>
        <v>Female</v>
      </c>
      <c r="Q1472">
        <f>_xlfn.XLOOKUP(Orders[[#This Row],[CustomerID]],Customers[CustomerID],Customers[CustomerAge])</f>
        <v>35</v>
      </c>
      <c r="R1472" t="str">
        <f>IF(Orders[[#This Row],[CustomerAge]]&gt;=35, "Older", "Young")</f>
        <v>Older</v>
      </c>
      <c r="S1472" t="str">
        <f>_xlfn.XLOOKUP(Orders[[#This Row],[ProductID]],Products[ProductID],Products[ProductName])</f>
        <v>Skipping Rope</v>
      </c>
      <c r="T1472" t="str">
        <f>_xlfn.XLOOKUP(Orders[[#This Row],[ProductID]],Products[ProductID],Products[Category])</f>
        <v>Sports</v>
      </c>
    </row>
    <row r="1473" spans="1:20" x14ac:dyDescent="0.25">
      <c r="A1473" s="4" t="s">
        <v>1662</v>
      </c>
      <c r="B1473" s="5">
        <v>45948</v>
      </c>
      <c r="C1473" s="15">
        <f>WEEKNUM(Orders[[#This Row],[OrderDate]])</f>
        <v>42</v>
      </c>
      <c r="D1473" s="15" t="str">
        <f>TEXT(Orders[[#This Row],[OrderDate]],"mmmm")</f>
        <v>October</v>
      </c>
      <c r="E1473" s="4" t="s">
        <v>340</v>
      </c>
      <c r="F1473" s="4" t="s">
        <v>70</v>
      </c>
      <c r="G1473" s="4">
        <v>2</v>
      </c>
      <c r="H1473" s="12">
        <v>14664</v>
      </c>
      <c r="I1473" s="13">
        <v>12464.4</v>
      </c>
      <c r="J1473" s="13">
        <f>Orders[[#This Row],[Quantity]]*Orders[[#This Row],[Selling Price]]</f>
        <v>29328</v>
      </c>
      <c r="K1473" s="13">
        <f>Orders[[#This Row],[Quantity]]*Orders[[#This Row],[Cost Price]]</f>
        <v>24928.799999999999</v>
      </c>
      <c r="L1473" s="13">
        <f>Orders[[#This Row],[Revenue]]-Orders[[#This Row],[Expenses]]</f>
        <v>4399.2000000000007</v>
      </c>
      <c r="M1473" t="s">
        <v>2211</v>
      </c>
      <c r="N1473" t="str">
        <f>_xlfn.XLOOKUP(Orders[[#This Row],[CustomerID]],Customers[CustomerID],Customers[CustomerName])</f>
        <v>Uche Abubakar</v>
      </c>
      <c r="O1473" t="str">
        <f>_xlfn.XLOOKUP(Orders[[#This Row],[CustomerID]],Customers[CustomerID],Customers[City])</f>
        <v>Illinois</v>
      </c>
      <c r="P1473" t="str">
        <f>_xlfn.XLOOKUP(Orders[[#This Row],[CustomerID]],Customers[CustomerID],Customers[Gender])</f>
        <v>Male</v>
      </c>
      <c r="Q1473">
        <f>_xlfn.XLOOKUP(Orders[[#This Row],[CustomerID]],Customers[CustomerID],Customers[CustomerAge])</f>
        <v>18</v>
      </c>
      <c r="R1473" t="str">
        <f>IF(Orders[[#This Row],[CustomerAge]]&gt;=35, "Older", "Young")</f>
        <v>Young</v>
      </c>
      <c r="S1473" t="str">
        <f>_xlfn.XLOOKUP(Orders[[#This Row],[ProductID]],Products[ProductID],Products[ProductName])</f>
        <v>Yoga Mat</v>
      </c>
      <c r="T1473" t="str">
        <f>_xlfn.XLOOKUP(Orders[[#This Row],[ProductID]],Products[ProductID],Products[Category])</f>
        <v>Gym</v>
      </c>
    </row>
    <row r="1474" spans="1:20" x14ac:dyDescent="0.25">
      <c r="A1474" s="4" t="s">
        <v>1663</v>
      </c>
      <c r="B1474" s="5">
        <v>45988</v>
      </c>
      <c r="C1474" s="15">
        <f>WEEKNUM(Orders[[#This Row],[OrderDate]])</f>
        <v>48</v>
      </c>
      <c r="D1474" s="15" t="str">
        <f>TEXT(Orders[[#This Row],[OrderDate]],"mmmm")</f>
        <v>November</v>
      </c>
      <c r="E1474" s="4" t="s">
        <v>388</v>
      </c>
      <c r="F1474" s="4" t="s">
        <v>76</v>
      </c>
      <c r="G1474" s="4">
        <v>3</v>
      </c>
      <c r="H1474" s="12">
        <v>5008.3999999999996</v>
      </c>
      <c r="I1474" s="13">
        <v>4257.1399999999994</v>
      </c>
      <c r="J1474" s="13">
        <f>Orders[[#This Row],[Quantity]]*Orders[[#This Row],[Selling Price]]</f>
        <v>15025.199999999999</v>
      </c>
      <c r="K1474" s="13">
        <f>Orders[[#This Row],[Quantity]]*Orders[[#This Row],[Cost Price]]</f>
        <v>12771.419999999998</v>
      </c>
      <c r="L1474" s="13">
        <f>Orders[[#This Row],[Revenue]]-Orders[[#This Row],[Expenses]]</f>
        <v>2253.7800000000007</v>
      </c>
      <c r="M1474" t="s">
        <v>2192</v>
      </c>
      <c r="N1474" t="str">
        <f>_xlfn.XLOOKUP(Orders[[#This Row],[CustomerID]],Customers[CustomerID],Customers[CustomerName])</f>
        <v>Folasade Okonkwo</v>
      </c>
      <c r="O1474" t="str">
        <f>_xlfn.XLOOKUP(Orders[[#This Row],[CustomerID]],Customers[CustomerID],Customers[City])</f>
        <v>Washington</v>
      </c>
      <c r="P1474" t="str">
        <f>_xlfn.XLOOKUP(Orders[[#This Row],[CustomerID]],Customers[CustomerID],Customers[Gender])</f>
        <v>Female</v>
      </c>
      <c r="Q1474">
        <f>_xlfn.XLOOKUP(Orders[[#This Row],[CustomerID]],Customers[CustomerID],Customers[CustomerAge])</f>
        <v>52</v>
      </c>
      <c r="R1474" t="str">
        <f>IF(Orders[[#This Row],[CustomerAge]]&gt;=35, "Older", "Young")</f>
        <v>Older</v>
      </c>
      <c r="S1474" t="str">
        <f>_xlfn.XLOOKUP(Orders[[#This Row],[ProductID]],Products[ProductID],Products[ProductName])</f>
        <v>Blender</v>
      </c>
      <c r="T1474" t="str">
        <f>_xlfn.XLOOKUP(Orders[[#This Row],[ProductID]],Products[ProductID],Products[Category])</f>
        <v>Electronics</v>
      </c>
    </row>
    <row r="1475" spans="1:20" x14ac:dyDescent="0.25">
      <c r="A1475" s="4" t="s">
        <v>1664</v>
      </c>
      <c r="B1475" s="5">
        <v>46003</v>
      </c>
      <c r="C1475" s="15">
        <f>WEEKNUM(Orders[[#This Row],[OrderDate]])</f>
        <v>50</v>
      </c>
      <c r="D1475" s="15" t="str">
        <f>TEXT(Orders[[#This Row],[OrderDate]],"mmmm")</f>
        <v>December</v>
      </c>
      <c r="E1475" s="4" t="s">
        <v>68</v>
      </c>
      <c r="F1475" s="4" t="s">
        <v>15</v>
      </c>
      <c r="G1475" s="4">
        <v>7</v>
      </c>
      <c r="H1475" s="12">
        <v>11077.2</v>
      </c>
      <c r="I1475" s="13">
        <v>9415.6200000000008</v>
      </c>
      <c r="J1475" s="13">
        <f>Orders[[#This Row],[Quantity]]*Orders[[#This Row],[Selling Price]]</f>
        <v>77540.400000000009</v>
      </c>
      <c r="K1475" s="13">
        <f>Orders[[#This Row],[Quantity]]*Orders[[#This Row],[Cost Price]]</f>
        <v>65909.340000000011</v>
      </c>
      <c r="L1475" s="13">
        <f>Orders[[#This Row],[Revenue]]-Orders[[#This Row],[Expenses]]</f>
        <v>11631.059999999998</v>
      </c>
      <c r="M1475" t="s">
        <v>2197</v>
      </c>
      <c r="N1475" t="str">
        <f>_xlfn.XLOOKUP(Orders[[#This Row],[CustomerID]],Customers[CustomerID],Customers[CustomerName])</f>
        <v>Abiola Balogun</v>
      </c>
      <c r="O1475" t="str">
        <f>_xlfn.XLOOKUP(Orders[[#This Row],[CustomerID]],Customers[CustomerID],Customers[City])</f>
        <v>Texas</v>
      </c>
      <c r="P1475" t="str">
        <f>_xlfn.XLOOKUP(Orders[[#This Row],[CustomerID]],Customers[CustomerID],Customers[Gender])</f>
        <v>Male</v>
      </c>
      <c r="Q1475">
        <f>_xlfn.XLOOKUP(Orders[[#This Row],[CustomerID]],Customers[CustomerID],Customers[CustomerAge])</f>
        <v>29</v>
      </c>
      <c r="R1475" t="str">
        <f>IF(Orders[[#This Row],[CustomerAge]]&gt;=35, "Older", "Young")</f>
        <v>Young</v>
      </c>
      <c r="S1475" t="str">
        <f>_xlfn.XLOOKUP(Orders[[#This Row],[ProductID]],Products[ProductID],Products[ProductName])</f>
        <v>Monopoly</v>
      </c>
      <c r="T1475" t="str">
        <f>_xlfn.XLOOKUP(Orders[[#This Row],[ProductID]],Products[ProductID],Products[Category])</f>
        <v>Games</v>
      </c>
    </row>
    <row r="1476" spans="1:20" x14ac:dyDescent="0.25">
      <c r="A1476" s="4" t="s">
        <v>1665</v>
      </c>
      <c r="B1476" s="5">
        <v>45977</v>
      </c>
      <c r="C1476" s="15">
        <f>WEEKNUM(Orders[[#This Row],[OrderDate]])</f>
        <v>47</v>
      </c>
      <c r="D1476" s="15" t="str">
        <f>TEXT(Orders[[#This Row],[OrderDate]],"mmmm")</f>
        <v>November</v>
      </c>
      <c r="E1476" s="4" t="s">
        <v>293</v>
      </c>
      <c r="F1476" s="4" t="s">
        <v>111</v>
      </c>
      <c r="G1476" s="4">
        <v>1</v>
      </c>
      <c r="H1476" s="12">
        <v>16847.5</v>
      </c>
      <c r="I1476" s="13">
        <v>14320.375</v>
      </c>
      <c r="J1476" s="13">
        <f>Orders[[#This Row],[Quantity]]*Orders[[#This Row],[Selling Price]]</f>
        <v>16847.5</v>
      </c>
      <c r="K1476" s="13">
        <f>Orders[[#This Row],[Quantity]]*Orders[[#This Row],[Cost Price]]</f>
        <v>14320.375</v>
      </c>
      <c r="L1476" s="13">
        <f>Orders[[#This Row],[Revenue]]-Orders[[#This Row],[Expenses]]</f>
        <v>2527.125</v>
      </c>
      <c r="M1476" t="s">
        <v>2199</v>
      </c>
      <c r="N1476" t="str">
        <f>_xlfn.XLOOKUP(Orders[[#This Row],[CustomerID]],Customers[CustomerID],Customers[CustomerName])</f>
        <v>Tunde Eze</v>
      </c>
      <c r="O1476" t="str">
        <f>_xlfn.XLOOKUP(Orders[[#This Row],[CustomerID]],Customers[CustomerID],Customers[City])</f>
        <v>Florida</v>
      </c>
      <c r="P1476" t="str">
        <f>_xlfn.XLOOKUP(Orders[[#This Row],[CustomerID]],Customers[CustomerID],Customers[Gender])</f>
        <v>Male</v>
      </c>
      <c r="Q1476">
        <f>_xlfn.XLOOKUP(Orders[[#This Row],[CustomerID]],Customers[CustomerID],Customers[CustomerAge])</f>
        <v>46</v>
      </c>
      <c r="R1476" t="str">
        <f>IF(Orders[[#This Row],[CustomerAge]]&gt;=35, "Older", "Young")</f>
        <v>Older</v>
      </c>
      <c r="S1476" t="str">
        <f>_xlfn.XLOOKUP(Orders[[#This Row],[ProductID]],Products[ProductID],Products[ProductName])</f>
        <v>Refrigerator</v>
      </c>
      <c r="T1476" t="str">
        <f>_xlfn.XLOOKUP(Orders[[#This Row],[ProductID]],Products[ProductID],Products[Category])</f>
        <v>Electronics</v>
      </c>
    </row>
    <row r="1477" spans="1:20" x14ac:dyDescent="0.25">
      <c r="A1477" s="4" t="s">
        <v>1666</v>
      </c>
      <c r="B1477" s="5">
        <v>45973</v>
      </c>
      <c r="C1477" s="15">
        <f>WEEKNUM(Orders[[#This Row],[OrderDate]])</f>
        <v>46</v>
      </c>
      <c r="D1477" s="15" t="str">
        <f>TEXT(Orders[[#This Row],[OrderDate]],"mmmm")</f>
        <v>November</v>
      </c>
      <c r="E1477" s="4" t="s">
        <v>83</v>
      </c>
      <c r="F1477" s="4" t="s">
        <v>353</v>
      </c>
      <c r="G1477" s="4">
        <v>4</v>
      </c>
      <c r="H1477" s="12">
        <v>15100.599999999999</v>
      </c>
      <c r="I1477" s="13">
        <v>12835.509999999998</v>
      </c>
      <c r="J1477" s="13">
        <f>Orders[[#This Row],[Quantity]]*Orders[[#This Row],[Selling Price]]</f>
        <v>60402.399999999994</v>
      </c>
      <c r="K1477" s="13">
        <f>Orders[[#This Row],[Quantity]]*Orders[[#This Row],[Cost Price]]</f>
        <v>51342.039999999994</v>
      </c>
      <c r="L1477" s="13">
        <f>Orders[[#This Row],[Revenue]]-Orders[[#This Row],[Expenses]]</f>
        <v>9060.36</v>
      </c>
      <c r="M1477" t="s">
        <v>2208</v>
      </c>
      <c r="N1477" t="str">
        <f>_xlfn.XLOOKUP(Orders[[#This Row],[CustomerID]],Customers[CustomerID],Customers[CustomerName])</f>
        <v>Funke Danladi</v>
      </c>
      <c r="O1477" t="str">
        <f>_xlfn.XLOOKUP(Orders[[#This Row],[CustomerID]],Customers[CustomerID],Customers[City])</f>
        <v>Florida</v>
      </c>
      <c r="P1477" t="str">
        <f>_xlfn.XLOOKUP(Orders[[#This Row],[CustomerID]],Customers[CustomerID],Customers[Gender])</f>
        <v>Female</v>
      </c>
      <c r="Q1477">
        <f>_xlfn.XLOOKUP(Orders[[#This Row],[CustomerID]],Customers[CustomerID],Customers[CustomerAge])</f>
        <v>26</v>
      </c>
      <c r="R1477" t="str">
        <f>IF(Orders[[#This Row],[CustomerAge]]&gt;=35, "Older", "Young")</f>
        <v>Young</v>
      </c>
      <c r="S1477" t="str">
        <f>_xlfn.XLOOKUP(Orders[[#This Row],[ProductID]],Products[ProductID],Products[ProductName])</f>
        <v>Silver Earrings And Necklaces</v>
      </c>
      <c r="T1477" t="str">
        <f>_xlfn.XLOOKUP(Orders[[#This Row],[ProductID]],Products[ProductID],Products[Category])</f>
        <v>Accessories</v>
      </c>
    </row>
    <row r="1478" spans="1:20" x14ac:dyDescent="0.25">
      <c r="A1478" s="4" t="s">
        <v>1667</v>
      </c>
      <c r="B1478" s="5">
        <v>45977</v>
      </c>
      <c r="C1478" s="15">
        <f>WEEKNUM(Orders[[#This Row],[OrderDate]])</f>
        <v>47</v>
      </c>
      <c r="D1478" s="15" t="str">
        <f>TEXT(Orders[[#This Row],[OrderDate]],"mmmm")</f>
        <v>November</v>
      </c>
      <c r="E1478" s="4" t="s">
        <v>8</v>
      </c>
      <c r="F1478" s="4" t="s">
        <v>34</v>
      </c>
      <c r="G1478" s="4">
        <v>1</v>
      </c>
      <c r="H1478" s="12">
        <v>4373</v>
      </c>
      <c r="I1478" s="13">
        <v>3717.05</v>
      </c>
      <c r="J1478" s="13">
        <f>Orders[[#This Row],[Quantity]]*Orders[[#This Row],[Selling Price]]</f>
        <v>4373</v>
      </c>
      <c r="K1478" s="13">
        <f>Orders[[#This Row],[Quantity]]*Orders[[#This Row],[Cost Price]]</f>
        <v>3717.05</v>
      </c>
      <c r="L1478" s="13">
        <f>Orders[[#This Row],[Revenue]]-Orders[[#This Row],[Expenses]]</f>
        <v>655.94999999999982</v>
      </c>
      <c r="M1478" t="s">
        <v>2192</v>
      </c>
      <c r="N1478" t="str">
        <f>_xlfn.XLOOKUP(Orders[[#This Row],[CustomerID]],Customers[CustomerID],Customers[CustomerName])</f>
        <v>Bi si Bello</v>
      </c>
      <c r="O1478" t="str">
        <f>_xlfn.XLOOKUP(Orders[[#This Row],[CustomerID]],Customers[CustomerID],Customers[City])</f>
        <v>Washington</v>
      </c>
      <c r="P1478" t="str">
        <f>_xlfn.XLOOKUP(Orders[[#This Row],[CustomerID]],Customers[CustomerID],Customers[Gender])</f>
        <v>Female</v>
      </c>
      <c r="Q1478">
        <f>_xlfn.XLOOKUP(Orders[[#This Row],[CustomerID]],Customers[CustomerID],Customers[CustomerAge])</f>
        <v>38</v>
      </c>
      <c r="R1478" t="str">
        <f>IF(Orders[[#This Row],[CustomerAge]]&gt;=35, "Older", "Young")</f>
        <v>Older</v>
      </c>
      <c r="S1478" t="str">
        <f>_xlfn.XLOOKUP(Orders[[#This Row],[ProductID]],Products[ProductID],Products[ProductName])</f>
        <v>Gold Bracelets</v>
      </c>
      <c r="T1478" t="str">
        <f>_xlfn.XLOOKUP(Orders[[#This Row],[ProductID]],Products[ProductID],Products[Category])</f>
        <v>Accessories</v>
      </c>
    </row>
    <row r="1479" spans="1:20" x14ac:dyDescent="0.25">
      <c r="A1479" s="4" t="s">
        <v>1668</v>
      </c>
      <c r="B1479" s="5">
        <v>46011</v>
      </c>
      <c r="C1479" s="15">
        <f>WEEKNUM(Orders[[#This Row],[OrderDate]])</f>
        <v>51</v>
      </c>
      <c r="D1479" s="15" t="str">
        <f>TEXT(Orders[[#This Row],[OrderDate]],"mmmm")</f>
        <v>December</v>
      </c>
      <c r="E1479" s="4" t="s">
        <v>252</v>
      </c>
      <c r="F1479" s="4" t="s">
        <v>37</v>
      </c>
      <c r="G1479" s="4">
        <v>10</v>
      </c>
      <c r="H1479" s="12">
        <v>4981.5</v>
      </c>
      <c r="I1479" s="13">
        <v>4234.2749999999996</v>
      </c>
      <c r="J1479" s="13">
        <f>Orders[[#This Row],[Quantity]]*Orders[[#This Row],[Selling Price]]</f>
        <v>49815</v>
      </c>
      <c r="K1479" s="13">
        <f>Orders[[#This Row],[Quantity]]*Orders[[#This Row],[Cost Price]]</f>
        <v>42342.75</v>
      </c>
      <c r="L1479" s="13">
        <f>Orders[[#This Row],[Revenue]]-Orders[[#This Row],[Expenses]]</f>
        <v>7472.25</v>
      </c>
      <c r="M1479" t="s">
        <v>2208</v>
      </c>
      <c r="N1479" t="str">
        <f>_xlfn.XLOOKUP(Orders[[#This Row],[CustomerID]],Customers[CustomerID],Customers[CustomerName])</f>
        <v>Chioma Adeyemi</v>
      </c>
      <c r="O1479" t="str">
        <f>_xlfn.XLOOKUP(Orders[[#This Row],[CustomerID]],Customers[CustomerID],Customers[City])</f>
        <v>Texas</v>
      </c>
      <c r="P1479" t="str">
        <f>_xlfn.XLOOKUP(Orders[[#This Row],[CustomerID]],Customers[CustomerID],Customers[Gender])</f>
        <v>Female</v>
      </c>
      <c r="Q1479">
        <f>_xlfn.XLOOKUP(Orders[[#This Row],[CustomerID]],Customers[CustomerID],Customers[CustomerAge])</f>
        <v>20</v>
      </c>
      <c r="R1479" t="str">
        <f>IF(Orders[[#This Row],[CustomerAge]]&gt;=35, "Older", "Young")</f>
        <v>Young</v>
      </c>
      <c r="S1479" t="str">
        <f>_xlfn.XLOOKUP(Orders[[#This Row],[ProductID]],Products[ProductID],Products[ProductName])</f>
        <v>Iron</v>
      </c>
      <c r="T1479" t="str">
        <f>_xlfn.XLOOKUP(Orders[[#This Row],[ProductID]],Products[ProductID],Products[Category])</f>
        <v>Electronics</v>
      </c>
    </row>
    <row r="1480" spans="1:20" x14ac:dyDescent="0.25">
      <c r="A1480" s="4" t="s">
        <v>1669</v>
      </c>
      <c r="B1480" s="5">
        <v>45995</v>
      </c>
      <c r="C1480" s="15">
        <f>WEEKNUM(Orders[[#This Row],[OrderDate]])</f>
        <v>49</v>
      </c>
      <c r="D1480" s="15" t="str">
        <f>TEXT(Orders[[#This Row],[OrderDate]],"mmmm")</f>
        <v>December</v>
      </c>
      <c r="E1480" s="4" t="s">
        <v>216</v>
      </c>
      <c r="F1480" s="4" t="s">
        <v>34</v>
      </c>
      <c r="G1480" s="4">
        <v>2</v>
      </c>
      <c r="H1480" s="12">
        <v>11496.800000000001</v>
      </c>
      <c r="I1480" s="13">
        <v>9772.2800000000007</v>
      </c>
      <c r="J1480" s="13">
        <f>Orders[[#This Row],[Quantity]]*Orders[[#This Row],[Selling Price]]</f>
        <v>22993.600000000002</v>
      </c>
      <c r="K1480" s="13">
        <f>Orders[[#This Row],[Quantity]]*Orders[[#This Row],[Cost Price]]</f>
        <v>19544.560000000001</v>
      </c>
      <c r="L1480" s="13">
        <f>Orders[[#This Row],[Revenue]]-Orders[[#This Row],[Expenses]]</f>
        <v>3449.0400000000009</v>
      </c>
      <c r="M1480" t="s">
        <v>2220</v>
      </c>
      <c r="N1480" t="str">
        <f>_xlfn.XLOOKUP(Orders[[#This Row],[CustomerID]],Customers[CustomerID],Customers[CustomerName])</f>
        <v>Ngozi Obi</v>
      </c>
      <c r="O1480" t="str">
        <f>_xlfn.XLOOKUP(Orders[[#This Row],[CustomerID]],Customers[CustomerID],Customers[City])</f>
        <v>California</v>
      </c>
      <c r="P1480" t="str">
        <f>_xlfn.XLOOKUP(Orders[[#This Row],[CustomerID]],Customers[CustomerID],Customers[Gender])</f>
        <v>Female</v>
      </c>
      <c r="Q1480">
        <f>_xlfn.XLOOKUP(Orders[[#This Row],[CustomerID]],Customers[CustomerID],Customers[CustomerAge])</f>
        <v>54</v>
      </c>
      <c r="R1480" t="str">
        <f>IF(Orders[[#This Row],[CustomerAge]]&gt;=35, "Older", "Young")</f>
        <v>Older</v>
      </c>
      <c r="S1480" t="str">
        <f>_xlfn.XLOOKUP(Orders[[#This Row],[ProductID]],Products[ProductID],Products[ProductName])</f>
        <v>Gold Bracelets</v>
      </c>
      <c r="T1480" t="str">
        <f>_xlfn.XLOOKUP(Orders[[#This Row],[ProductID]],Products[ProductID],Products[Category])</f>
        <v>Accessories</v>
      </c>
    </row>
    <row r="1481" spans="1:20" x14ac:dyDescent="0.25">
      <c r="A1481" s="4" t="s">
        <v>1670</v>
      </c>
      <c r="B1481" s="5">
        <v>45932</v>
      </c>
      <c r="C1481" s="15">
        <f>WEEKNUM(Orders[[#This Row],[OrderDate]])</f>
        <v>40</v>
      </c>
      <c r="D1481" s="15" t="str">
        <f>TEXT(Orders[[#This Row],[OrderDate]],"mmmm")</f>
        <v>October</v>
      </c>
      <c r="E1481" s="4" t="s">
        <v>264</v>
      </c>
      <c r="F1481" s="4" t="s">
        <v>60</v>
      </c>
      <c r="G1481" s="4">
        <v>1</v>
      </c>
      <c r="H1481" s="12">
        <v>2180.3000000000002</v>
      </c>
      <c r="I1481" s="13">
        <v>1853.2550000000001</v>
      </c>
      <c r="J1481" s="13">
        <f>Orders[[#This Row],[Quantity]]*Orders[[#This Row],[Selling Price]]</f>
        <v>2180.3000000000002</v>
      </c>
      <c r="K1481" s="13">
        <f>Orders[[#This Row],[Quantity]]*Orders[[#This Row],[Cost Price]]</f>
        <v>1853.2550000000001</v>
      </c>
      <c r="L1481" s="13">
        <f>Orders[[#This Row],[Revenue]]-Orders[[#This Row],[Expenses]]</f>
        <v>327.04500000000007</v>
      </c>
      <c r="M1481" t="s">
        <v>2201</v>
      </c>
      <c r="N1481" t="str">
        <f>_xlfn.XLOOKUP(Orders[[#This Row],[CustomerID]],Customers[CustomerID],Customers[CustomerName])</f>
        <v>Ronke Adeyemi</v>
      </c>
      <c r="O1481" t="str">
        <f>_xlfn.XLOOKUP(Orders[[#This Row],[CustomerID]],Customers[CustomerID],Customers[City])</f>
        <v>Georgia</v>
      </c>
      <c r="P1481" t="str">
        <f>_xlfn.XLOOKUP(Orders[[#This Row],[CustomerID]],Customers[CustomerID],Customers[Gender])</f>
        <v>Female</v>
      </c>
      <c r="Q1481">
        <f>_xlfn.XLOOKUP(Orders[[#This Row],[CustomerID]],Customers[CustomerID],Customers[CustomerAge])</f>
        <v>19</v>
      </c>
      <c r="R1481" t="str">
        <f>IF(Orders[[#This Row],[CustomerAge]]&gt;=35, "Older", "Young")</f>
        <v>Young</v>
      </c>
      <c r="S1481" t="str">
        <f>_xlfn.XLOOKUP(Orders[[#This Row],[ProductID]],Products[ProductID],Products[ProductName])</f>
        <v>Silver Rings</v>
      </c>
      <c r="T1481" t="str">
        <f>_xlfn.XLOOKUP(Orders[[#This Row],[ProductID]],Products[ProductID],Products[Category])</f>
        <v>Accessories</v>
      </c>
    </row>
    <row r="1482" spans="1:20" x14ac:dyDescent="0.25">
      <c r="A1482" s="4" t="s">
        <v>1671</v>
      </c>
      <c r="B1482" s="5">
        <v>45935</v>
      </c>
      <c r="C1482" s="15">
        <f>WEEKNUM(Orders[[#This Row],[OrderDate]])</f>
        <v>41</v>
      </c>
      <c r="D1482" s="15" t="str">
        <f>TEXT(Orders[[#This Row],[OrderDate]],"mmmm")</f>
        <v>October</v>
      </c>
      <c r="E1482" s="4" t="s">
        <v>546</v>
      </c>
      <c r="F1482" s="4" t="s">
        <v>125</v>
      </c>
      <c r="G1482" s="4">
        <v>4</v>
      </c>
      <c r="H1482" s="12">
        <v>11262.4</v>
      </c>
      <c r="I1482" s="13">
        <v>9573.0399999999991</v>
      </c>
      <c r="J1482" s="13">
        <f>Orders[[#This Row],[Quantity]]*Orders[[#This Row],[Selling Price]]</f>
        <v>45049.599999999999</v>
      </c>
      <c r="K1482" s="13">
        <f>Orders[[#This Row],[Quantity]]*Orders[[#This Row],[Cost Price]]</f>
        <v>38292.159999999996</v>
      </c>
      <c r="L1482" s="13">
        <f>Orders[[#This Row],[Revenue]]-Orders[[#This Row],[Expenses]]</f>
        <v>6757.4400000000023</v>
      </c>
      <c r="M1482" t="s">
        <v>2194</v>
      </c>
      <c r="N1482" t="str">
        <f>_xlfn.XLOOKUP(Orders[[#This Row],[CustomerID]],Customers[CustomerID],Customers[CustomerName])</f>
        <v>Bisi Eze</v>
      </c>
      <c r="O1482" t="str">
        <f>_xlfn.XLOOKUP(Orders[[#This Row],[CustomerID]],Customers[CustomerID],Customers[City])</f>
        <v>Texas</v>
      </c>
      <c r="P1482" t="str">
        <f>_xlfn.XLOOKUP(Orders[[#This Row],[CustomerID]],Customers[CustomerID],Customers[Gender])</f>
        <v>Female</v>
      </c>
      <c r="Q1482">
        <f>_xlfn.XLOOKUP(Orders[[#This Row],[CustomerID]],Customers[CustomerID],Customers[CustomerAge])</f>
        <v>32</v>
      </c>
      <c r="R1482" t="str">
        <f>IF(Orders[[#This Row],[CustomerAge]]&gt;=35, "Older", "Young")</f>
        <v>Young</v>
      </c>
      <c r="S1482" t="str">
        <f>_xlfn.XLOOKUP(Orders[[#This Row],[ProductID]],Products[ProductID],Products[ProductName])</f>
        <v>Earrings</v>
      </c>
      <c r="T1482" t="str">
        <f>_xlfn.XLOOKUP(Orders[[#This Row],[ProductID]],Products[ProductID],Products[Category])</f>
        <v>Accessories</v>
      </c>
    </row>
    <row r="1483" spans="1:20" x14ac:dyDescent="0.25">
      <c r="A1483" s="4" t="s">
        <v>1672</v>
      </c>
      <c r="B1483" s="5">
        <v>46006</v>
      </c>
      <c r="C1483" s="15">
        <f>WEEKNUM(Orders[[#This Row],[OrderDate]])</f>
        <v>51</v>
      </c>
      <c r="D1483" s="15" t="str">
        <f>TEXT(Orders[[#This Row],[OrderDate]],"mmmm")</f>
        <v>December</v>
      </c>
      <c r="E1483" s="4" t="s">
        <v>671</v>
      </c>
      <c r="F1483" s="4" t="s">
        <v>31</v>
      </c>
      <c r="G1483" s="4">
        <v>10</v>
      </c>
      <c r="H1483" s="12">
        <v>7041.2</v>
      </c>
      <c r="I1483" s="13">
        <v>5985.02</v>
      </c>
      <c r="J1483" s="13">
        <f>Orders[[#This Row],[Quantity]]*Orders[[#This Row],[Selling Price]]</f>
        <v>70412</v>
      </c>
      <c r="K1483" s="13">
        <f>Orders[[#This Row],[Quantity]]*Orders[[#This Row],[Cost Price]]</f>
        <v>59850.200000000004</v>
      </c>
      <c r="L1483" s="13">
        <f>Orders[[#This Row],[Revenue]]-Orders[[#This Row],[Expenses]]</f>
        <v>10561.799999999996</v>
      </c>
      <c r="M1483" t="s">
        <v>2214</v>
      </c>
      <c r="N1483" t="str">
        <f>_xlfn.XLOOKUP(Orders[[#This Row],[CustomerID]],Customers[CustomerID],Customers[CustomerName])</f>
        <v>Tunde Abubakar</v>
      </c>
      <c r="O1483" t="str">
        <f>_xlfn.XLOOKUP(Orders[[#This Row],[CustomerID]],Customers[CustomerID],Customers[City])</f>
        <v>Texas</v>
      </c>
      <c r="P1483" t="str">
        <f>_xlfn.XLOOKUP(Orders[[#This Row],[CustomerID]],Customers[CustomerID],Customers[Gender])</f>
        <v>Male</v>
      </c>
      <c r="Q1483">
        <f>_xlfn.XLOOKUP(Orders[[#This Row],[CustomerID]],Customers[CustomerID],Customers[CustomerAge])</f>
        <v>26</v>
      </c>
      <c r="R1483" t="str">
        <f>IF(Orders[[#This Row],[CustomerAge]]&gt;=35, "Older", "Young")</f>
        <v>Young</v>
      </c>
      <c r="S1483" t="str">
        <f>_xlfn.XLOOKUP(Orders[[#This Row],[ProductID]],Products[ProductID],Products[ProductName])</f>
        <v>Kids Games</v>
      </c>
      <c r="T1483" t="str">
        <f>_xlfn.XLOOKUP(Orders[[#This Row],[ProductID]],Products[ProductID],Products[Category])</f>
        <v>Games</v>
      </c>
    </row>
    <row r="1484" spans="1:20" x14ac:dyDescent="0.25">
      <c r="A1484" s="4" t="s">
        <v>1673</v>
      </c>
      <c r="B1484" s="5">
        <v>45984</v>
      </c>
      <c r="C1484" s="15">
        <f>WEEKNUM(Orders[[#This Row],[OrderDate]])</f>
        <v>48</v>
      </c>
      <c r="D1484" s="15" t="str">
        <f>TEXT(Orders[[#This Row],[OrderDate]],"mmmm")</f>
        <v>November</v>
      </c>
      <c r="E1484" s="4" t="s">
        <v>110</v>
      </c>
      <c r="F1484" s="4" t="s">
        <v>84</v>
      </c>
      <c r="G1484" s="4">
        <v>10</v>
      </c>
      <c r="H1484" s="12">
        <v>16935.5</v>
      </c>
      <c r="I1484" s="13">
        <v>14395.174999999999</v>
      </c>
      <c r="J1484" s="13">
        <f>Orders[[#This Row],[Quantity]]*Orders[[#This Row],[Selling Price]]</f>
        <v>169355</v>
      </c>
      <c r="K1484" s="13">
        <f>Orders[[#This Row],[Quantity]]*Orders[[#This Row],[Cost Price]]</f>
        <v>143951.75</v>
      </c>
      <c r="L1484" s="13">
        <f>Orders[[#This Row],[Revenue]]-Orders[[#This Row],[Expenses]]</f>
        <v>25403.25</v>
      </c>
      <c r="M1484" t="s">
        <v>2203</v>
      </c>
      <c r="N1484" t="str">
        <f>_xlfn.XLOOKUP(Orders[[#This Row],[CustomerID]],Customers[CustomerID],Customers[CustomerName])</f>
        <v>Ngozi Danladi</v>
      </c>
      <c r="O1484" t="str">
        <f>_xlfn.XLOOKUP(Orders[[#This Row],[CustomerID]],Customers[CustomerID],Customers[City])</f>
        <v>Washington</v>
      </c>
      <c r="P1484" t="str">
        <f>_xlfn.XLOOKUP(Orders[[#This Row],[CustomerID]],Customers[CustomerID],Customers[Gender])</f>
        <v>Female</v>
      </c>
      <c r="Q1484">
        <f>_xlfn.XLOOKUP(Orders[[#This Row],[CustomerID]],Customers[CustomerID],Customers[CustomerAge])</f>
        <v>28</v>
      </c>
      <c r="R1484" t="str">
        <f>IF(Orders[[#This Row],[CustomerAge]]&gt;=35, "Older", "Young")</f>
        <v>Young</v>
      </c>
      <c r="S1484" t="str">
        <f>_xlfn.XLOOKUP(Orders[[#This Row],[ProductID]],Products[ProductID],Products[ProductName])</f>
        <v>Gym Wears</v>
      </c>
      <c r="T1484" t="str">
        <f>_xlfn.XLOOKUP(Orders[[#This Row],[ProductID]],Products[ProductID],Products[Category])</f>
        <v>Clothing</v>
      </c>
    </row>
    <row r="1485" spans="1:20" x14ac:dyDescent="0.25">
      <c r="A1485" s="4" t="s">
        <v>1674</v>
      </c>
      <c r="B1485" s="5">
        <v>46010</v>
      </c>
      <c r="C1485" s="15">
        <f>WEEKNUM(Orders[[#This Row],[OrderDate]])</f>
        <v>51</v>
      </c>
      <c r="D1485" s="15" t="str">
        <f>TEXT(Orders[[#This Row],[OrderDate]],"mmmm")</f>
        <v>December</v>
      </c>
      <c r="E1485" s="4" t="s">
        <v>514</v>
      </c>
      <c r="F1485" s="4" t="s">
        <v>37</v>
      </c>
      <c r="G1485" s="4">
        <v>6</v>
      </c>
      <c r="H1485" s="12">
        <v>1803.4</v>
      </c>
      <c r="I1485" s="13">
        <v>1532.89</v>
      </c>
      <c r="J1485" s="13">
        <f>Orders[[#This Row],[Quantity]]*Orders[[#This Row],[Selling Price]]</f>
        <v>10820.400000000001</v>
      </c>
      <c r="K1485" s="13">
        <f>Orders[[#This Row],[Quantity]]*Orders[[#This Row],[Cost Price]]</f>
        <v>9197.34</v>
      </c>
      <c r="L1485" s="13">
        <f>Orders[[#This Row],[Revenue]]-Orders[[#This Row],[Expenses]]</f>
        <v>1623.0600000000013</v>
      </c>
      <c r="M1485" t="s">
        <v>2198</v>
      </c>
      <c r="N1485" t="str">
        <f>_xlfn.XLOOKUP(Orders[[#This Row],[CustomerID]],Customers[CustomerID],Customers[CustomerName])</f>
        <v>Ibrahim Okonkwo</v>
      </c>
      <c r="O1485" t="str">
        <f>_xlfn.XLOOKUP(Orders[[#This Row],[CustomerID]],Customers[CustomerID],Customers[City])</f>
        <v>Florida</v>
      </c>
      <c r="P1485" t="str">
        <f>_xlfn.XLOOKUP(Orders[[#This Row],[CustomerID]],Customers[CustomerID],Customers[Gender])</f>
        <v>Male</v>
      </c>
      <c r="Q1485">
        <f>_xlfn.XLOOKUP(Orders[[#This Row],[CustomerID]],Customers[CustomerID],Customers[CustomerAge])</f>
        <v>28</v>
      </c>
      <c r="R1485" t="str">
        <f>IF(Orders[[#This Row],[CustomerAge]]&gt;=35, "Older", "Young")</f>
        <v>Young</v>
      </c>
      <c r="S1485" t="str">
        <f>_xlfn.XLOOKUP(Orders[[#This Row],[ProductID]],Products[ProductID],Products[ProductName])</f>
        <v>Iron</v>
      </c>
      <c r="T1485" t="str">
        <f>_xlfn.XLOOKUP(Orders[[#This Row],[ProductID]],Products[ProductID],Products[Category])</f>
        <v>Electronics</v>
      </c>
    </row>
    <row r="1486" spans="1:20" x14ac:dyDescent="0.25">
      <c r="A1486" s="4" t="s">
        <v>1675</v>
      </c>
      <c r="B1486" s="5">
        <v>45962</v>
      </c>
      <c r="C1486" s="15">
        <f>WEEKNUM(Orders[[#This Row],[OrderDate]])</f>
        <v>44</v>
      </c>
      <c r="D1486" s="15" t="str">
        <f>TEXT(Orders[[#This Row],[OrderDate]],"mmmm")</f>
        <v>November</v>
      </c>
      <c r="E1486" s="4" t="s">
        <v>142</v>
      </c>
      <c r="F1486" s="4" t="s">
        <v>81</v>
      </c>
      <c r="G1486" s="4">
        <v>3</v>
      </c>
      <c r="H1486" s="12">
        <v>12926.7</v>
      </c>
      <c r="I1486" s="13">
        <v>10987.695</v>
      </c>
      <c r="J1486" s="13">
        <f>Orders[[#This Row],[Quantity]]*Orders[[#This Row],[Selling Price]]</f>
        <v>38780.100000000006</v>
      </c>
      <c r="K1486" s="13">
        <f>Orders[[#This Row],[Quantity]]*Orders[[#This Row],[Cost Price]]</f>
        <v>32963.084999999999</v>
      </c>
      <c r="L1486" s="13">
        <f>Orders[[#This Row],[Revenue]]-Orders[[#This Row],[Expenses]]</f>
        <v>5817.0150000000067</v>
      </c>
      <c r="M1486" t="s">
        <v>2192</v>
      </c>
      <c r="N1486" t="str">
        <f>_xlfn.XLOOKUP(Orders[[#This Row],[CustomerID]],Customers[CustomerID],Customers[CustomerName])</f>
        <v>Obi Adeyemi</v>
      </c>
      <c r="O1486" t="str">
        <f>_xlfn.XLOOKUP(Orders[[#This Row],[CustomerID]],Customers[CustomerID],Customers[City])</f>
        <v>Florida</v>
      </c>
      <c r="P1486" t="str">
        <f>_xlfn.XLOOKUP(Orders[[#This Row],[CustomerID]],Customers[CustomerID],Customers[Gender])</f>
        <v>Male</v>
      </c>
      <c r="Q1486">
        <f>_xlfn.XLOOKUP(Orders[[#This Row],[CustomerID]],Customers[CustomerID],Customers[CustomerAge])</f>
        <v>31</v>
      </c>
      <c r="R1486" t="str">
        <f>IF(Orders[[#This Row],[CustomerAge]]&gt;=35, "Older", "Young")</f>
        <v>Young</v>
      </c>
      <c r="S1486" t="str">
        <f>_xlfn.XLOOKUP(Orders[[#This Row],[ProductID]],Products[ProductID],Products[ProductName])</f>
        <v>Trousers</v>
      </c>
      <c r="T1486" t="str">
        <f>_xlfn.XLOOKUP(Orders[[#This Row],[ProductID]],Products[ProductID],Products[Category])</f>
        <v>Clothing</v>
      </c>
    </row>
    <row r="1487" spans="1:20" x14ac:dyDescent="0.25">
      <c r="A1487" s="4" t="s">
        <v>1676</v>
      </c>
      <c r="B1487" s="5">
        <v>45999</v>
      </c>
      <c r="C1487" s="15">
        <f>WEEKNUM(Orders[[#This Row],[OrderDate]])</f>
        <v>50</v>
      </c>
      <c r="D1487" s="15" t="str">
        <f>TEXT(Orders[[#This Row],[OrderDate]],"mmmm")</f>
        <v>December</v>
      </c>
      <c r="E1487" s="4" t="s">
        <v>11</v>
      </c>
      <c r="F1487" s="4" t="s">
        <v>53</v>
      </c>
      <c r="G1487" s="4">
        <v>5</v>
      </c>
      <c r="H1487" s="12">
        <v>9098.0999999999985</v>
      </c>
      <c r="I1487" s="13">
        <v>7733.3849999999984</v>
      </c>
      <c r="J1487" s="13">
        <f>Orders[[#This Row],[Quantity]]*Orders[[#This Row],[Selling Price]]</f>
        <v>45490.499999999993</v>
      </c>
      <c r="K1487" s="13">
        <f>Orders[[#This Row],[Quantity]]*Orders[[#This Row],[Cost Price]]</f>
        <v>38666.924999999988</v>
      </c>
      <c r="L1487" s="13">
        <f>Orders[[#This Row],[Revenue]]-Orders[[#This Row],[Expenses]]</f>
        <v>6823.5750000000044</v>
      </c>
      <c r="M1487" t="s">
        <v>2215</v>
      </c>
      <c r="N1487" t="str">
        <f>_xlfn.XLOOKUP(Orders[[#This Row],[CustomerID]],Customers[CustomerID],Customers[CustomerName])</f>
        <v>Efe Ojo</v>
      </c>
      <c r="O1487" t="str">
        <f>_xlfn.XLOOKUP(Orders[[#This Row],[CustomerID]],Customers[CustomerID],Customers[City])</f>
        <v>Texas</v>
      </c>
      <c r="P1487" t="str">
        <f>_xlfn.XLOOKUP(Orders[[#This Row],[CustomerID]],Customers[CustomerID],Customers[Gender])</f>
        <v>Female</v>
      </c>
      <c r="Q1487">
        <f>_xlfn.XLOOKUP(Orders[[#This Row],[CustomerID]],Customers[CustomerID],Customers[CustomerAge])</f>
        <v>55</v>
      </c>
      <c r="R1487" t="str">
        <f>IF(Orders[[#This Row],[CustomerAge]]&gt;=35, "Older", "Young")</f>
        <v>Older</v>
      </c>
      <c r="S1487" t="str">
        <f>_xlfn.XLOOKUP(Orders[[#This Row],[ProductID]],Products[ProductID],Products[ProductName])</f>
        <v>Silver Bangles</v>
      </c>
      <c r="T1487" t="str">
        <f>_xlfn.XLOOKUP(Orders[[#This Row],[ProductID]],Products[ProductID],Products[Category])</f>
        <v>Accessories</v>
      </c>
    </row>
    <row r="1488" spans="1:20" x14ac:dyDescent="0.25">
      <c r="A1488" s="4" t="s">
        <v>1677</v>
      </c>
      <c r="B1488" s="5">
        <v>45931</v>
      </c>
      <c r="C1488" s="15">
        <f>WEEKNUM(Orders[[#This Row],[OrderDate]])</f>
        <v>40</v>
      </c>
      <c r="D1488" s="15" t="str">
        <f>TEXT(Orders[[#This Row],[OrderDate]],"mmmm")</f>
        <v>October</v>
      </c>
      <c r="E1488" s="4" t="s">
        <v>212</v>
      </c>
      <c r="F1488" s="4" t="s">
        <v>9</v>
      </c>
      <c r="G1488" s="4">
        <v>10</v>
      </c>
      <c r="H1488" s="12">
        <v>16750.3</v>
      </c>
      <c r="I1488" s="13">
        <v>14237.754999999999</v>
      </c>
      <c r="J1488" s="13">
        <f>Orders[[#This Row],[Quantity]]*Orders[[#This Row],[Selling Price]]</f>
        <v>167503</v>
      </c>
      <c r="K1488" s="13">
        <f>Orders[[#This Row],[Quantity]]*Orders[[#This Row],[Cost Price]]</f>
        <v>142377.54999999999</v>
      </c>
      <c r="L1488" s="13">
        <f>Orders[[#This Row],[Revenue]]-Orders[[#This Row],[Expenses]]</f>
        <v>25125.450000000012</v>
      </c>
      <c r="M1488" t="s">
        <v>2201</v>
      </c>
      <c r="N1488" t="str">
        <f>_xlfn.XLOOKUP(Orders[[#This Row],[CustomerID]],Customers[CustomerID],Customers[CustomerName])</f>
        <v>Ngozi Ojo</v>
      </c>
      <c r="O1488" t="str">
        <f>_xlfn.XLOOKUP(Orders[[#This Row],[CustomerID]],Customers[CustomerID],Customers[City])</f>
        <v>Illinois</v>
      </c>
      <c r="P1488" t="str">
        <f>_xlfn.XLOOKUP(Orders[[#This Row],[CustomerID]],Customers[CustomerID],Customers[Gender])</f>
        <v>Female</v>
      </c>
      <c r="Q1488">
        <f>_xlfn.XLOOKUP(Orders[[#This Row],[CustomerID]],Customers[CustomerID],Customers[CustomerAge])</f>
        <v>53</v>
      </c>
      <c r="R1488" t="str">
        <f>IF(Orders[[#This Row],[CustomerAge]]&gt;=35, "Older", "Young")</f>
        <v>Older</v>
      </c>
      <c r="S1488" t="str">
        <f>_xlfn.XLOOKUP(Orders[[#This Row],[ProductID]],Products[ProductID],Products[ProductName])</f>
        <v>Beaded Earrings And Necklaces</v>
      </c>
      <c r="T1488" t="str">
        <f>_xlfn.XLOOKUP(Orders[[#This Row],[ProductID]],Products[ProductID],Products[Category])</f>
        <v>Accessories</v>
      </c>
    </row>
    <row r="1489" spans="1:20" x14ac:dyDescent="0.25">
      <c r="A1489" s="4" t="s">
        <v>1678</v>
      </c>
      <c r="B1489" s="5">
        <v>45969</v>
      </c>
      <c r="C1489" s="15">
        <f>WEEKNUM(Orders[[#This Row],[OrderDate]])</f>
        <v>45</v>
      </c>
      <c r="D1489" s="15" t="str">
        <f>TEXT(Orders[[#This Row],[OrderDate]],"mmmm")</f>
        <v>November</v>
      </c>
      <c r="E1489" s="4" t="s">
        <v>75</v>
      </c>
      <c r="F1489" s="4" t="s">
        <v>76</v>
      </c>
      <c r="G1489" s="4">
        <v>7</v>
      </c>
      <c r="H1489" s="12">
        <v>19976.900000000001</v>
      </c>
      <c r="I1489" s="13">
        <v>16980.365000000002</v>
      </c>
      <c r="J1489" s="13">
        <f>Orders[[#This Row],[Quantity]]*Orders[[#This Row],[Selling Price]]</f>
        <v>139838.30000000002</v>
      </c>
      <c r="K1489" s="13">
        <f>Orders[[#This Row],[Quantity]]*Orders[[#This Row],[Cost Price]]</f>
        <v>118862.55500000001</v>
      </c>
      <c r="L1489" s="13">
        <f>Orders[[#This Row],[Revenue]]-Orders[[#This Row],[Expenses]]</f>
        <v>20975.74500000001</v>
      </c>
      <c r="M1489" t="s">
        <v>2201</v>
      </c>
      <c r="N1489" t="str">
        <f>_xlfn.XLOOKUP(Orders[[#This Row],[CustomerID]],Customers[CustomerID],Customers[CustomerName])</f>
        <v>Tunde Danladi</v>
      </c>
      <c r="O1489" t="str">
        <f>_xlfn.XLOOKUP(Orders[[#This Row],[CustomerID]],Customers[CustomerID],Customers[City])</f>
        <v>Texas</v>
      </c>
      <c r="P1489" t="str">
        <f>_xlfn.XLOOKUP(Orders[[#This Row],[CustomerID]],Customers[CustomerID],Customers[Gender])</f>
        <v>Male</v>
      </c>
      <c r="Q1489">
        <f>_xlfn.XLOOKUP(Orders[[#This Row],[CustomerID]],Customers[CustomerID],Customers[CustomerAge])</f>
        <v>47</v>
      </c>
      <c r="R1489" t="str">
        <f>IF(Orders[[#This Row],[CustomerAge]]&gt;=35, "Older", "Young")</f>
        <v>Older</v>
      </c>
      <c r="S1489" t="str">
        <f>_xlfn.XLOOKUP(Orders[[#This Row],[ProductID]],Products[ProductID],Products[ProductName])</f>
        <v>Blender</v>
      </c>
      <c r="T1489" t="str">
        <f>_xlfn.XLOOKUP(Orders[[#This Row],[ProductID]],Products[ProductID],Products[Category])</f>
        <v>Electronics</v>
      </c>
    </row>
    <row r="1490" spans="1:20" x14ac:dyDescent="0.25">
      <c r="A1490" s="4" t="s">
        <v>1679</v>
      </c>
      <c r="B1490" s="5">
        <v>45947</v>
      </c>
      <c r="C1490" s="15">
        <f>WEEKNUM(Orders[[#This Row],[OrderDate]])</f>
        <v>42</v>
      </c>
      <c r="D1490" s="15" t="str">
        <f>TEXT(Orders[[#This Row],[OrderDate]],"mmmm")</f>
        <v>October</v>
      </c>
      <c r="E1490" s="4" t="s">
        <v>346</v>
      </c>
      <c r="F1490" s="4" t="s">
        <v>31</v>
      </c>
      <c r="G1490" s="4">
        <v>2</v>
      </c>
      <c r="H1490" s="12">
        <v>13976.099999999999</v>
      </c>
      <c r="I1490" s="13">
        <v>11879.684999999999</v>
      </c>
      <c r="J1490" s="13">
        <f>Orders[[#This Row],[Quantity]]*Orders[[#This Row],[Selling Price]]</f>
        <v>27952.199999999997</v>
      </c>
      <c r="K1490" s="13">
        <f>Orders[[#This Row],[Quantity]]*Orders[[#This Row],[Cost Price]]</f>
        <v>23759.37</v>
      </c>
      <c r="L1490" s="13">
        <f>Orders[[#This Row],[Revenue]]-Orders[[#This Row],[Expenses]]</f>
        <v>4192.8299999999981</v>
      </c>
      <c r="M1490" t="s">
        <v>2207</v>
      </c>
      <c r="N1490" t="str">
        <f>_xlfn.XLOOKUP(Orders[[#This Row],[CustomerID]],Customers[CustomerID],Customers[CustomerName])</f>
        <v>Ngozi Danladi</v>
      </c>
      <c r="O1490" t="str">
        <f>_xlfn.XLOOKUP(Orders[[#This Row],[CustomerID]],Customers[CustomerID],Customers[City])</f>
        <v>California</v>
      </c>
      <c r="P1490" t="str">
        <f>_xlfn.XLOOKUP(Orders[[#This Row],[CustomerID]],Customers[CustomerID],Customers[Gender])</f>
        <v>Female</v>
      </c>
      <c r="Q1490">
        <f>_xlfn.XLOOKUP(Orders[[#This Row],[CustomerID]],Customers[CustomerID],Customers[CustomerAge])</f>
        <v>30</v>
      </c>
      <c r="R1490" t="str">
        <f>IF(Orders[[#This Row],[CustomerAge]]&gt;=35, "Older", "Young")</f>
        <v>Young</v>
      </c>
      <c r="S1490" t="str">
        <f>_xlfn.XLOOKUP(Orders[[#This Row],[ProductID]],Products[ProductID],Products[ProductName])</f>
        <v>Kids Games</v>
      </c>
      <c r="T1490" t="str">
        <f>_xlfn.XLOOKUP(Orders[[#This Row],[ProductID]],Products[ProductID],Products[Category])</f>
        <v>Games</v>
      </c>
    </row>
    <row r="1491" spans="1:20" x14ac:dyDescent="0.25">
      <c r="A1491" s="4" t="s">
        <v>1680</v>
      </c>
      <c r="B1491" s="5">
        <v>45982</v>
      </c>
      <c r="C1491" s="15">
        <f>WEEKNUM(Orders[[#This Row],[OrderDate]])</f>
        <v>47</v>
      </c>
      <c r="D1491" s="15" t="str">
        <f>TEXT(Orders[[#This Row],[OrderDate]],"mmmm")</f>
        <v>November</v>
      </c>
      <c r="E1491" s="4" t="s">
        <v>416</v>
      </c>
      <c r="F1491" s="4" t="s">
        <v>25</v>
      </c>
      <c r="G1491" s="4">
        <v>6</v>
      </c>
      <c r="H1491" s="12">
        <v>1238.0999999999999</v>
      </c>
      <c r="I1491" s="13">
        <v>1052.385</v>
      </c>
      <c r="J1491" s="13">
        <f>Orders[[#This Row],[Quantity]]*Orders[[#This Row],[Selling Price]]</f>
        <v>7428.5999999999995</v>
      </c>
      <c r="K1491" s="13">
        <f>Orders[[#This Row],[Quantity]]*Orders[[#This Row],[Cost Price]]</f>
        <v>6314.3099999999995</v>
      </c>
      <c r="L1491" s="13">
        <f>Orders[[#This Row],[Revenue]]-Orders[[#This Row],[Expenses]]</f>
        <v>1114.29</v>
      </c>
      <c r="M1491" t="s">
        <v>2210</v>
      </c>
      <c r="N1491" t="str">
        <f>_xlfn.XLOOKUP(Orders[[#This Row],[CustomerID]],Customers[CustomerID],Customers[CustomerName])</f>
        <v>Chinedu Igwe</v>
      </c>
      <c r="O1491" t="str">
        <f>_xlfn.XLOOKUP(Orders[[#This Row],[CustomerID]],Customers[CustomerID],Customers[City])</f>
        <v>Texas</v>
      </c>
      <c r="P1491" t="str">
        <f>_xlfn.XLOOKUP(Orders[[#This Row],[CustomerID]],Customers[CustomerID],Customers[Gender])</f>
        <v>Male</v>
      </c>
      <c r="Q1491">
        <f>_xlfn.XLOOKUP(Orders[[#This Row],[CustomerID]],Customers[CustomerID],Customers[CustomerAge])</f>
        <v>26</v>
      </c>
      <c r="R1491" t="str">
        <f>IF(Orders[[#This Row],[CustomerAge]]&gt;=35, "Older", "Young")</f>
        <v>Young</v>
      </c>
      <c r="S1491" t="str">
        <f>_xlfn.XLOOKUP(Orders[[#This Row],[ProductID]],Products[ProductID],Products[ProductName])</f>
        <v>Gold Rings</v>
      </c>
      <c r="T1491" t="str">
        <f>_xlfn.XLOOKUP(Orders[[#This Row],[ProductID]],Products[ProductID],Products[Category])</f>
        <v>Accessories</v>
      </c>
    </row>
    <row r="1492" spans="1:20" x14ac:dyDescent="0.25">
      <c r="A1492" s="4" t="s">
        <v>1681</v>
      </c>
      <c r="B1492" s="5">
        <v>45978</v>
      </c>
      <c r="C1492" s="15">
        <f>WEEKNUM(Orders[[#This Row],[OrderDate]])</f>
        <v>47</v>
      </c>
      <c r="D1492" s="15" t="str">
        <f>TEXT(Orders[[#This Row],[OrderDate]],"mmmm")</f>
        <v>November</v>
      </c>
      <c r="E1492" s="4" t="s">
        <v>39</v>
      </c>
      <c r="F1492" s="4" t="s">
        <v>34</v>
      </c>
      <c r="G1492" s="4">
        <v>8</v>
      </c>
      <c r="H1492" s="12">
        <v>19584.599999999999</v>
      </c>
      <c r="I1492" s="13">
        <v>16646.91</v>
      </c>
      <c r="J1492" s="13">
        <f>Orders[[#This Row],[Quantity]]*Orders[[#This Row],[Selling Price]]</f>
        <v>156676.79999999999</v>
      </c>
      <c r="K1492" s="13">
        <f>Orders[[#This Row],[Quantity]]*Orders[[#This Row],[Cost Price]]</f>
        <v>133175.28</v>
      </c>
      <c r="L1492" s="13">
        <f>Orders[[#This Row],[Revenue]]-Orders[[#This Row],[Expenses]]</f>
        <v>23501.51999999999</v>
      </c>
      <c r="M1492" t="s">
        <v>2200</v>
      </c>
      <c r="N1492" t="str">
        <f>_xlfn.XLOOKUP(Orders[[#This Row],[CustomerID]],Customers[CustomerID],Customers[CustomerName])</f>
        <v>Efe Adeyemi</v>
      </c>
      <c r="O1492" t="str">
        <f>_xlfn.XLOOKUP(Orders[[#This Row],[CustomerID]],Customers[CustomerID],Customers[City])</f>
        <v>Florida</v>
      </c>
      <c r="P1492" t="str">
        <f>_xlfn.XLOOKUP(Orders[[#This Row],[CustomerID]],Customers[CustomerID],Customers[Gender])</f>
        <v>Female</v>
      </c>
      <c r="Q1492">
        <f>_xlfn.XLOOKUP(Orders[[#This Row],[CustomerID]],Customers[CustomerID],Customers[CustomerAge])</f>
        <v>20</v>
      </c>
      <c r="R1492" t="str">
        <f>IF(Orders[[#This Row],[CustomerAge]]&gt;=35, "Older", "Young")</f>
        <v>Young</v>
      </c>
      <c r="S1492" t="str">
        <f>_xlfn.XLOOKUP(Orders[[#This Row],[ProductID]],Products[ProductID],Products[ProductName])</f>
        <v>Gold Bracelets</v>
      </c>
      <c r="T1492" t="str">
        <f>_xlfn.XLOOKUP(Orders[[#This Row],[ProductID]],Products[ProductID],Products[Category])</f>
        <v>Accessories</v>
      </c>
    </row>
    <row r="1493" spans="1:20" x14ac:dyDescent="0.25">
      <c r="A1493" s="4" t="s">
        <v>1682</v>
      </c>
      <c r="B1493" s="5">
        <v>45933</v>
      </c>
      <c r="C1493" s="15">
        <f>WEEKNUM(Orders[[#This Row],[OrderDate]])</f>
        <v>40</v>
      </c>
      <c r="D1493" s="15" t="str">
        <f>TEXT(Orders[[#This Row],[OrderDate]],"mmmm")</f>
        <v>October</v>
      </c>
      <c r="E1493" s="4" t="s">
        <v>96</v>
      </c>
      <c r="F1493" s="4" t="s">
        <v>63</v>
      </c>
      <c r="G1493" s="4">
        <v>2</v>
      </c>
      <c r="H1493" s="12">
        <v>8976.4</v>
      </c>
      <c r="I1493" s="13">
        <v>7629.94</v>
      </c>
      <c r="J1493" s="13">
        <f>Orders[[#This Row],[Quantity]]*Orders[[#This Row],[Selling Price]]</f>
        <v>17952.8</v>
      </c>
      <c r="K1493" s="13">
        <f>Orders[[#This Row],[Quantity]]*Orders[[#This Row],[Cost Price]]</f>
        <v>15259.88</v>
      </c>
      <c r="L1493" s="13">
        <f>Orders[[#This Row],[Revenue]]-Orders[[#This Row],[Expenses]]</f>
        <v>2692.92</v>
      </c>
      <c r="M1493" t="s">
        <v>2220</v>
      </c>
      <c r="N1493" t="str">
        <f>_xlfn.XLOOKUP(Orders[[#This Row],[CustomerID]],Customers[CustomerID],Customers[CustomerName])</f>
        <v>Amina Abubakar</v>
      </c>
      <c r="O1493" t="str">
        <f>_xlfn.XLOOKUP(Orders[[#This Row],[CustomerID]],Customers[CustomerID],Customers[City])</f>
        <v>Texas</v>
      </c>
      <c r="P1493" t="str">
        <f>_xlfn.XLOOKUP(Orders[[#This Row],[CustomerID]],Customers[CustomerID],Customers[Gender])</f>
        <v>Female</v>
      </c>
      <c r="Q1493">
        <f>_xlfn.XLOOKUP(Orders[[#This Row],[CustomerID]],Customers[CustomerID],Customers[CustomerAge])</f>
        <v>35</v>
      </c>
      <c r="R1493" t="str">
        <f>IF(Orders[[#This Row],[CustomerAge]]&gt;=35, "Older", "Young")</f>
        <v>Older</v>
      </c>
      <c r="S1493" t="str">
        <f>_xlfn.XLOOKUP(Orders[[#This Row],[ProductID]],Products[ProductID],Products[ProductName])</f>
        <v>Tennis Bat</v>
      </c>
      <c r="T1493" t="str">
        <f>_xlfn.XLOOKUP(Orders[[#This Row],[ProductID]],Products[ProductID],Products[Category])</f>
        <v>Sports</v>
      </c>
    </row>
    <row r="1494" spans="1:20" x14ac:dyDescent="0.25">
      <c r="A1494" s="4" t="s">
        <v>1683</v>
      </c>
      <c r="B1494" s="5">
        <v>45942</v>
      </c>
      <c r="C1494" s="15">
        <f>WEEKNUM(Orders[[#This Row],[OrderDate]])</f>
        <v>42</v>
      </c>
      <c r="D1494" s="15" t="str">
        <f>TEXT(Orders[[#This Row],[OrderDate]],"mmmm")</f>
        <v>October</v>
      </c>
      <c r="E1494" s="4" t="s">
        <v>275</v>
      </c>
      <c r="F1494" s="4" t="s">
        <v>189</v>
      </c>
      <c r="G1494" s="4">
        <v>7</v>
      </c>
      <c r="H1494" s="12">
        <v>19809</v>
      </c>
      <c r="I1494" s="13">
        <v>16837.650000000001</v>
      </c>
      <c r="J1494" s="13">
        <f>Orders[[#This Row],[Quantity]]*Orders[[#This Row],[Selling Price]]</f>
        <v>138663</v>
      </c>
      <c r="K1494" s="13">
        <f>Orders[[#This Row],[Quantity]]*Orders[[#This Row],[Cost Price]]</f>
        <v>117863.55000000002</v>
      </c>
      <c r="L1494" s="13">
        <f>Orders[[#This Row],[Revenue]]-Orders[[#This Row],[Expenses]]</f>
        <v>20799.449999999983</v>
      </c>
      <c r="M1494" t="s">
        <v>2209</v>
      </c>
      <c r="N1494" t="str">
        <f>_xlfn.XLOOKUP(Orders[[#This Row],[CustomerID]],Customers[CustomerID],Customers[CustomerName])</f>
        <v>Ngozi Danladi</v>
      </c>
      <c r="O1494" t="str">
        <f>_xlfn.XLOOKUP(Orders[[#This Row],[CustomerID]],Customers[CustomerID],Customers[City])</f>
        <v>Texas</v>
      </c>
      <c r="P1494" t="str">
        <f>_xlfn.XLOOKUP(Orders[[#This Row],[CustomerID]],Customers[CustomerID],Customers[Gender])</f>
        <v>Female</v>
      </c>
      <c r="Q1494">
        <f>_xlfn.XLOOKUP(Orders[[#This Row],[CustomerID]],Customers[CustomerID],Customers[CustomerAge])</f>
        <v>25</v>
      </c>
      <c r="R1494" t="str">
        <f>IF(Orders[[#This Row],[CustomerAge]]&gt;=35, "Older", "Young")</f>
        <v>Young</v>
      </c>
      <c r="S1494" t="str">
        <f>_xlfn.XLOOKUP(Orders[[#This Row],[ProductID]],Products[ProductID],Products[ProductName])</f>
        <v>Scrabble</v>
      </c>
      <c r="T1494" t="str">
        <f>_xlfn.XLOOKUP(Orders[[#This Row],[ProductID]],Products[ProductID],Products[Category])</f>
        <v>Games</v>
      </c>
    </row>
    <row r="1495" spans="1:20" x14ac:dyDescent="0.25">
      <c r="A1495" s="4" t="s">
        <v>1684</v>
      </c>
      <c r="B1495" s="5">
        <v>45962</v>
      </c>
      <c r="C1495" s="15">
        <f>WEEKNUM(Orders[[#This Row],[OrderDate]])</f>
        <v>44</v>
      </c>
      <c r="D1495" s="15" t="str">
        <f>TEXT(Orders[[#This Row],[OrderDate]],"mmmm")</f>
        <v>November</v>
      </c>
      <c r="E1495" s="4" t="s">
        <v>426</v>
      </c>
      <c r="F1495" s="4" t="s">
        <v>151</v>
      </c>
      <c r="G1495" s="4">
        <v>2</v>
      </c>
      <c r="H1495" s="12">
        <v>11506</v>
      </c>
      <c r="I1495" s="13">
        <v>9780.1</v>
      </c>
      <c r="J1495" s="13">
        <f>Orders[[#This Row],[Quantity]]*Orders[[#This Row],[Selling Price]]</f>
        <v>23012</v>
      </c>
      <c r="K1495" s="13">
        <f>Orders[[#This Row],[Quantity]]*Orders[[#This Row],[Cost Price]]</f>
        <v>19560.2</v>
      </c>
      <c r="L1495" s="13">
        <f>Orders[[#This Row],[Revenue]]-Orders[[#This Row],[Expenses]]</f>
        <v>3451.7999999999993</v>
      </c>
      <c r="M1495" t="s">
        <v>2198</v>
      </c>
      <c r="N1495" t="str">
        <f>_xlfn.XLOOKUP(Orders[[#This Row],[CustomerID]],Customers[CustomerID],Customers[CustomerName])</f>
        <v>Chinedu Ojo</v>
      </c>
      <c r="O1495" t="str">
        <f>_xlfn.XLOOKUP(Orders[[#This Row],[CustomerID]],Customers[CustomerID],Customers[City])</f>
        <v>Washington</v>
      </c>
      <c r="P1495" t="str">
        <f>_xlfn.XLOOKUP(Orders[[#This Row],[CustomerID]],Customers[CustomerID],Customers[Gender])</f>
        <v>Male</v>
      </c>
      <c r="Q1495">
        <f>_xlfn.XLOOKUP(Orders[[#This Row],[CustomerID]],Customers[CustomerID],Customers[CustomerAge])</f>
        <v>18</v>
      </c>
      <c r="R1495" t="str">
        <f>IF(Orders[[#This Row],[CustomerAge]]&gt;=35, "Older", "Young")</f>
        <v>Young</v>
      </c>
      <c r="S1495" t="str">
        <f>_xlfn.XLOOKUP(Orders[[#This Row],[ProductID]],Products[ProductID],Products[ProductName])</f>
        <v>Checkers</v>
      </c>
      <c r="T1495" t="str">
        <f>_xlfn.XLOOKUP(Orders[[#This Row],[ProductID]],Products[ProductID],Products[Category])</f>
        <v>Games</v>
      </c>
    </row>
    <row r="1496" spans="1:20" x14ac:dyDescent="0.25">
      <c r="A1496" s="4" t="s">
        <v>1685</v>
      </c>
      <c r="B1496" s="5">
        <v>45939</v>
      </c>
      <c r="C1496" s="15">
        <f>WEEKNUM(Orders[[#This Row],[OrderDate]])</f>
        <v>41</v>
      </c>
      <c r="D1496" s="15" t="str">
        <f>TEXT(Orders[[#This Row],[OrderDate]],"mmmm")</f>
        <v>October</v>
      </c>
      <c r="E1496" s="4" t="s">
        <v>55</v>
      </c>
      <c r="F1496" s="4" t="s">
        <v>25</v>
      </c>
      <c r="G1496" s="4">
        <v>10</v>
      </c>
      <c r="H1496" s="12">
        <v>17236.7</v>
      </c>
      <c r="I1496" s="13">
        <v>14651.195</v>
      </c>
      <c r="J1496" s="13">
        <f>Orders[[#This Row],[Quantity]]*Orders[[#This Row],[Selling Price]]</f>
        <v>172367</v>
      </c>
      <c r="K1496" s="13">
        <f>Orders[[#This Row],[Quantity]]*Orders[[#This Row],[Cost Price]]</f>
        <v>146511.95000000001</v>
      </c>
      <c r="L1496" s="13">
        <f>Orders[[#This Row],[Revenue]]-Orders[[#This Row],[Expenses]]</f>
        <v>25855.049999999988</v>
      </c>
      <c r="M1496" t="s">
        <v>2218</v>
      </c>
      <c r="N1496" t="str">
        <f>_xlfn.XLOOKUP(Orders[[#This Row],[CustomerID]],Customers[CustomerID],Customers[CustomerName])</f>
        <v>Adanma Ojo</v>
      </c>
      <c r="O1496" t="str">
        <f>_xlfn.XLOOKUP(Orders[[#This Row],[CustomerID]],Customers[CustomerID],Customers[City])</f>
        <v>California</v>
      </c>
      <c r="P1496" t="str">
        <f>_xlfn.XLOOKUP(Orders[[#This Row],[CustomerID]],Customers[CustomerID],Customers[Gender])</f>
        <v>Female</v>
      </c>
      <c r="Q1496">
        <f>_xlfn.XLOOKUP(Orders[[#This Row],[CustomerID]],Customers[CustomerID],Customers[CustomerAge])</f>
        <v>48</v>
      </c>
      <c r="R1496" t="str">
        <f>IF(Orders[[#This Row],[CustomerAge]]&gt;=35, "Older", "Young")</f>
        <v>Older</v>
      </c>
      <c r="S1496" t="str">
        <f>_xlfn.XLOOKUP(Orders[[#This Row],[ProductID]],Products[ProductID],Products[ProductName])</f>
        <v>Gold Rings</v>
      </c>
      <c r="T1496" t="str">
        <f>_xlfn.XLOOKUP(Orders[[#This Row],[ProductID]],Products[ProductID],Products[Category])</f>
        <v>Accessories</v>
      </c>
    </row>
    <row r="1497" spans="1:20" x14ac:dyDescent="0.25">
      <c r="A1497" s="4" t="s">
        <v>1686</v>
      </c>
      <c r="B1497" s="5">
        <v>45971</v>
      </c>
      <c r="C1497" s="15">
        <f>WEEKNUM(Orders[[#This Row],[OrderDate]])</f>
        <v>46</v>
      </c>
      <c r="D1497" s="15" t="str">
        <f>TEXT(Orders[[#This Row],[OrderDate]],"mmmm")</f>
        <v>November</v>
      </c>
      <c r="E1497" s="4" t="s">
        <v>30</v>
      </c>
      <c r="F1497" s="4" t="s">
        <v>46</v>
      </c>
      <c r="G1497" s="4">
        <v>5</v>
      </c>
      <c r="H1497" s="12">
        <v>17382.400000000001</v>
      </c>
      <c r="I1497" s="13">
        <v>14775.04</v>
      </c>
      <c r="J1497" s="13">
        <f>Orders[[#This Row],[Quantity]]*Orders[[#This Row],[Selling Price]]</f>
        <v>86912</v>
      </c>
      <c r="K1497" s="13">
        <f>Orders[[#This Row],[Quantity]]*Orders[[#This Row],[Cost Price]]</f>
        <v>73875.200000000012</v>
      </c>
      <c r="L1497" s="13">
        <f>Orders[[#This Row],[Revenue]]-Orders[[#This Row],[Expenses]]</f>
        <v>13036.799999999988</v>
      </c>
      <c r="M1497" t="s">
        <v>2194</v>
      </c>
      <c r="N1497" t="str">
        <f>_xlfn.XLOOKUP(Orders[[#This Row],[CustomerID]],Customers[CustomerID],Customers[CustomerName])</f>
        <v>Amina Danladi</v>
      </c>
      <c r="O1497" t="str">
        <f>_xlfn.XLOOKUP(Orders[[#This Row],[CustomerID]],Customers[CustomerID],Customers[City])</f>
        <v>Florida</v>
      </c>
      <c r="P1497" t="str">
        <f>_xlfn.XLOOKUP(Orders[[#This Row],[CustomerID]],Customers[CustomerID],Customers[Gender])</f>
        <v>Female</v>
      </c>
      <c r="Q1497">
        <f>_xlfn.XLOOKUP(Orders[[#This Row],[CustomerID]],Customers[CustomerID],Customers[CustomerAge])</f>
        <v>42</v>
      </c>
      <c r="R1497" t="str">
        <f>IF(Orders[[#This Row],[CustomerAge]]&gt;=35, "Older", "Young")</f>
        <v>Older</v>
      </c>
      <c r="S1497" t="str">
        <f>_xlfn.XLOOKUP(Orders[[#This Row],[ProductID]],Products[ProductID],Products[ProductName])</f>
        <v>Turtle Neck</v>
      </c>
      <c r="T1497" t="str">
        <f>_xlfn.XLOOKUP(Orders[[#This Row],[ProductID]],Products[ProductID],Products[Category])</f>
        <v>Clothing</v>
      </c>
    </row>
    <row r="1498" spans="1:20" x14ac:dyDescent="0.25">
      <c r="A1498" s="4" t="s">
        <v>1687</v>
      </c>
      <c r="B1498" s="5">
        <v>45979</v>
      </c>
      <c r="C1498" s="15">
        <f>WEEKNUM(Orders[[#This Row],[OrderDate]])</f>
        <v>47</v>
      </c>
      <c r="D1498" s="15" t="str">
        <f>TEXT(Orders[[#This Row],[OrderDate]],"mmmm")</f>
        <v>November</v>
      </c>
      <c r="E1498" s="4" t="s">
        <v>352</v>
      </c>
      <c r="F1498" s="4" t="s">
        <v>208</v>
      </c>
      <c r="G1498" s="4">
        <v>1</v>
      </c>
      <c r="H1498" s="12">
        <v>8394.7000000000007</v>
      </c>
      <c r="I1498" s="13">
        <v>7135.4950000000008</v>
      </c>
      <c r="J1498" s="13">
        <f>Orders[[#This Row],[Quantity]]*Orders[[#This Row],[Selling Price]]</f>
        <v>8394.7000000000007</v>
      </c>
      <c r="K1498" s="13">
        <f>Orders[[#This Row],[Quantity]]*Orders[[#This Row],[Cost Price]]</f>
        <v>7135.4950000000008</v>
      </c>
      <c r="L1498" s="13">
        <f>Orders[[#This Row],[Revenue]]-Orders[[#This Row],[Expenses]]</f>
        <v>1259.2049999999999</v>
      </c>
      <c r="M1498" t="s">
        <v>2209</v>
      </c>
      <c r="N1498" t="str">
        <f>_xlfn.XLOOKUP(Orders[[#This Row],[CustomerID]],Customers[CustomerID],Customers[CustomerName])</f>
        <v>Zainab Eze</v>
      </c>
      <c r="O1498" t="str">
        <f>_xlfn.XLOOKUP(Orders[[#This Row],[CustomerID]],Customers[CustomerID],Customers[City])</f>
        <v>Texas</v>
      </c>
      <c r="P1498" t="str">
        <f>_xlfn.XLOOKUP(Orders[[#This Row],[CustomerID]],Customers[CustomerID],Customers[Gender])</f>
        <v>Female</v>
      </c>
      <c r="Q1498">
        <f>_xlfn.XLOOKUP(Orders[[#This Row],[CustomerID]],Customers[CustomerID],Customers[CustomerAge])</f>
        <v>40</v>
      </c>
      <c r="R1498" t="str">
        <f>IF(Orders[[#This Row],[CustomerAge]]&gt;=35, "Older", "Young")</f>
        <v>Older</v>
      </c>
      <c r="S1498" t="str">
        <f>_xlfn.XLOOKUP(Orders[[#This Row],[ProductID]],Products[ProductID],Products[ProductName])</f>
        <v>Skipping Rope</v>
      </c>
      <c r="T1498" t="str">
        <f>_xlfn.XLOOKUP(Orders[[#This Row],[ProductID]],Products[ProductID],Products[Category])</f>
        <v>Sports</v>
      </c>
    </row>
    <row r="1499" spans="1:20" x14ac:dyDescent="0.25">
      <c r="A1499" s="4" t="s">
        <v>1688</v>
      </c>
      <c r="B1499" s="5">
        <v>45987</v>
      </c>
      <c r="C1499" s="15">
        <f>WEEKNUM(Orders[[#This Row],[OrderDate]])</f>
        <v>48</v>
      </c>
      <c r="D1499" s="15" t="str">
        <f>TEXT(Orders[[#This Row],[OrderDate]],"mmmm")</f>
        <v>November</v>
      </c>
      <c r="E1499" s="4" t="s">
        <v>59</v>
      </c>
      <c r="F1499" s="4" t="s">
        <v>66</v>
      </c>
      <c r="G1499" s="4">
        <v>2</v>
      </c>
      <c r="H1499" s="12">
        <v>10064.799999999999</v>
      </c>
      <c r="I1499" s="13">
        <v>8555.08</v>
      </c>
      <c r="J1499" s="13">
        <f>Orders[[#This Row],[Quantity]]*Orders[[#This Row],[Selling Price]]</f>
        <v>20129.599999999999</v>
      </c>
      <c r="K1499" s="13">
        <f>Orders[[#This Row],[Quantity]]*Orders[[#This Row],[Cost Price]]</f>
        <v>17110.16</v>
      </c>
      <c r="L1499" s="13">
        <f>Orders[[#This Row],[Revenue]]-Orders[[#This Row],[Expenses]]</f>
        <v>3019.4399999999987</v>
      </c>
      <c r="M1499" t="s">
        <v>2199</v>
      </c>
      <c r="N1499" t="str">
        <f>_xlfn.XLOOKUP(Orders[[#This Row],[CustomerID]],Customers[CustomerID],Customers[CustomerName])</f>
        <v>Adanma Danladi</v>
      </c>
      <c r="O1499" t="str">
        <f>_xlfn.XLOOKUP(Orders[[#This Row],[CustomerID]],Customers[CustomerID],Customers[City])</f>
        <v>Texas</v>
      </c>
      <c r="P1499" t="str">
        <f>_xlfn.XLOOKUP(Orders[[#This Row],[CustomerID]],Customers[CustomerID],Customers[Gender])</f>
        <v>Female</v>
      </c>
      <c r="Q1499">
        <f>_xlfn.XLOOKUP(Orders[[#This Row],[CustomerID]],Customers[CustomerID],Customers[CustomerAge])</f>
        <v>24</v>
      </c>
      <c r="R1499" t="str">
        <f>IF(Orders[[#This Row],[CustomerAge]]&gt;=35, "Older", "Young")</f>
        <v>Young</v>
      </c>
      <c r="S1499" t="str">
        <f>_xlfn.XLOOKUP(Orders[[#This Row],[ProductID]],Products[ProductID],Products[ProductName])</f>
        <v>Microwave</v>
      </c>
      <c r="T1499" t="str">
        <f>_xlfn.XLOOKUP(Orders[[#This Row],[ProductID]],Products[ProductID],Products[Category])</f>
        <v>Electronics</v>
      </c>
    </row>
    <row r="1500" spans="1:20" x14ac:dyDescent="0.25">
      <c r="A1500" s="4" t="s">
        <v>1689</v>
      </c>
      <c r="B1500" s="5">
        <v>45952</v>
      </c>
      <c r="C1500" s="15">
        <f>WEEKNUM(Orders[[#This Row],[OrderDate]])</f>
        <v>43</v>
      </c>
      <c r="D1500" s="15" t="str">
        <f>TEXT(Orders[[#This Row],[OrderDate]],"mmmm")</f>
        <v>October</v>
      </c>
      <c r="E1500" s="4" t="s">
        <v>150</v>
      </c>
      <c r="F1500" s="4" t="s">
        <v>9</v>
      </c>
      <c r="G1500" s="4">
        <v>1</v>
      </c>
      <c r="H1500" s="12">
        <v>14226.400000000001</v>
      </c>
      <c r="I1500" s="13">
        <v>12092.440000000002</v>
      </c>
      <c r="J1500" s="13">
        <f>Orders[[#This Row],[Quantity]]*Orders[[#This Row],[Selling Price]]</f>
        <v>14226.400000000001</v>
      </c>
      <c r="K1500" s="13">
        <f>Orders[[#This Row],[Quantity]]*Orders[[#This Row],[Cost Price]]</f>
        <v>12092.440000000002</v>
      </c>
      <c r="L1500" s="13">
        <f>Orders[[#This Row],[Revenue]]-Orders[[#This Row],[Expenses]]</f>
        <v>2133.9599999999991</v>
      </c>
      <c r="M1500" t="s">
        <v>2213</v>
      </c>
      <c r="N1500" t="str">
        <f>_xlfn.XLOOKUP(Orders[[#This Row],[CustomerID]],Customers[CustomerID],Customers[CustomerName])</f>
        <v>Ronke Eze</v>
      </c>
      <c r="O1500" t="str">
        <f>_xlfn.XLOOKUP(Orders[[#This Row],[CustomerID]],Customers[CustomerID],Customers[City])</f>
        <v>Georgia</v>
      </c>
      <c r="P1500" t="str">
        <f>_xlfn.XLOOKUP(Orders[[#This Row],[CustomerID]],Customers[CustomerID],Customers[Gender])</f>
        <v>Female</v>
      </c>
      <c r="Q1500">
        <f>_xlfn.XLOOKUP(Orders[[#This Row],[CustomerID]],Customers[CustomerID],Customers[CustomerAge])</f>
        <v>23</v>
      </c>
      <c r="R1500" t="str">
        <f>IF(Orders[[#This Row],[CustomerAge]]&gt;=35, "Older", "Young")</f>
        <v>Young</v>
      </c>
      <c r="S1500" t="str">
        <f>_xlfn.XLOOKUP(Orders[[#This Row],[ProductID]],Products[ProductID],Products[ProductName])</f>
        <v>Beaded Earrings And Necklaces</v>
      </c>
      <c r="T1500" t="str">
        <f>_xlfn.XLOOKUP(Orders[[#This Row],[ProductID]],Products[ProductID],Products[Category])</f>
        <v>Accessories</v>
      </c>
    </row>
    <row r="1501" spans="1:20" x14ac:dyDescent="0.25">
      <c r="A1501" s="4" t="s">
        <v>1690</v>
      </c>
      <c r="B1501" s="5">
        <v>45989</v>
      </c>
      <c r="C1501" s="15">
        <f>WEEKNUM(Orders[[#This Row],[OrderDate]])</f>
        <v>48</v>
      </c>
      <c r="D1501" s="15" t="str">
        <f>TEXT(Orders[[#This Row],[OrderDate]],"mmmm")</f>
        <v>November</v>
      </c>
      <c r="E1501" s="4" t="s">
        <v>605</v>
      </c>
      <c r="F1501" s="4" t="s">
        <v>125</v>
      </c>
      <c r="G1501" s="4">
        <v>8</v>
      </c>
      <c r="H1501" s="12">
        <v>9251.7999999999993</v>
      </c>
      <c r="I1501" s="13">
        <v>7864.03</v>
      </c>
      <c r="J1501" s="13">
        <f>Orders[[#This Row],[Quantity]]*Orders[[#This Row],[Selling Price]]</f>
        <v>74014.399999999994</v>
      </c>
      <c r="K1501" s="13">
        <f>Orders[[#This Row],[Quantity]]*Orders[[#This Row],[Cost Price]]</f>
        <v>62912.24</v>
      </c>
      <c r="L1501" s="13">
        <f>Orders[[#This Row],[Revenue]]-Orders[[#This Row],[Expenses]]</f>
        <v>11102.159999999996</v>
      </c>
      <c r="M1501" t="s">
        <v>2194</v>
      </c>
      <c r="N1501" t="str">
        <f>_xlfn.XLOOKUP(Orders[[#This Row],[CustomerID]],Customers[CustomerID],Customers[CustomerName])</f>
        <v>Blessing Abubakar</v>
      </c>
      <c r="O1501" t="str">
        <f>_xlfn.XLOOKUP(Orders[[#This Row],[CustomerID]],Customers[CustomerID],Customers[City])</f>
        <v>Texas</v>
      </c>
      <c r="P1501" t="str">
        <f>_xlfn.XLOOKUP(Orders[[#This Row],[CustomerID]],Customers[CustomerID],Customers[Gender])</f>
        <v>Female</v>
      </c>
      <c r="Q1501">
        <f>_xlfn.XLOOKUP(Orders[[#This Row],[CustomerID]],Customers[CustomerID],Customers[CustomerAge])</f>
        <v>44</v>
      </c>
      <c r="R1501" t="str">
        <f>IF(Orders[[#This Row],[CustomerAge]]&gt;=35, "Older", "Young")</f>
        <v>Older</v>
      </c>
      <c r="S1501" t="str">
        <f>_xlfn.XLOOKUP(Orders[[#This Row],[ProductID]],Products[ProductID],Products[ProductName])</f>
        <v>Earrings</v>
      </c>
      <c r="T1501" t="str">
        <f>_xlfn.XLOOKUP(Orders[[#This Row],[ProductID]],Products[ProductID],Products[Category])</f>
        <v>Accessories</v>
      </c>
    </row>
    <row r="1502" spans="1:20" x14ac:dyDescent="0.25">
      <c r="A1502" s="4" t="s">
        <v>1691</v>
      </c>
      <c r="B1502" s="5">
        <v>45940</v>
      </c>
      <c r="C1502" s="15">
        <f>WEEKNUM(Orders[[#This Row],[OrderDate]])</f>
        <v>41</v>
      </c>
      <c r="D1502" s="15" t="str">
        <f>TEXT(Orders[[#This Row],[OrderDate]],"mmmm")</f>
        <v>October</v>
      </c>
      <c r="E1502" s="4" t="s">
        <v>383</v>
      </c>
      <c r="F1502" s="4" t="s">
        <v>189</v>
      </c>
      <c r="G1502" s="4">
        <v>3</v>
      </c>
      <c r="H1502" s="12">
        <v>2243.8999999999996</v>
      </c>
      <c r="I1502" s="13">
        <v>1907.3149999999996</v>
      </c>
      <c r="J1502" s="13">
        <f>Orders[[#This Row],[Quantity]]*Orders[[#This Row],[Selling Price]]</f>
        <v>6731.6999999999989</v>
      </c>
      <c r="K1502" s="13">
        <f>Orders[[#This Row],[Quantity]]*Orders[[#This Row],[Cost Price]]</f>
        <v>5721.9449999999988</v>
      </c>
      <c r="L1502" s="13">
        <f>Orders[[#This Row],[Revenue]]-Orders[[#This Row],[Expenses]]</f>
        <v>1009.7550000000001</v>
      </c>
      <c r="M1502" t="s">
        <v>2199</v>
      </c>
      <c r="N1502" t="str">
        <f>_xlfn.XLOOKUP(Orders[[#This Row],[CustomerID]],Customers[CustomerID],Customers[CustomerName])</f>
        <v>Ibrahim Balogun</v>
      </c>
      <c r="O1502" t="str">
        <f>_xlfn.XLOOKUP(Orders[[#This Row],[CustomerID]],Customers[CustomerID],Customers[City])</f>
        <v>Florida</v>
      </c>
      <c r="P1502" t="str">
        <f>_xlfn.XLOOKUP(Orders[[#This Row],[CustomerID]],Customers[CustomerID],Customers[Gender])</f>
        <v>Male</v>
      </c>
      <c r="Q1502">
        <f>_xlfn.XLOOKUP(Orders[[#This Row],[CustomerID]],Customers[CustomerID],Customers[CustomerAge])</f>
        <v>27</v>
      </c>
      <c r="R1502" t="str">
        <f>IF(Orders[[#This Row],[CustomerAge]]&gt;=35, "Older", "Young")</f>
        <v>Young</v>
      </c>
      <c r="S1502" t="str">
        <f>_xlfn.XLOOKUP(Orders[[#This Row],[ProductID]],Products[ProductID],Products[ProductName])</f>
        <v>Scrabble</v>
      </c>
      <c r="T1502" t="str">
        <f>_xlfn.XLOOKUP(Orders[[#This Row],[ProductID]],Products[ProductID],Products[Category])</f>
        <v>Games</v>
      </c>
    </row>
    <row r="1503" spans="1:20" x14ac:dyDescent="0.25">
      <c r="A1503" s="4" t="s">
        <v>1692</v>
      </c>
      <c r="B1503" s="5">
        <v>45993</v>
      </c>
      <c r="C1503" s="15">
        <f>WEEKNUM(Orders[[#This Row],[OrderDate]])</f>
        <v>49</v>
      </c>
      <c r="D1503" s="15" t="str">
        <f>TEXT(Orders[[#This Row],[OrderDate]],"mmmm")</f>
        <v>December</v>
      </c>
      <c r="E1503" s="4" t="s">
        <v>19</v>
      </c>
      <c r="F1503" s="4" t="s">
        <v>25</v>
      </c>
      <c r="G1503" s="4">
        <v>4</v>
      </c>
      <c r="H1503" s="12">
        <v>16427.400000000001</v>
      </c>
      <c r="I1503" s="13">
        <v>13963.29</v>
      </c>
      <c r="J1503" s="13">
        <f>Orders[[#This Row],[Quantity]]*Orders[[#This Row],[Selling Price]]</f>
        <v>65709.600000000006</v>
      </c>
      <c r="K1503" s="13">
        <f>Orders[[#This Row],[Quantity]]*Orders[[#This Row],[Cost Price]]</f>
        <v>55853.16</v>
      </c>
      <c r="L1503" s="13">
        <f>Orders[[#This Row],[Revenue]]-Orders[[#This Row],[Expenses]]</f>
        <v>9856.4400000000023</v>
      </c>
      <c r="M1503" t="s">
        <v>2193</v>
      </c>
      <c r="N1503" t="str">
        <f>_xlfn.XLOOKUP(Orders[[#This Row],[CustomerID]],Customers[CustomerID],Customers[CustomerName])</f>
        <v>Obi Adeyemi</v>
      </c>
      <c r="O1503" t="str">
        <f>_xlfn.XLOOKUP(Orders[[#This Row],[CustomerID]],Customers[CustomerID],Customers[City])</f>
        <v>California</v>
      </c>
      <c r="P1503" t="str">
        <f>_xlfn.XLOOKUP(Orders[[#This Row],[CustomerID]],Customers[CustomerID],Customers[Gender])</f>
        <v>Male</v>
      </c>
      <c r="Q1503">
        <f>_xlfn.XLOOKUP(Orders[[#This Row],[CustomerID]],Customers[CustomerID],Customers[CustomerAge])</f>
        <v>24</v>
      </c>
      <c r="R1503" t="str">
        <f>IF(Orders[[#This Row],[CustomerAge]]&gt;=35, "Older", "Young")</f>
        <v>Young</v>
      </c>
      <c r="S1503" t="str">
        <f>_xlfn.XLOOKUP(Orders[[#This Row],[ProductID]],Products[ProductID],Products[ProductName])</f>
        <v>Gold Rings</v>
      </c>
      <c r="T1503" t="str">
        <f>_xlfn.XLOOKUP(Orders[[#This Row],[ProductID]],Products[ProductID],Products[Category])</f>
        <v>Accessories</v>
      </c>
    </row>
    <row r="1504" spans="1:20" x14ac:dyDescent="0.25">
      <c r="A1504" s="4" t="s">
        <v>1693</v>
      </c>
      <c r="B1504" s="5">
        <v>45999</v>
      </c>
      <c r="C1504" s="15">
        <f>WEEKNUM(Orders[[#This Row],[OrderDate]])</f>
        <v>50</v>
      </c>
      <c r="D1504" s="15" t="str">
        <f>TEXT(Orders[[#This Row],[OrderDate]],"mmmm")</f>
        <v>December</v>
      </c>
      <c r="E1504" s="4" t="s">
        <v>14</v>
      </c>
      <c r="F1504" s="4" t="s">
        <v>34</v>
      </c>
      <c r="G1504" s="4">
        <v>6</v>
      </c>
      <c r="H1504" s="12">
        <v>8714.2999999999993</v>
      </c>
      <c r="I1504" s="13">
        <v>7407.1549999999997</v>
      </c>
      <c r="J1504" s="13">
        <f>Orders[[#This Row],[Quantity]]*Orders[[#This Row],[Selling Price]]</f>
        <v>52285.799999999996</v>
      </c>
      <c r="K1504" s="13">
        <f>Orders[[#This Row],[Quantity]]*Orders[[#This Row],[Cost Price]]</f>
        <v>44442.93</v>
      </c>
      <c r="L1504" s="13">
        <f>Orders[[#This Row],[Revenue]]-Orders[[#This Row],[Expenses]]</f>
        <v>7842.8699999999953</v>
      </c>
      <c r="M1504" t="s">
        <v>2219</v>
      </c>
      <c r="N1504" t="str">
        <f>_xlfn.XLOOKUP(Orders[[#This Row],[CustomerID]],Customers[CustomerID],Customers[CustomerName])</f>
        <v>Abiola Igwe</v>
      </c>
      <c r="O1504" t="str">
        <f>_xlfn.XLOOKUP(Orders[[#This Row],[CustomerID]],Customers[CustomerID],Customers[City])</f>
        <v>Texas</v>
      </c>
      <c r="P1504" t="str">
        <f>_xlfn.XLOOKUP(Orders[[#This Row],[CustomerID]],Customers[CustomerID],Customers[Gender])</f>
        <v>Male</v>
      </c>
      <c r="Q1504">
        <f>_xlfn.XLOOKUP(Orders[[#This Row],[CustomerID]],Customers[CustomerID],Customers[CustomerAge])</f>
        <v>39</v>
      </c>
      <c r="R1504" t="str">
        <f>IF(Orders[[#This Row],[CustomerAge]]&gt;=35, "Older", "Young")</f>
        <v>Older</v>
      </c>
      <c r="S1504" t="str">
        <f>_xlfn.XLOOKUP(Orders[[#This Row],[ProductID]],Products[ProductID],Products[ProductName])</f>
        <v>Gold Bracelets</v>
      </c>
      <c r="T1504" t="str">
        <f>_xlfn.XLOOKUP(Orders[[#This Row],[ProductID]],Products[ProductID],Products[Category])</f>
        <v>Accessories</v>
      </c>
    </row>
    <row r="1505" spans="1:20" x14ac:dyDescent="0.25">
      <c r="A1505" s="4" t="s">
        <v>1694</v>
      </c>
      <c r="B1505" s="5">
        <v>45957</v>
      </c>
      <c r="C1505" s="15">
        <f>WEEKNUM(Orders[[#This Row],[OrderDate]])</f>
        <v>44</v>
      </c>
      <c r="D1505" s="15" t="str">
        <f>TEXT(Orders[[#This Row],[OrderDate]],"mmmm")</f>
        <v>October</v>
      </c>
      <c r="E1505" s="4" t="s">
        <v>176</v>
      </c>
      <c r="F1505" s="4" t="s">
        <v>66</v>
      </c>
      <c r="G1505" s="4">
        <v>9</v>
      </c>
      <c r="H1505" s="12">
        <v>6035.5</v>
      </c>
      <c r="I1505" s="13">
        <v>5130.1750000000002</v>
      </c>
      <c r="J1505" s="13">
        <f>Orders[[#This Row],[Quantity]]*Orders[[#This Row],[Selling Price]]</f>
        <v>54319.5</v>
      </c>
      <c r="K1505" s="13">
        <f>Orders[[#This Row],[Quantity]]*Orders[[#This Row],[Cost Price]]</f>
        <v>46171.575000000004</v>
      </c>
      <c r="L1505" s="13">
        <f>Orders[[#This Row],[Revenue]]-Orders[[#This Row],[Expenses]]</f>
        <v>8147.9249999999956</v>
      </c>
      <c r="M1505" t="s">
        <v>2213</v>
      </c>
      <c r="N1505" t="str">
        <f>_xlfn.XLOOKUP(Orders[[#This Row],[CustomerID]],Customers[CustomerID],Customers[CustomerName])</f>
        <v>Okon Eze</v>
      </c>
      <c r="O1505" t="str">
        <f>_xlfn.XLOOKUP(Orders[[#This Row],[CustomerID]],Customers[CustomerID],Customers[City])</f>
        <v>Florida</v>
      </c>
      <c r="P1505" t="str">
        <f>_xlfn.XLOOKUP(Orders[[#This Row],[CustomerID]],Customers[CustomerID],Customers[Gender])</f>
        <v>Male</v>
      </c>
      <c r="Q1505">
        <f>_xlfn.XLOOKUP(Orders[[#This Row],[CustomerID]],Customers[CustomerID],Customers[CustomerAge])</f>
        <v>26</v>
      </c>
      <c r="R1505" t="str">
        <f>IF(Orders[[#This Row],[CustomerAge]]&gt;=35, "Older", "Young")</f>
        <v>Young</v>
      </c>
      <c r="S1505" t="str">
        <f>_xlfn.XLOOKUP(Orders[[#This Row],[ProductID]],Products[ProductID],Products[ProductName])</f>
        <v>Microwave</v>
      </c>
      <c r="T1505" t="str">
        <f>_xlfn.XLOOKUP(Orders[[#This Row],[ProductID]],Products[ProductID],Products[Category])</f>
        <v>Electronics</v>
      </c>
    </row>
    <row r="1506" spans="1:20" x14ac:dyDescent="0.25">
      <c r="A1506" s="4" t="s">
        <v>1695</v>
      </c>
      <c r="B1506" s="5">
        <v>46018</v>
      </c>
      <c r="C1506" s="15">
        <f>WEEKNUM(Orders[[#This Row],[OrderDate]])</f>
        <v>52</v>
      </c>
      <c r="D1506" s="15" t="str">
        <f>TEXT(Orders[[#This Row],[OrderDate]],"mmmm")</f>
        <v>December</v>
      </c>
      <c r="E1506" s="4" t="s">
        <v>113</v>
      </c>
      <c r="F1506" s="4" t="s">
        <v>63</v>
      </c>
      <c r="G1506" s="4">
        <v>7</v>
      </c>
      <c r="H1506" s="12">
        <v>15275.8</v>
      </c>
      <c r="I1506" s="13">
        <v>12984.43</v>
      </c>
      <c r="J1506" s="13">
        <f>Orders[[#This Row],[Quantity]]*Orders[[#This Row],[Selling Price]]</f>
        <v>106930.59999999999</v>
      </c>
      <c r="K1506" s="13">
        <f>Orders[[#This Row],[Quantity]]*Orders[[#This Row],[Cost Price]]</f>
        <v>90891.010000000009</v>
      </c>
      <c r="L1506" s="13">
        <f>Orders[[#This Row],[Revenue]]-Orders[[#This Row],[Expenses]]</f>
        <v>16039.589999999982</v>
      </c>
      <c r="M1506" t="s">
        <v>2208</v>
      </c>
      <c r="N1506" t="str">
        <f>_xlfn.XLOOKUP(Orders[[#This Row],[CustomerID]],Customers[CustomerID],Customers[CustomerName])</f>
        <v>Uche Igwe</v>
      </c>
      <c r="O1506" t="str">
        <f>_xlfn.XLOOKUP(Orders[[#This Row],[CustomerID]],Customers[CustomerID],Customers[City])</f>
        <v>Texas</v>
      </c>
      <c r="P1506" t="str">
        <f>_xlfn.XLOOKUP(Orders[[#This Row],[CustomerID]],Customers[CustomerID],Customers[Gender])</f>
        <v>Male</v>
      </c>
      <c r="Q1506">
        <f>_xlfn.XLOOKUP(Orders[[#This Row],[CustomerID]],Customers[CustomerID],Customers[CustomerAge])</f>
        <v>35</v>
      </c>
      <c r="R1506" t="str">
        <f>IF(Orders[[#This Row],[CustomerAge]]&gt;=35, "Older", "Young")</f>
        <v>Older</v>
      </c>
      <c r="S1506" t="str">
        <f>_xlfn.XLOOKUP(Orders[[#This Row],[ProductID]],Products[ProductID],Products[ProductName])</f>
        <v>Tennis Bat</v>
      </c>
      <c r="T1506" t="str">
        <f>_xlfn.XLOOKUP(Orders[[#This Row],[ProductID]],Products[ProductID],Products[Category])</f>
        <v>Sports</v>
      </c>
    </row>
    <row r="1507" spans="1:20" x14ac:dyDescent="0.25">
      <c r="A1507" s="4" t="s">
        <v>1696</v>
      </c>
      <c r="B1507" s="5">
        <v>45940</v>
      </c>
      <c r="C1507" s="15">
        <f>WEEKNUM(Orders[[#This Row],[OrderDate]])</f>
        <v>41</v>
      </c>
      <c r="D1507" s="15" t="str">
        <f>TEXT(Orders[[#This Row],[OrderDate]],"mmmm")</f>
        <v>October</v>
      </c>
      <c r="E1507" s="4" t="s">
        <v>207</v>
      </c>
      <c r="F1507" s="4" t="s">
        <v>63</v>
      </c>
      <c r="G1507" s="4">
        <v>10</v>
      </c>
      <c r="H1507" s="12">
        <v>5309.4000000000005</v>
      </c>
      <c r="I1507" s="13">
        <v>4512.9900000000007</v>
      </c>
      <c r="J1507" s="13">
        <f>Orders[[#This Row],[Quantity]]*Orders[[#This Row],[Selling Price]]</f>
        <v>53094.000000000007</v>
      </c>
      <c r="K1507" s="13">
        <f>Orders[[#This Row],[Quantity]]*Orders[[#This Row],[Cost Price]]</f>
        <v>45129.900000000009</v>
      </c>
      <c r="L1507" s="13">
        <f>Orders[[#This Row],[Revenue]]-Orders[[#This Row],[Expenses]]</f>
        <v>7964.0999999999985</v>
      </c>
      <c r="M1507" t="s">
        <v>2197</v>
      </c>
      <c r="N1507" t="str">
        <f>_xlfn.XLOOKUP(Orders[[#This Row],[CustomerID]],Customers[CustomerID],Customers[CustomerName])</f>
        <v>Bisi Eze</v>
      </c>
      <c r="O1507" t="str">
        <f>_xlfn.XLOOKUP(Orders[[#This Row],[CustomerID]],Customers[CustomerID],Customers[City])</f>
        <v>Florida</v>
      </c>
      <c r="P1507" t="str">
        <f>_xlfn.XLOOKUP(Orders[[#This Row],[CustomerID]],Customers[CustomerID],Customers[Gender])</f>
        <v>Female</v>
      </c>
      <c r="Q1507">
        <f>_xlfn.XLOOKUP(Orders[[#This Row],[CustomerID]],Customers[CustomerID],Customers[CustomerAge])</f>
        <v>37</v>
      </c>
      <c r="R1507" t="str">
        <f>IF(Orders[[#This Row],[CustomerAge]]&gt;=35, "Older", "Young")</f>
        <v>Older</v>
      </c>
      <c r="S1507" t="str">
        <f>_xlfn.XLOOKUP(Orders[[#This Row],[ProductID]],Products[ProductID],Products[ProductName])</f>
        <v>Tennis Bat</v>
      </c>
      <c r="T1507" t="str">
        <f>_xlfn.XLOOKUP(Orders[[#This Row],[ProductID]],Products[ProductID],Products[Category])</f>
        <v>Sports</v>
      </c>
    </row>
    <row r="1508" spans="1:20" x14ac:dyDescent="0.25">
      <c r="A1508" s="4" t="s">
        <v>1697</v>
      </c>
      <c r="B1508" s="5">
        <v>46002</v>
      </c>
      <c r="C1508" s="15">
        <f>WEEKNUM(Orders[[#This Row],[OrderDate]])</f>
        <v>50</v>
      </c>
      <c r="D1508" s="15" t="str">
        <f>TEXT(Orders[[#This Row],[OrderDate]],"mmmm")</f>
        <v>December</v>
      </c>
      <c r="E1508" s="4" t="s">
        <v>210</v>
      </c>
      <c r="F1508" s="4" t="s">
        <v>353</v>
      </c>
      <c r="G1508" s="4">
        <v>7</v>
      </c>
      <c r="H1508" s="12">
        <v>10418.099999999999</v>
      </c>
      <c r="I1508" s="13">
        <v>8855.3849999999984</v>
      </c>
      <c r="J1508" s="13">
        <f>Orders[[#This Row],[Quantity]]*Orders[[#This Row],[Selling Price]]</f>
        <v>72926.699999999983</v>
      </c>
      <c r="K1508" s="13">
        <f>Orders[[#This Row],[Quantity]]*Orders[[#This Row],[Cost Price]]</f>
        <v>61987.694999999992</v>
      </c>
      <c r="L1508" s="13">
        <f>Orders[[#This Row],[Revenue]]-Orders[[#This Row],[Expenses]]</f>
        <v>10939.00499999999</v>
      </c>
      <c r="M1508" t="s">
        <v>2218</v>
      </c>
      <c r="N1508" t="str">
        <f>_xlfn.XLOOKUP(Orders[[#This Row],[CustomerID]],Customers[CustomerID],Customers[CustomerName])</f>
        <v>Zainab Bello</v>
      </c>
      <c r="O1508" t="str">
        <f>_xlfn.XLOOKUP(Orders[[#This Row],[CustomerID]],Customers[CustomerID],Customers[City])</f>
        <v>Illinois</v>
      </c>
      <c r="P1508" t="str">
        <f>_xlfn.XLOOKUP(Orders[[#This Row],[CustomerID]],Customers[CustomerID],Customers[Gender])</f>
        <v>Female</v>
      </c>
      <c r="Q1508">
        <f>_xlfn.XLOOKUP(Orders[[#This Row],[CustomerID]],Customers[CustomerID],Customers[CustomerAge])</f>
        <v>27</v>
      </c>
      <c r="R1508" t="str">
        <f>IF(Orders[[#This Row],[CustomerAge]]&gt;=35, "Older", "Young")</f>
        <v>Young</v>
      </c>
      <c r="S1508" t="str">
        <f>_xlfn.XLOOKUP(Orders[[#This Row],[ProductID]],Products[ProductID],Products[ProductName])</f>
        <v>Silver Earrings And Necklaces</v>
      </c>
      <c r="T1508" t="str">
        <f>_xlfn.XLOOKUP(Orders[[#This Row],[ProductID]],Products[ProductID],Products[Category])</f>
        <v>Accessories</v>
      </c>
    </row>
    <row r="1509" spans="1:20" x14ac:dyDescent="0.25">
      <c r="A1509" s="4" t="s">
        <v>1698</v>
      </c>
      <c r="B1509" s="5">
        <v>45955</v>
      </c>
      <c r="C1509" s="15">
        <f>WEEKNUM(Orders[[#This Row],[OrderDate]])</f>
        <v>43</v>
      </c>
      <c r="D1509" s="15" t="str">
        <f>TEXT(Orders[[#This Row],[OrderDate]],"mmmm")</f>
        <v>October</v>
      </c>
      <c r="E1509" s="4" t="s">
        <v>174</v>
      </c>
      <c r="F1509" s="4" t="s">
        <v>23</v>
      </c>
      <c r="G1509" s="4">
        <v>7</v>
      </c>
      <c r="H1509" s="12">
        <v>5072</v>
      </c>
      <c r="I1509" s="13">
        <v>4311.2</v>
      </c>
      <c r="J1509" s="13">
        <f>Orders[[#This Row],[Quantity]]*Orders[[#This Row],[Selling Price]]</f>
        <v>35504</v>
      </c>
      <c r="K1509" s="13">
        <f>Orders[[#This Row],[Quantity]]*Orders[[#This Row],[Cost Price]]</f>
        <v>30178.399999999998</v>
      </c>
      <c r="L1509" s="13">
        <f>Orders[[#This Row],[Revenue]]-Orders[[#This Row],[Expenses]]</f>
        <v>5325.6000000000022</v>
      </c>
      <c r="M1509" t="s">
        <v>2199</v>
      </c>
      <c r="N1509" t="str">
        <f>_xlfn.XLOOKUP(Orders[[#This Row],[CustomerID]],Customers[CustomerID],Customers[CustomerName])</f>
        <v>Zainab Obi</v>
      </c>
      <c r="O1509" t="str">
        <f>_xlfn.XLOOKUP(Orders[[#This Row],[CustomerID]],Customers[CustomerID],Customers[City])</f>
        <v>California</v>
      </c>
      <c r="P1509" t="str">
        <f>_xlfn.XLOOKUP(Orders[[#This Row],[CustomerID]],Customers[CustomerID],Customers[Gender])</f>
        <v>Female</v>
      </c>
      <c r="Q1509">
        <f>_xlfn.XLOOKUP(Orders[[#This Row],[CustomerID]],Customers[CustomerID],Customers[CustomerAge])</f>
        <v>18</v>
      </c>
      <c r="R1509" t="str">
        <f>IF(Orders[[#This Row],[CustomerAge]]&gt;=35, "Older", "Young")</f>
        <v>Young</v>
      </c>
      <c r="S1509" t="str">
        <f>_xlfn.XLOOKUP(Orders[[#This Row],[ProductID]],Products[ProductID],Products[ProductName])</f>
        <v>Gym Gloves</v>
      </c>
      <c r="T1509" t="str">
        <f>_xlfn.XLOOKUP(Orders[[#This Row],[ProductID]],Products[ProductID],Products[Category])</f>
        <v>Gym</v>
      </c>
    </row>
    <row r="1510" spans="1:20" x14ac:dyDescent="0.25">
      <c r="A1510" s="4" t="s">
        <v>1699</v>
      </c>
      <c r="B1510" s="5">
        <v>45950</v>
      </c>
      <c r="C1510" s="15">
        <f>WEEKNUM(Orders[[#This Row],[OrderDate]])</f>
        <v>43</v>
      </c>
      <c r="D1510" s="15" t="str">
        <f>TEXT(Orders[[#This Row],[OrderDate]],"mmmm")</f>
        <v>October</v>
      </c>
      <c r="E1510" s="4" t="s">
        <v>110</v>
      </c>
      <c r="F1510" s="4" t="s">
        <v>125</v>
      </c>
      <c r="G1510" s="4">
        <v>7</v>
      </c>
      <c r="H1510" s="12">
        <v>4130.1000000000004</v>
      </c>
      <c r="I1510" s="13">
        <v>3510.5850000000005</v>
      </c>
      <c r="J1510" s="13">
        <f>Orders[[#This Row],[Quantity]]*Orders[[#This Row],[Selling Price]]</f>
        <v>28910.700000000004</v>
      </c>
      <c r="K1510" s="13">
        <f>Orders[[#This Row],[Quantity]]*Orders[[#This Row],[Cost Price]]</f>
        <v>24574.095000000005</v>
      </c>
      <c r="L1510" s="13">
        <f>Orders[[#This Row],[Revenue]]-Orders[[#This Row],[Expenses]]</f>
        <v>4336.6049999999996</v>
      </c>
      <c r="M1510" t="s">
        <v>2203</v>
      </c>
      <c r="N1510" t="str">
        <f>_xlfn.XLOOKUP(Orders[[#This Row],[CustomerID]],Customers[CustomerID],Customers[CustomerName])</f>
        <v>Ngozi Danladi</v>
      </c>
      <c r="O1510" t="str">
        <f>_xlfn.XLOOKUP(Orders[[#This Row],[CustomerID]],Customers[CustomerID],Customers[City])</f>
        <v>Washington</v>
      </c>
      <c r="P1510" t="str">
        <f>_xlfn.XLOOKUP(Orders[[#This Row],[CustomerID]],Customers[CustomerID],Customers[Gender])</f>
        <v>Female</v>
      </c>
      <c r="Q1510">
        <f>_xlfn.XLOOKUP(Orders[[#This Row],[CustomerID]],Customers[CustomerID],Customers[CustomerAge])</f>
        <v>28</v>
      </c>
      <c r="R1510" t="str">
        <f>IF(Orders[[#This Row],[CustomerAge]]&gt;=35, "Older", "Young")</f>
        <v>Young</v>
      </c>
      <c r="S1510" t="str">
        <f>_xlfn.XLOOKUP(Orders[[#This Row],[ProductID]],Products[ProductID],Products[ProductName])</f>
        <v>Earrings</v>
      </c>
      <c r="T1510" t="str">
        <f>_xlfn.XLOOKUP(Orders[[#This Row],[ProductID]],Products[ProductID],Products[Category])</f>
        <v>Accessories</v>
      </c>
    </row>
    <row r="1511" spans="1:20" x14ac:dyDescent="0.25">
      <c r="A1511" s="4" t="s">
        <v>1700</v>
      </c>
      <c r="B1511" s="5">
        <v>45936</v>
      </c>
      <c r="C1511" s="15">
        <f>WEEKNUM(Orders[[#This Row],[OrderDate]])</f>
        <v>41</v>
      </c>
      <c r="D1511" s="15" t="str">
        <f>TEXT(Orders[[#This Row],[OrderDate]],"mmmm")</f>
        <v>October</v>
      </c>
      <c r="E1511" s="4" t="s">
        <v>19</v>
      </c>
      <c r="F1511" s="4" t="s">
        <v>28</v>
      </c>
      <c r="G1511" s="4">
        <v>9</v>
      </c>
      <c r="H1511" s="12">
        <v>2750.7999999999997</v>
      </c>
      <c r="I1511" s="13">
        <v>2338.1799999999998</v>
      </c>
      <c r="J1511" s="13">
        <f>Orders[[#This Row],[Quantity]]*Orders[[#This Row],[Selling Price]]</f>
        <v>24757.199999999997</v>
      </c>
      <c r="K1511" s="13">
        <f>Orders[[#This Row],[Quantity]]*Orders[[#This Row],[Cost Price]]</f>
        <v>21043.62</v>
      </c>
      <c r="L1511" s="13">
        <f>Orders[[#This Row],[Revenue]]-Orders[[#This Row],[Expenses]]</f>
        <v>3713.5799999999981</v>
      </c>
      <c r="M1511" t="s">
        <v>2199</v>
      </c>
      <c r="N1511" t="str">
        <f>_xlfn.XLOOKUP(Orders[[#This Row],[CustomerID]],Customers[CustomerID],Customers[CustomerName])</f>
        <v>Obi Adeyemi</v>
      </c>
      <c r="O1511" t="str">
        <f>_xlfn.XLOOKUP(Orders[[#This Row],[CustomerID]],Customers[CustomerID],Customers[City])</f>
        <v>California</v>
      </c>
      <c r="P1511" t="str">
        <f>_xlfn.XLOOKUP(Orders[[#This Row],[CustomerID]],Customers[CustomerID],Customers[Gender])</f>
        <v>Male</v>
      </c>
      <c r="Q1511">
        <f>_xlfn.XLOOKUP(Orders[[#This Row],[CustomerID]],Customers[CustomerID],Customers[CustomerAge])</f>
        <v>24</v>
      </c>
      <c r="R1511" t="str">
        <f>IF(Orders[[#This Row],[CustomerAge]]&gt;=35, "Older", "Young")</f>
        <v>Young</v>
      </c>
      <c r="S1511" t="str">
        <f>_xlfn.XLOOKUP(Orders[[#This Row],[ProductID]],Products[ProductID],Products[ProductName])</f>
        <v>Sneakers</v>
      </c>
      <c r="T1511" t="str">
        <f>_xlfn.XLOOKUP(Orders[[#This Row],[ProductID]],Products[ProductID],Products[Category])</f>
        <v>Sports</v>
      </c>
    </row>
    <row r="1512" spans="1:20" x14ac:dyDescent="0.25">
      <c r="A1512" s="4" t="s">
        <v>1701</v>
      </c>
      <c r="B1512" s="5">
        <v>45978</v>
      </c>
      <c r="C1512" s="15">
        <f>WEEKNUM(Orders[[#This Row],[OrderDate]])</f>
        <v>47</v>
      </c>
      <c r="D1512" s="15" t="str">
        <f>TEXT(Orders[[#This Row],[OrderDate]],"mmmm")</f>
        <v>November</v>
      </c>
      <c r="E1512" s="4" t="s">
        <v>161</v>
      </c>
      <c r="F1512" s="4" t="s">
        <v>151</v>
      </c>
      <c r="G1512" s="4">
        <v>2</v>
      </c>
      <c r="H1512" s="12">
        <v>5895.5999999999995</v>
      </c>
      <c r="I1512" s="13">
        <v>5011.2599999999993</v>
      </c>
      <c r="J1512" s="13">
        <f>Orders[[#This Row],[Quantity]]*Orders[[#This Row],[Selling Price]]</f>
        <v>11791.199999999999</v>
      </c>
      <c r="K1512" s="13">
        <f>Orders[[#This Row],[Quantity]]*Orders[[#This Row],[Cost Price]]</f>
        <v>10022.519999999999</v>
      </c>
      <c r="L1512" s="13">
        <f>Orders[[#This Row],[Revenue]]-Orders[[#This Row],[Expenses]]</f>
        <v>1768.6800000000003</v>
      </c>
      <c r="M1512" t="s">
        <v>2199</v>
      </c>
      <c r="N1512" t="str">
        <f>_xlfn.XLOOKUP(Orders[[#This Row],[CustomerID]],Customers[CustomerID],Customers[CustomerName])</f>
        <v>Okon Adeyemi</v>
      </c>
      <c r="O1512" t="str">
        <f>_xlfn.XLOOKUP(Orders[[#This Row],[CustomerID]],Customers[CustomerID],Customers[City])</f>
        <v>Georgia</v>
      </c>
      <c r="P1512" t="str">
        <f>_xlfn.XLOOKUP(Orders[[#This Row],[CustomerID]],Customers[CustomerID],Customers[Gender])</f>
        <v>Male</v>
      </c>
      <c r="Q1512">
        <f>_xlfn.XLOOKUP(Orders[[#This Row],[CustomerID]],Customers[CustomerID],Customers[CustomerAge])</f>
        <v>31</v>
      </c>
      <c r="R1512" t="str">
        <f>IF(Orders[[#This Row],[CustomerAge]]&gt;=35, "Older", "Young")</f>
        <v>Young</v>
      </c>
      <c r="S1512" t="str">
        <f>_xlfn.XLOOKUP(Orders[[#This Row],[ProductID]],Products[ProductID],Products[ProductName])</f>
        <v>Checkers</v>
      </c>
      <c r="T1512" t="str">
        <f>_xlfn.XLOOKUP(Orders[[#This Row],[ProductID]],Products[ProductID],Products[Category])</f>
        <v>Games</v>
      </c>
    </row>
    <row r="1513" spans="1:20" x14ac:dyDescent="0.25">
      <c r="A1513" s="4" t="s">
        <v>1702</v>
      </c>
      <c r="B1513" s="5">
        <v>45991</v>
      </c>
      <c r="C1513" s="15">
        <f>WEEKNUM(Orders[[#This Row],[OrderDate]])</f>
        <v>49</v>
      </c>
      <c r="D1513" s="15" t="str">
        <f>TEXT(Orders[[#This Row],[OrderDate]],"mmmm")</f>
        <v>November</v>
      </c>
      <c r="E1513" s="4" t="s">
        <v>105</v>
      </c>
      <c r="F1513" s="4" t="s">
        <v>46</v>
      </c>
      <c r="G1513" s="4">
        <v>9</v>
      </c>
      <c r="H1513" s="12">
        <v>18000.5</v>
      </c>
      <c r="I1513" s="13">
        <v>15300.424999999999</v>
      </c>
      <c r="J1513" s="13">
        <f>Orders[[#This Row],[Quantity]]*Orders[[#This Row],[Selling Price]]</f>
        <v>162004.5</v>
      </c>
      <c r="K1513" s="13">
        <f>Orders[[#This Row],[Quantity]]*Orders[[#This Row],[Cost Price]]</f>
        <v>137703.82499999998</v>
      </c>
      <c r="L1513" s="13">
        <f>Orders[[#This Row],[Revenue]]-Orders[[#This Row],[Expenses]]</f>
        <v>24300.675000000017</v>
      </c>
      <c r="M1513" t="s">
        <v>2194</v>
      </c>
      <c r="N1513" t="str">
        <f>_xlfn.XLOOKUP(Orders[[#This Row],[CustomerID]],Customers[CustomerID],Customers[CustomerName])</f>
        <v>Folasade Adeyemi</v>
      </c>
      <c r="O1513" t="str">
        <f>_xlfn.XLOOKUP(Orders[[#This Row],[CustomerID]],Customers[CustomerID],Customers[City])</f>
        <v>Georgia</v>
      </c>
      <c r="P1513" t="str">
        <f>_xlfn.XLOOKUP(Orders[[#This Row],[CustomerID]],Customers[CustomerID],Customers[Gender])</f>
        <v>Female</v>
      </c>
      <c r="Q1513">
        <f>_xlfn.XLOOKUP(Orders[[#This Row],[CustomerID]],Customers[CustomerID],Customers[CustomerAge])</f>
        <v>42</v>
      </c>
      <c r="R1513" t="str">
        <f>IF(Orders[[#This Row],[CustomerAge]]&gt;=35, "Older", "Young")</f>
        <v>Older</v>
      </c>
      <c r="S1513" t="str">
        <f>_xlfn.XLOOKUP(Orders[[#This Row],[ProductID]],Products[ProductID],Products[ProductName])</f>
        <v>Turtle Neck</v>
      </c>
      <c r="T1513" t="str">
        <f>_xlfn.XLOOKUP(Orders[[#This Row],[ProductID]],Products[ProductID],Products[Category])</f>
        <v>Clothing</v>
      </c>
    </row>
    <row r="1514" spans="1:20" x14ac:dyDescent="0.25">
      <c r="A1514" s="4" t="s">
        <v>1703</v>
      </c>
      <c r="B1514" s="5">
        <v>46004</v>
      </c>
      <c r="C1514" s="15">
        <f>WEEKNUM(Orders[[#This Row],[OrderDate]])</f>
        <v>50</v>
      </c>
      <c r="D1514" s="15" t="str">
        <f>TEXT(Orders[[#This Row],[OrderDate]],"mmmm")</f>
        <v>December</v>
      </c>
      <c r="E1514" s="4" t="s">
        <v>833</v>
      </c>
      <c r="F1514" s="4" t="s">
        <v>84</v>
      </c>
      <c r="G1514" s="4">
        <v>5</v>
      </c>
      <c r="H1514" s="12">
        <v>713.6</v>
      </c>
      <c r="I1514" s="13">
        <v>606.56000000000006</v>
      </c>
      <c r="J1514" s="13">
        <f>Orders[[#This Row],[Quantity]]*Orders[[#This Row],[Selling Price]]</f>
        <v>3568</v>
      </c>
      <c r="K1514" s="13">
        <f>Orders[[#This Row],[Quantity]]*Orders[[#This Row],[Cost Price]]</f>
        <v>3032.8</v>
      </c>
      <c r="L1514" s="13">
        <f>Orders[[#This Row],[Revenue]]-Orders[[#This Row],[Expenses]]</f>
        <v>535.19999999999982</v>
      </c>
      <c r="M1514" t="s">
        <v>2210</v>
      </c>
      <c r="N1514" t="str">
        <f>_xlfn.XLOOKUP(Orders[[#This Row],[CustomerID]],Customers[CustomerID],Customers[CustomerName])</f>
        <v>Abiola Adeyemi</v>
      </c>
      <c r="O1514" t="str">
        <f>_xlfn.XLOOKUP(Orders[[#This Row],[CustomerID]],Customers[CustomerID],Customers[City])</f>
        <v>Washington</v>
      </c>
      <c r="P1514" t="str">
        <f>_xlfn.XLOOKUP(Orders[[#This Row],[CustomerID]],Customers[CustomerID],Customers[Gender])</f>
        <v>Male</v>
      </c>
      <c r="Q1514">
        <f>_xlfn.XLOOKUP(Orders[[#This Row],[CustomerID]],Customers[CustomerID],Customers[CustomerAge])</f>
        <v>53</v>
      </c>
      <c r="R1514" t="str">
        <f>IF(Orders[[#This Row],[CustomerAge]]&gt;=35, "Older", "Young")</f>
        <v>Older</v>
      </c>
      <c r="S1514" t="str">
        <f>_xlfn.XLOOKUP(Orders[[#This Row],[ProductID]],Products[ProductID],Products[ProductName])</f>
        <v>Gym Wears</v>
      </c>
      <c r="T1514" t="str">
        <f>_xlfn.XLOOKUP(Orders[[#This Row],[ProductID]],Products[ProductID],Products[Category])</f>
        <v>Clothing</v>
      </c>
    </row>
    <row r="1515" spans="1:20" x14ac:dyDescent="0.25">
      <c r="A1515" s="4" t="s">
        <v>1704</v>
      </c>
      <c r="B1515" s="5">
        <v>45961</v>
      </c>
      <c r="C1515" s="15">
        <f>WEEKNUM(Orders[[#This Row],[OrderDate]])</f>
        <v>44</v>
      </c>
      <c r="D1515" s="15" t="str">
        <f>TEXT(Orders[[#This Row],[OrderDate]],"mmmm")</f>
        <v>October</v>
      </c>
      <c r="E1515" s="4" t="s">
        <v>146</v>
      </c>
      <c r="F1515" s="4" t="s">
        <v>168</v>
      </c>
      <c r="G1515" s="4">
        <v>4</v>
      </c>
      <c r="H1515" s="12">
        <v>15565.8</v>
      </c>
      <c r="I1515" s="13">
        <v>13230.93</v>
      </c>
      <c r="J1515" s="13">
        <f>Orders[[#This Row],[Quantity]]*Orders[[#This Row],[Selling Price]]</f>
        <v>62263.199999999997</v>
      </c>
      <c r="K1515" s="13">
        <f>Orders[[#This Row],[Quantity]]*Orders[[#This Row],[Cost Price]]</f>
        <v>52923.72</v>
      </c>
      <c r="L1515" s="13">
        <f>Orders[[#This Row],[Revenue]]-Orders[[#This Row],[Expenses]]</f>
        <v>9339.4799999999959</v>
      </c>
      <c r="M1515" t="s">
        <v>2210</v>
      </c>
      <c r="N1515" t="str">
        <f>_xlfn.XLOOKUP(Orders[[#This Row],[CustomerID]],Customers[CustomerID],Customers[CustomerName])</f>
        <v>Mustafa Igwe</v>
      </c>
      <c r="O1515" t="str">
        <f>_xlfn.XLOOKUP(Orders[[#This Row],[CustomerID]],Customers[CustomerID],Customers[City])</f>
        <v>Texas</v>
      </c>
      <c r="P1515" t="str">
        <f>_xlfn.XLOOKUP(Orders[[#This Row],[CustomerID]],Customers[CustomerID],Customers[Gender])</f>
        <v>Male</v>
      </c>
      <c r="Q1515">
        <f>_xlfn.XLOOKUP(Orders[[#This Row],[CustomerID]],Customers[CustomerID],Customers[CustomerAge])</f>
        <v>27</v>
      </c>
      <c r="R1515" t="str">
        <f>IF(Orders[[#This Row],[CustomerAge]]&gt;=35, "Older", "Young")</f>
        <v>Young</v>
      </c>
      <c r="S1515" t="str">
        <f>_xlfn.XLOOKUP(Orders[[#This Row],[ProductID]],Products[ProductID],Products[ProductName])</f>
        <v>Dumb Bells</v>
      </c>
      <c r="T1515" t="str">
        <f>_xlfn.XLOOKUP(Orders[[#This Row],[ProductID]],Products[ProductID],Products[Category])</f>
        <v>Gym</v>
      </c>
    </row>
    <row r="1516" spans="1:20" x14ac:dyDescent="0.25">
      <c r="A1516" s="4" t="s">
        <v>1705</v>
      </c>
      <c r="B1516" s="5">
        <v>45962</v>
      </c>
      <c r="C1516" s="15">
        <f>WEEKNUM(Orders[[#This Row],[OrderDate]])</f>
        <v>44</v>
      </c>
      <c r="D1516" s="15" t="str">
        <f>TEXT(Orders[[#This Row],[OrderDate]],"mmmm")</f>
        <v>November</v>
      </c>
      <c r="E1516" s="4" t="s">
        <v>514</v>
      </c>
      <c r="F1516" s="4" t="s">
        <v>66</v>
      </c>
      <c r="G1516" s="4">
        <v>8</v>
      </c>
      <c r="H1516" s="12">
        <v>7081.5999999999995</v>
      </c>
      <c r="I1516" s="13">
        <v>6019.36</v>
      </c>
      <c r="J1516" s="13">
        <f>Orders[[#This Row],[Quantity]]*Orders[[#This Row],[Selling Price]]</f>
        <v>56652.799999999996</v>
      </c>
      <c r="K1516" s="13">
        <f>Orders[[#This Row],[Quantity]]*Orders[[#This Row],[Cost Price]]</f>
        <v>48154.879999999997</v>
      </c>
      <c r="L1516" s="13">
        <f>Orders[[#This Row],[Revenue]]-Orders[[#This Row],[Expenses]]</f>
        <v>8497.9199999999983</v>
      </c>
      <c r="M1516" t="s">
        <v>2205</v>
      </c>
      <c r="N1516" t="str">
        <f>_xlfn.XLOOKUP(Orders[[#This Row],[CustomerID]],Customers[CustomerID],Customers[CustomerName])</f>
        <v>Ibrahim Okonkwo</v>
      </c>
      <c r="O1516" t="str">
        <f>_xlfn.XLOOKUP(Orders[[#This Row],[CustomerID]],Customers[CustomerID],Customers[City])</f>
        <v>Florida</v>
      </c>
      <c r="P1516" t="str">
        <f>_xlfn.XLOOKUP(Orders[[#This Row],[CustomerID]],Customers[CustomerID],Customers[Gender])</f>
        <v>Male</v>
      </c>
      <c r="Q1516">
        <f>_xlfn.XLOOKUP(Orders[[#This Row],[CustomerID]],Customers[CustomerID],Customers[CustomerAge])</f>
        <v>28</v>
      </c>
      <c r="R1516" t="str">
        <f>IF(Orders[[#This Row],[CustomerAge]]&gt;=35, "Older", "Young")</f>
        <v>Young</v>
      </c>
      <c r="S1516" t="str">
        <f>_xlfn.XLOOKUP(Orders[[#This Row],[ProductID]],Products[ProductID],Products[ProductName])</f>
        <v>Microwave</v>
      </c>
      <c r="T1516" t="str">
        <f>_xlfn.XLOOKUP(Orders[[#This Row],[ProductID]],Products[ProductID],Products[Category])</f>
        <v>Electronics</v>
      </c>
    </row>
    <row r="1517" spans="1:20" x14ac:dyDescent="0.25">
      <c r="A1517" s="4" t="s">
        <v>1706</v>
      </c>
      <c r="B1517" s="5">
        <v>45936</v>
      </c>
      <c r="C1517" s="15">
        <f>WEEKNUM(Orders[[#This Row],[OrderDate]])</f>
        <v>41</v>
      </c>
      <c r="D1517" s="15" t="str">
        <f>TEXT(Orders[[#This Row],[OrderDate]],"mmmm")</f>
        <v>October</v>
      </c>
      <c r="E1517" s="4" t="s">
        <v>285</v>
      </c>
      <c r="F1517" s="4" t="s">
        <v>63</v>
      </c>
      <c r="G1517" s="4">
        <v>10</v>
      </c>
      <c r="H1517" s="12">
        <v>3090.8999999999996</v>
      </c>
      <c r="I1517" s="13">
        <v>2627.2649999999999</v>
      </c>
      <c r="J1517" s="13">
        <f>Orders[[#This Row],[Quantity]]*Orders[[#This Row],[Selling Price]]</f>
        <v>30908.999999999996</v>
      </c>
      <c r="K1517" s="13">
        <f>Orders[[#This Row],[Quantity]]*Orders[[#This Row],[Cost Price]]</f>
        <v>26272.649999999998</v>
      </c>
      <c r="L1517" s="13">
        <f>Orders[[#This Row],[Revenue]]-Orders[[#This Row],[Expenses]]</f>
        <v>4636.3499999999985</v>
      </c>
      <c r="M1517" t="s">
        <v>2214</v>
      </c>
      <c r="N1517" t="str">
        <f>_xlfn.XLOOKUP(Orders[[#This Row],[CustomerID]],Customers[CustomerID],Customers[CustomerName])</f>
        <v>Sani Balogun</v>
      </c>
      <c r="O1517" t="str">
        <f>_xlfn.XLOOKUP(Orders[[#This Row],[CustomerID]],Customers[CustomerID],Customers[City])</f>
        <v>California</v>
      </c>
      <c r="P1517" t="str">
        <f>_xlfn.XLOOKUP(Orders[[#This Row],[CustomerID]],Customers[CustomerID],Customers[Gender])</f>
        <v>Male</v>
      </c>
      <c r="Q1517">
        <f>_xlfn.XLOOKUP(Orders[[#This Row],[CustomerID]],Customers[CustomerID],Customers[CustomerAge])</f>
        <v>27</v>
      </c>
      <c r="R1517" t="str">
        <f>IF(Orders[[#This Row],[CustomerAge]]&gt;=35, "Older", "Young")</f>
        <v>Young</v>
      </c>
      <c r="S1517" t="str">
        <f>_xlfn.XLOOKUP(Orders[[#This Row],[ProductID]],Products[ProductID],Products[ProductName])</f>
        <v>Tennis Bat</v>
      </c>
      <c r="T1517" t="str">
        <f>_xlfn.XLOOKUP(Orders[[#This Row],[ProductID]],Products[ProductID],Products[Category])</f>
        <v>Sports</v>
      </c>
    </row>
    <row r="1518" spans="1:20" x14ac:dyDescent="0.25">
      <c r="A1518" s="4" t="s">
        <v>1707</v>
      </c>
      <c r="B1518" s="5">
        <v>45963</v>
      </c>
      <c r="C1518" s="15">
        <f>WEEKNUM(Orders[[#This Row],[OrderDate]])</f>
        <v>45</v>
      </c>
      <c r="D1518" s="15" t="str">
        <f>TEXT(Orders[[#This Row],[OrderDate]],"mmmm")</f>
        <v>November</v>
      </c>
      <c r="E1518" s="4" t="s">
        <v>17</v>
      </c>
      <c r="F1518" s="4" t="s">
        <v>60</v>
      </c>
      <c r="G1518" s="4">
        <v>6</v>
      </c>
      <c r="H1518" s="12">
        <v>15070</v>
      </c>
      <c r="I1518" s="13">
        <v>12809.5</v>
      </c>
      <c r="J1518" s="13">
        <f>Orders[[#This Row],[Quantity]]*Orders[[#This Row],[Selling Price]]</f>
        <v>90420</v>
      </c>
      <c r="K1518" s="13">
        <f>Orders[[#This Row],[Quantity]]*Orders[[#This Row],[Cost Price]]</f>
        <v>76857</v>
      </c>
      <c r="L1518" s="13">
        <f>Orders[[#This Row],[Revenue]]-Orders[[#This Row],[Expenses]]</f>
        <v>13563</v>
      </c>
      <c r="M1518" t="s">
        <v>2193</v>
      </c>
      <c r="N1518" t="str">
        <f>_xlfn.XLOOKUP(Orders[[#This Row],[CustomerID]],Customers[CustomerID],Customers[CustomerName])</f>
        <v>Bisi Adeyemi</v>
      </c>
      <c r="O1518" t="str">
        <f>_xlfn.XLOOKUP(Orders[[#This Row],[CustomerID]],Customers[CustomerID],Customers[City])</f>
        <v>Illinois</v>
      </c>
      <c r="P1518" t="str">
        <f>_xlfn.XLOOKUP(Orders[[#This Row],[CustomerID]],Customers[CustomerID],Customers[Gender])</f>
        <v>Female</v>
      </c>
      <c r="Q1518">
        <f>_xlfn.XLOOKUP(Orders[[#This Row],[CustomerID]],Customers[CustomerID],Customers[CustomerAge])</f>
        <v>48</v>
      </c>
      <c r="R1518" t="str">
        <f>IF(Orders[[#This Row],[CustomerAge]]&gt;=35, "Older", "Young")</f>
        <v>Older</v>
      </c>
      <c r="S1518" t="str">
        <f>_xlfn.XLOOKUP(Orders[[#This Row],[ProductID]],Products[ProductID],Products[ProductName])</f>
        <v>Silver Rings</v>
      </c>
      <c r="T1518" t="str">
        <f>_xlfn.XLOOKUP(Orders[[#This Row],[ProductID]],Products[ProductID],Products[Category])</f>
        <v>Accessories</v>
      </c>
    </row>
    <row r="1519" spans="1:20" x14ac:dyDescent="0.25">
      <c r="A1519" s="4" t="s">
        <v>1708</v>
      </c>
      <c r="B1519" s="5">
        <v>45965</v>
      </c>
      <c r="C1519" s="15">
        <f>WEEKNUM(Orders[[#This Row],[OrderDate]])</f>
        <v>45</v>
      </c>
      <c r="D1519" s="15" t="str">
        <f>TEXT(Orders[[#This Row],[OrderDate]],"mmmm")</f>
        <v>November</v>
      </c>
      <c r="E1519" s="4" t="s">
        <v>210</v>
      </c>
      <c r="F1519" s="4" t="s">
        <v>151</v>
      </c>
      <c r="G1519" s="4">
        <v>4</v>
      </c>
      <c r="H1519" s="12">
        <v>5096.2</v>
      </c>
      <c r="I1519" s="13">
        <v>4331.7699999999995</v>
      </c>
      <c r="J1519" s="13">
        <f>Orders[[#This Row],[Quantity]]*Orders[[#This Row],[Selling Price]]</f>
        <v>20384.8</v>
      </c>
      <c r="K1519" s="13">
        <f>Orders[[#This Row],[Quantity]]*Orders[[#This Row],[Cost Price]]</f>
        <v>17327.079999999998</v>
      </c>
      <c r="L1519" s="13">
        <f>Orders[[#This Row],[Revenue]]-Orders[[#This Row],[Expenses]]</f>
        <v>3057.7200000000012</v>
      </c>
      <c r="M1519" t="s">
        <v>2206</v>
      </c>
      <c r="N1519" t="str">
        <f>_xlfn.XLOOKUP(Orders[[#This Row],[CustomerID]],Customers[CustomerID],Customers[CustomerName])</f>
        <v>Zainab Bello</v>
      </c>
      <c r="O1519" t="str">
        <f>_xlfn.XLOOKUP(Orders[[#This Row],[CustomerID]],Customers[CustomerID],Customers[City])</f>
        <v>Illinois</v>
      </c>
      <c r="P1519" t="str">
        <f>_xlfn.XLOOKUP(Orders[[#This Row],[CustomerID]],Customers[CustomerID],Customers[Gender])</f>
        <v>Female</v>
      </c>
      <c r="Q1519">
        <f>_xlfn.XLOOKUP(Orders[[#This Row],[CustomerID]],Customers[CustomerID],Customers[CustomerAge])</f>
        <v>27</v>
      </c>
      <c r="R1519" t="str">
        <f>IF(Orders[[#This Row],[CustomerAge]]&gt;=35, "Older", "Young")</f>
        <v>Young</v>
      </c>
      <c r="S1519" t="str">
        <f>_xlfn.XLOOKUP(Orders[[#This Row],[ProductID]],Products[ProductID],Products[ProductName])</f>
        <v>Checkers</v>
      </c>
      <c r="T1519" t="str">
        <f>_xlfn.XLOOKUP(Orders[[#This Row],[ProductID]],Products[ProductID],Products[Category])</f>
        <v>Games</v>
      </c>
    </row>
    <row r="1520" spans="1:20" x14ac:dyDescent="0.25">
      <c r="A1520" s="4" t="s">
        <v>1709</v>
      </c>
      <c r="B1520" s="5">
        <v>45957</v>
      </c>
      <c r="C1520" s="15">
        <f>WEEKNUM(Orders[[#This Row],[OrderDate]])</f>
        <v>44</v>
      </c>
      <c r="D1520" s="15" t="str">
        <f>TEXT(Orders[[#This Row],[OrderDate]],"mmmm")</f>
        <v>October</v>
      </c>
      <c r="E1520" s="4" t="s">
        <v>78</v>
      </c>
      <c r="F1520" s="4" t="s">
        <v>28</v>
      </c>
      <c r="G1520" s="4">
        <v>8</v>
      </c>
      <c r="H1520" s="12">
        <v>3925.2</v>
      </c>
      <c r="I1520" s="13">
        <v>3336.42</v>
      </c>
      <c r="J1520" s="13">
        <f>Orders[[#This Row],[Quantity]]*Orders[[#This Row],[Selling Price]]</f>
        <v>31401.599999999999</v>
      </c>
      <c r="K1520" s="13">
        <f>Orders[[#This Row],[Quantity]]*Orders[[#This Row],[Cost Price]]</f>
        <v>26691.360000000001</v>
      </c>
      <c r="L1520" s="13">
        <f>Orders[[#This Row],[Revenue]]-Orders[[#This Row],[Expenses]]</f>
        <v>4710.239999999998</v>
      </c>
      <c r="M1520" t="s">
        <v>2216</v>
      </c>
      <c r="N1520" t="str">
        <f>_xlfn.XLOOKUP(Orders[[#This Row],[CustomerID]],Customers[CustomerID],Customers[CustomerName])</f>
        <v>Chinedu Obi</v>
      </c>
      <c r="O1520" t="str">
        <f>_xlfn.XLOOKUP(Orders[[#This Row],[CustomerID]],Customers[CustomerID],Customers[City])</f>
        <v>Washington</v>
      </c>
      <c r="P1520" t="str">
        <f>_xlfn.XLOOKUP(Orders[[#This Row],[CustomerID]],Customers[CustomerID],Customers[Gender])</f>
        <v>Male</v>
      </c>
      <c r="Q1520">
        <f>_xlfn.XLOOKUP(Orders[[#This Row],[CustomerID]],Customers[CustomerID],Customers[CustomerAge])</f>
        <v>38</v>
      </c>
      <c r="R1520" t="str">
        <f>IF(Orders[[#This Row],[CustomerAge]]&gt;=35, "Older", "Young")</f>
        <v>Older</v>
      </c>
      <c r="S1520" t="str">
        <f>_xlfn.XLOOKUP(Orders[[#This Row],[ProductID]],Products[ProductID],Products[ProductName])</f>
        <v>Sneakers</v>
      </c>
      <c r="T1520" t="str">
        <f>_xlfn.XLOOKUP(Orders[[#This Row],[ProductID]],Products[ProductID],Products[Category])</f>
        <v>Sports</v>
      </c>
    </row>
    <row r="1521" spans="1:20" x14ac:dyDescent="0.25">
      <c r="A1521" s="4" t="s">
        <v>1710</v>
      </c>
      <c r="B1521" s="5">
        <v>45946</v>
      </c>
      <c r="C1521" s="15">
        <f>WEEKNUM(Orders[[#This Row],[OrderDate]])</f>
        <v>42</v>
      </c>
      <c r="D1521" s="15" t="str">
        <f>TEXT(Orders[[#This Row],[OrderDate]],"mmmm")</f>
        <v>October</v>
      </c>
      <c r="E1521" s="4" t="s">
        <v>129</v>
      </c>
      <c r="F1521" s="4" t="s">
        <v>253</v>
      </c>
      <c r="G1521" s="4">
        <v>8</v>
      </c>
      <c r="H1521" s="12">
        <v>17750.099999999999</v>
      </c>
      <c r="I1521" s="13">
        <v>15087.584999999999</v>
      </c>
      <c r="J1521" s="13">
        <f>Orders[[#This Row],[Quantity]]*Orders[[#This Row],[Selling Price]]</f>
        <v>142000.79999999999</v>
      </c>
      <c r="K1521" s="13">
        <f>Orders[[#This Row],[Quantity]]*Orders[[#This Row],[Cost Price]]</f>
        <v>120700.68</v>
      </c>
      <c r="L1521" s="13">
        <f>Orders[[#This Row],[Revenue]]-Orders[[#This Row],[Expenses]]</f>
        <v>21300.119999999995</v>
      </c>
      <c r="M1521" t="s">
        <v>2209</v>
      </c>
      <c r="N1521" t="str">
        <f>_xlfn.XLOOKUP(Orders[[#This Row],[CustomerID]],Customers[CustomerID],Customers[CustomerName])</f>
        <v>Chioma Ojo</v>
      </c>
      <c r="O1521" t="str">
        <f>_xlfn.XLOOKUP(Orders[[#This Row],[CustomerID]],Customers[CustomerID],Customers[City])</f>
        <v>Washington</v>
      </c>
      <c r="P1521" t="str">
        <f>_xlfn.XLOOKUP(Orders[[#This Row],[CustomerID]],Customers[CustomerID],Customers[Gender])</f>
        <v>Female</v>
      </c>
      <c r="Q1521">
        <f>_xlfn.XLOOKUP(Orders[[#This Row],[CustomerID]],Customers[CustomerID],Customers[CustomerAge])</f>
        <v>46</v>
      </c>
      <c r="R1521" t="str">
        <f>IF(Orders[[#This Row],[CustomerAge]]&gt;=35, "Older", "Young")</f>
        <v>Older</v>
      </c>
      <c r="S1521" t="str">
        <f>_xlfn.XLOOKUP(Orders[[#This Row],[ProductID]],Products[ProductID],Products[ProductName])</f>
        <v>Nose Rings</v>
      </c>
      <c r="T1521" t="str">
        <f>_xlfn.XLOOKUP(Orders[[#This Row],[ProductID]],Products[ProductID],Products[Category])</f>
        <v>Accessories</v>
      </c>
    </row>
    <row r="1522" spans="1:20" x14ac:dyDescent="0.25">
      <c r="A1522" s="4" t="s">
        <v>1711</v>
      </c>
      <c r="B1522" s="5">
        <v>45998</v>
      </c>
      <c r="C1522" s="15">
        <f>WEEKNUM(Orders[[#This Row],[OrderDate]])</f>
        <v>50</v>
      </c>
      <c r="D1522" s="15" t="str">
        <f>TEXT(Orders[[#This Row],[OrderDate]],"mmmm")</f>
        <v>December</v>
      </c>
      <c r="E1522" s="4" t="s">
        <v>132</v>
      </c>
      <c r="F1522" s="4" t="s">
        <v>25</v>
      </c>
      <c r="G1522" s="4">
        <v>9</v>
      </c>
      <c r="H1522" s="12">
        <v>6360.2999999999993</v>
      </c>
      <c r="I1522" s="13">
        <v>5406.2549999999992</v>
      </c>
      <c r="J1522" s="13">
        <f>Orders[[#This Row],[Quantity]]*Orders[[#This Row],[Selling Price]]</f>
        <v>57242.7</v>
      </c>
      <c r="K1522" s="13">
        <f>Orders[[#This Row],[Quantity]]*Orders[[#This Row],[Cost Price]]</f>
        <v>48656.294999999991</v>
      </c>
      <c r="L1522" s="13">
        <f>Orders[[#This Row],[Revenue]]-Orders[[#This Row],[Expenses]]</f>
        <v>8586.4050000000061</v>
      </c>
      <c r="M1522" t="s">
        <v>2199</v>
      </c>
      <c r="N1522" t="str">
        <f>_xlfn.XLOOKUP(Orders[[#This Row],[CustomerID]],Customers[CustomerID],Customers[CustomerName])</f>
        <v>Emeka Balogun</v>
      </c>
      <c r="O1522" t="str">
        <f>_xlfn.XLOOKUP(Orders[[#This Row],[CustomerID]],Customers[CustomerID],Customers[City])</f>
        <v>Illinois</v>
      </c>
      <c r="P1522" t="str">
        <f>_xlfn.XLOOKUP(Orders[[#This Row],[CustomerID]],Customers[CustomerID],Customers[Gender])</f>
        <v>Male</v>
      </c>
      <c r="Q1522">
        <f>_xlfn.XLOOKUP(Orders[[#This Row],[CustomerID]],Customers[CustomerID],Customers[CustomerAge])</f>
        <v>36</v>
      </c>
      <c r="R1522" t="str">
        <f>IF(Orders[[#This Row],[CustomerAge]]&gt;=35, "Older", "Young")</f>
        <v>Older</v>
      </c>
      <c r="S1522" t="str">
        <f>_xlfn.XLOOKUP(Orders[[#This Row],[ProductID]],Products[ProductID],Products[ProductName])</f>
        <v>Gold Rings</v>
      </c>
      <c r="T1522" t="str">
        <f>_xlfn.XLOOKUP(Orders[[#This Row],[ProductID]],Products[ProductID],Products[Category])</f>
        <v>Accessories</v>
      </c>
    </row>
    <row r="1523" spans="1:20" x14ac:dyDescent="0.25">
      <c r="A1523" s="4" t="s">
        <v>1712</v>
      </c>
      <c r="B1523" s="5">
        <v>45980</v>
      </c>
      <c r="C1523" s="15">
        <f>WEEKNUM(Orders[[#This Row],[OrderDate]])</f>
        <v>47</v>
      </c>
      <c r="D1523" s="15" t="str">
        <f>TEXT(Orders[[#This Row],[OrderDate]],"mmmm")</f>
        <v>November</v>
      </c>
      <c r="E1523" s="4" t="s">
        <v>282</v>
      </c>
      <c r="F1523" s="4" t="s">
        <v>125</v>
      </c>
      <c r="G1523" s="4">
        <v>8</v>
      </c>
      <c r="H1523" s="12">
        <v>5618.9</v>
      </c>
      <c r="I1523" s="13">
        <v>4776.0649999999996</v>
      </c>
      <c r="J1523" s="13">
        <f>Orders[[#This Row],[Quantity]]*Orders[[#This Row],[Selling Price]]</f>
        <v>44951.199999999997</v>
      </c>
      <c r="K1523" s="13">
        <f>Orders[[#This Row],[Quantity]]*Orders[[#This Row],[Cost Price]]</f>
        <v>38208.519999999997</v>
      </c>
      <c r="L1523" s="13">
        <f>Orders[[#This Row],[Revenue]]-Orders[[#This Row],[Expenses]]</f>
        <v>6742.68</v>
      </c>
      <c r="M1523" t="s">
        <v>2206</v>
      </c>
      <c r="N1523" t="str">
        <f>_xlfn.XLOOKUP(Orders[[#This Row],[CustomerID]],Customers[CustomerID],Customers[CustomerName])</f>
        <v>Bisi Ojo</v>
      </c>
      <c r="O1523" t="str">
        <f>_xlfn.XLOOKUP(Orders[[#This Row],[CustomerID]],Customers[CustomerID],Customers[City])</f>
        <v>Texas</v>
      </c>
      <c r="P1523" t="str">
        <f>_xlfn.XLOOKUP(Orders[[#This Row],[CustomerID]],Customers[CustomerID],Customers[Gender])</f>
        <v>Female</v>
      </c>
      <c r="Q1523">
        <f>_xlfn.XLOOKUP(Orders[[#This Row],[CustomerID]],Customers[CustomerID],Customers[CustomerAge])</f>
        <v>26</v>
      </c>
      <c r="R1523" t="str">
        <f>IF(Orders[[#This Row],[CustomerAge]]&gt;=35, "Older", "Young")</f>
        <v>Young</v>
      </c>
      <c r="S1523" t="str">
        <f>_xlfn.XLOOKUP(Orders[[#This Row],[ProductID]],Products[ProductID],Products[ProductName])</f>
        <v>Earrings</v>
      </c>
      <c r="T1523" t="str">
        <f>_xlfn.XLOOKUP(Orders[[#This Row],[ProductID]],Products[ProductID],Products[Category])</f>
        <v>Accessories</v>
      </c>
    </row>
    <row r="1524" spans="1:20" x14ac:dyDescent="0.25">
      <c r="A1524" s="4" t="s">
        <v>1713</v>
      </c>
      <c r="B1524" s="5">
        <v>45953</v>
      </c>
      <c r="C1524" s="15">
        <f>WEEKNUM(Orders[[#This Row],[OrderDate]])</f>
        <v>43</v>
      </c>
      <c r="D1524" s="15" t="str">
        <f>TEXT(Orders[[#This Row],[OrderDate]],"mmmm")</f>
        <v>October</v>
      </c>
      <c r="E1524" s="4" t="s">
        <v>210</v>
      </c>
      <c r="F1524" s="4" t="s">
        <v>12</v>
      </c>
      <c r="G1524" s="4">
        <v>2</v>
      </c>
      <c r="H1524" s="12">
        <v>17062.8</v>
      </c>
      <c r="I1524" s="13">
        <v>14503.38</v>
      </c>
      <c r="J1524" s="13">
        <f>Orders[[#This Row],[Quantity]]*Orders[[#This Row],[Selling Price]]</f>
        <v>34125.599999999999</v>
      </c>
      <c r="K1524" s="13">
        <f>Orders[[#This Row],[Quantity]]*Orders[[#This Row],[Cost Price]]</f>
        <v>29006.76</v>
      </c>
      <c r="L1524" s="13">
        <f>Orders[[#This Row],[Revenue]]-Orders[[#This Row],[Expenses]]</f>
        <v>5118.84</v>
      </c>
      <c r="M1524" t="s">
        <v>2204</v>
      </c>
      <c r="N1524" t="str">
        <f>_xlfn.XLOOKUP(Orders[[#This Row],[CustomerID]],Customers[CustomerID],Customers[CustomerName])</f>
        <v>Zainab Bello</v>
      </c>
      <c r="O1524" t="str">
        <f>_xlfn.XLOOKUP(Orders[[#This Row],[CustomerID]],Customers[CustomerID],Customers[City])</f>
        <v>Illinois</v>
      </c>
      <c r="P1524" t="str">
        <f>_xlfn.XLOOKUP(Orders[[#This Row],[CustomerID]],Customers[CustomerID],Customers[Gender])</f>
        <v>Female</v>
      </c>
      <c r="Q1524">
        <f>_xlfn.XLOOKUP(Orders[[#This Row],[CustomerID]],Customers[CustomerID],Customers[CustomerAge])</f>
        <v>27</v>
      </c>
      <c r="R1524" t="str">
        <f>IF(Orders[[#This Row],[CustomerAge]]&gt;=35, "Older", "Young")</f>
        <v>Young</v>
      </c>
      <c r="S1524" t="str">
        <f>_xlfn.XLOOKUP(Orders[[#This Row],[ProductID]],Products[ProductID],Products[ProductName])</f>
        <v>Boubou</v>
      </c>
      <c r="T1524" t="str">
        <f>_xlfn.XLOOKUP(Orders[[#This Row],[ProductID]],Products[ProductID],Products[Category])</f>
        <v>Clothing</v>
      </c>
    </row>
    <row r="1525" spans="1:20" x14ac:dyDescent="0.25">
      <c r="A1525" s="4" t="s">
        <v>1714</v>
      </c>
      <c r="B1525" s="5">
        <v>45979</v>
      </c>
      <c r="C1525" s="15">
        <f>WEEKNUM(Orders[[#This Row],[OrderDate]])</f>
        <v>47</v>
      </c>
      <c r="D1525" s="15" t="str">
        <f>TEXT(Orders[[#This Row],[OrderDate]],"mmmm")</f>
        <v>November</v>
      </c>
      <c r="E1525" s="4" t="s">
        <v>101</v>
      </c>
      <c r="F1525" s="4" t="s">
        <v>111</v>
      </c>
      <c r="G1525" s="4">
        <v>7</v>
      </c>
      <c r="H1525" s="12">
        <v>11519.300000000001</v>
      </c>
      <c r="I1525" s="13">
        <v>9791.4050000000007</v>
      </c>
      <c r="J1525" s="13">
        <f>Orders[[#This Row],[Quantity]]*Orders[[#This Row],[Selling Price]]</f>
        <v>80635.100000000006</v>
      </c>
      <c r="K1525" s="13">
        <f>Orders[[#This Row],[Quantity]]*Orders[[#This Row],[Cost Price]]</f>
        <v>68539.835000000006</v>
      </c>
      <c r="L1525" s="13">
        <f>Orders[[#This Row],[Revenue]]-Orders[[#This Row],[Expenses]]</f>
        <v>12095.264999999999</v>
      </c>
      <c r="M1525" t="s">
        <v>2211</v>
      </c>
      <c r="N1525" t="str">
        <f>_xlfn.XLOOKUP(Orders[[#This Row],[CustomerID]],Customers[CustomerID],Customers[CustomerName])</f>
        <v>Blessing Eze</v>
      </c>
      <c r="O1525" t="str">
        <f>_xlfn.XLOOKUP(Orders[[#This Row],[CustomerID]],Customers[CustomerID],Customers[City])</f>
        <v>Texas</v>
      </c>
      <c r="P1525" t="str">
        <f>_xlfn.XLOOKUP(Orders[[#This Row],[CustomerID]],Customers[CustomerID],Customers[Gender])</f>
        <v>Female</v>
      </c>
      <c r="Q1525">
        <f>_xlfn.XLOOKUP(Orders[[#This Row],[CustomerID]],Customers[CustomerID],Customers[CustomerAge])</f>
        <v>55</v>
      </c>
      <c r="R1525" t="str">
        <f>IF(Orders[[#This Row],[CustomerAge]]&gt;=35, "Older", "Young")</f>
        <v>Older</v>
      </c>
      <c r="S1525" t="str">
        <f>_xlfn.XLOOKUP(Orders[[#This Row],[ProductID]],Products[ProductID],Products[ProductName])</f>
        <v>Refrigerator</v>
      </c>
      <c r="T1525" t="str">
        <f>_xlfn.XLOOKUP(Orders[[#This Row],[ProductID]],Products[ProductID],Products[Category])</f>
        <v>Electronics</v>
      </c>
    </row>
    <row r="1526" spans="1:20" x14ac:dyDescent="0.25">
      <c r="A1526" s="4" t="s">
        <v>1715</v>
      </c>
      <c r="B1526" s="5">
        <v>45932</v>
      </c>
      <c r="C1526" s="15">
        <f>WEEKNUM(Orders[[#This Row],[OrderDate]])</f>
        <v>40</v>
      </c>
      <c r="D1526" s="15" t="str">
        <f>TEXT(Orders[[#This Row],[OrderDate]],"mmmm")</f>
        <v>October</v>
      </c>
      <c r="E1526" s="4" t="s">
        <v>307</v>
      </c>
      <c r="F1526" s="4" t="s">
        <v>353</v>
      </c>
      <c r="G1526" s="4">
        <v>7</v>
      </c>
      <c r="H1526" s="12">
        <v>19271.400000000001</v>
      </c>
      <c r="I1526" s="13">
        <v>16380.690000000002</v>
      </c>
      <c r="J1526" s="13">
        <f>Orders[[#This Row],[Quantity]]*Orders[[#This Row],[Selling Price]]</f>
        <v>134899.80000000002</v>
      </c>
      <c r="K1526" s="13">
        <f>Orders[[#This Row],[Quantity]]*Orders[[#This Row],[Cost Price]]</f>
        <v>114664.83000000002</v>
      </c>
      <c r="L1526" s="13">
        <f>Orders[[#This Row],[Revenue]]-Orders[[#This Row],[Expenses]]</f>
        <v>20234.97</v>
      </c>
      <c r="M1526" t="s">
        <v>2214</v>
      </c>
      <c r="N1526" t="str">
        <f>_xlfn.XLOOKUP(Orders[[#This Row],[CustomerID]],Customers[CustomerID],Customers[CustomerName])</f>
        <v>Adanma Bello</v>
      </c>
      <c r="O1526" t="str">
        <f>_xlfn.XLOOKUP(Orders[[#This Row],[CustomerID]],Customers[CustomerID],Customers[City])</f>
        <v>Illinois</v>
      </c>
      <c r="P1526" t="str">
        <f>_xlfn.XLOOKUP(Orders[[#This Row],[CustomerID]],Customers[CustomerID],Customers[Gender])</f>
        <v>Female</v>
      </c>
      <c r="Q1526">
        <f>_xlfn.XLOOKUP(Orders[[#This Row],[CustomerID]],Customers[CustomerID],Customers[CustomerAge])</f>
        <v>51</v>
      </c>
      <c r="R1526" t="str">
        <f>IF(Orders[[#This Row],[CustomerAge]]&gt;=35, "Older", "Young")</f>
        <v>Older</v>
      </c>
      <c r="S1526" t="str">
        <f>_xlfn.XLOOKUP(Orders[[#This Row],[ProductID]],Products[ProductID],Products[ProductName])</f>
        <v>Silver Earrings And Necklaces</v>
      </c>
      <c r="T1526" t="str">
        <f>_xlfn.XLOOKUP(Orders[[#This Row],[ProductID]],Products[ProductID],Products[Category])</f>
        <v>Accessories</v>
      </c>
    </row>
    <row r="1527" spans="1:20" x14ac:dyDescent="0.25">
      <c r="A1527" s="4" t="s">
        <v>1716</v>
      </c>
      <c r="B1527" s="5">
        <v>45993</v>
      </c>
      <c r="C1527" s="15">
        <f>WEEKNUM(Orders[[#This Row],[OrderDate]])</f>
        <v>49</v>
      </c>
      <c r="D1527" s="15" t="str">
        <f>TEXT(Orders[[#This Row],[OrderDate]],"mmmm")</f>
        <v>December</v>
      </c>
      <c r="E1527" s="4" t="s">
        <v>43</v>
      </c>
      <c r="F1527" s="4" t="s">
        <v>157</v>
      </c>
      <c r="G1527" s="4">
        <v>9</v>
      </c>
      <c r="H1527" s="12">
        <v>3463.3999999999996</v>
      </c>
      <c r="I1527" s="13">
        <v>2943.89</v>
      </c>
      <c r="J1527" s="13">
        <f>Orders[[#This Row],[Quantity]]*Orders[[#This Row],[Selling Price]]</f>
        <v>31170.6</v>
      </c>
      <c r="K1527" s="13">
        <f>Orders[[#This Row],[Quantity]]*Orders[[#This Row],[Cost Price]]</f>
        <v>26495.01</v>
      </c>
      <c r="L1527" s="13">
        <f>Orders[[#This Row],[Revenue]]-Orders[[#This Row],[Expenses]]</f>
        <v>4675.59</v>
      </c>
      <c r="M1527" t="s">
        <v>2196</v>
      </c>
      <c r="N1527" t="str">
        <f>_xlfn.XLOOKUP(Orders[[#This Row],[CustomerID]],Customers[CustomerID],Customers[CustomerName])</f>
        <v>Mustafa Danladi</v>
      </c>
      <c r="O1527" t="str">
        <f>_xlfn.XLOOKUP(Orders[[#This Row],[CustomerID]],Customers[CustomerID],Customers[City])</f>
        <v>Georgia</v>
      </c>
      <c r="P1527" t="str">
        <f>_xlfn.XLOOKUP(Orders[[#This Row],[CustomerID]],Customers[CustomerID],Customers[Gender])</f>
        <v>Male</v>
      </c>
      <c r="Q1527">
        <f>_xlfn.XLOOKUP(Orders[[#This Row],[CustomerID]],Customers[CustomerID],Customers[CustomerAge])</f>
        <v>49</v>
      </c>
      <c r="R1527" t="str">
        <f>IF(Orders[[#This Row],[CustomerAge]]&gt;=35, "Older", "Young")</f>
        <v>Older</v>
      </c>
      <c r="S1527" t="str">
        <f>_xlfn.XLOOKUP(Orders[[#This Row],[ProductID]],Products[ProductID],Products[ProductName])</f>
        <v>Football</v>
      </c>
      <c r="T1527" t="str">
        <f>_xlfn.XLOOKUP(Orders[[#This Row],[ProductID]],Products[ProductID],Products[Category])</f>
        <v>Sports</v>
      </c>
    </row>
    <row r="1528" spans="1:20" x14ac:dyDescent="0.25">
      <c r="A1528" s="4" t="s">
        <v>1717</v>
      </c>
      <c r="B1528" s="5">
        <v>45974</v>
      </c>
      <c r="C1528" s="15">
        <f>WEEKNUM(Orders[[#This Row],[OrderDate]])</f>
        <v>46</v>
      </c>
      <c r="D1528" s="15" t="str">
        <f>TEXT(Orders[[#This Row],[OrderDate]],"mmmm")</f>
        <v>November</v>
      </c>
      <c r="E1528" s="4" t="s">
        <v>43</v>
      </c>
      <c r="F1528" s="4" t="s">
        <v>70</v>
      </c>
      <c r="G1528" s="4">
        <v>5</v>
      </c>
      <c r="H1528" s="12">
        <v>2928</v>
      </c>
      <c r="I1528" s="13">
        <v>2488.8000000000002</v>
      </c>
      <c r="J1528" s="13">
        <f>Orders[[#This Row],[Quantity]]*Orders[[#This Row],[Selling Price]]</f>
        <v>14640</v>
      </c>
      <c r="K1528" s="13">
        <f>Orders[[#This Row],[Quantity]]*Orders[[#This Row],[Cost Price]]</f>
        <v>12444</v>
      </c>
      <c r="L1528" s="13">
        <f>Orders[[#This Row],[Revenue]]-Orders[[#This Row],[Expenses]]</f>
        <v>2196</v>
      </c>
      <c r="M1528" t="s">
        <v>2193</v>
      </c>
      <c r="N1528" t="str">
        <f>_xlfn.XLOOKUP(Orders[[#This Row],[CustomerID]],Customers[CustomerID],Customers[CustomerName])</f>
        <v>Mustafa Danladi</v>
      </c>
      <c r="O1528" t="str">
        <f>_xlfn.XLOOKUP(Orders[[#This Row],[CustomerID]],Customers[CustomerID],Customers[City])</f>
        <v>Georgia</v>
      </c>
      <c r="P1528" t="str">
        <f>_xlfn.XLOOKUP(Orders[[#This Row],[CustomerID]],Customers[CustomerID],Customers[Gender])</f>
        <v>Male</v>
      </c>
      <c r="Q1528">
        <f>_xlfn.XLOOKUP(Orders[[#This Row],[CustomerID]],Customers[CustomerID],Customers[CustomerAge])</f>
        <v>49</v>
      </c>
      <c r="R1528" t="str">
        <f>IF(Orders[[#This Row],[CustomerAge]]&gt;=35, "Older", "Young")</f>
        <v>Older</v>
      </c>
      <c r="S1528" t="str">
        <f>_xlfn.XLOOKUP(Orders[[#This Row],[ProductID]],Products[ProductID],Products[ProductName])</f>
        <v>Yoga Mat</v>
      </c>
      <c r="T1528" t="str">
        <f>_xlfn.XLOOKUP(Orders[[#This Row],[ProductID]],Products[ProductID],Products[Category])</f>
        <v>Gym</v>
      </c>
    </row>
    <row r="1529" spans="1:20" x14ac:dyDescent="0.25">
      <c r="A1529" s="4" t="s">
        <v>1718</v>
      </c>
      <c r="B1529" s="5">
        <v>45966</v>
      </c>
      <c r="C1529" s="15">
        <f>WEEKNUM(Orders[[#This Row],[OrderDate]])</f>
        <v>45</v>
      </c>
      <c r="D1529" s="15" t="str">
        <f>TEXT(Orders[[#This Row],[OrderDate]],"mmmm")</f>
        <v>November</v>
      </c>
      <c r="E1529" s="4" t="s">
        <v>275</v>
      </c>
      <c r="F1529" s="4" t="s">
        <v>125</v>
      </c>
      <c r="G1529" s="4">
        <v>7</v>
      </c>
      <c r="H1529" s="12">
        <v>3484.9</v>
      </c>
      <c r="I1529" s="13">
        <v>2962.165</v>
      </c>
      <c r="J1529" s="13">
        <f>Orders[[#This Row],[Quantity]]*Orders[[#This Row],[Selling Price]]</f>
        <v>24394.3</v>
      </c>
      <c r="K1529" s="13">
        <f>Orders[[#This Row],[Quantity]]*Orders[[#This Row],[Cost Price]]</f>
        <v>20735.154999999999</v>
      </c>
      <c r="L1529" s="13">
        <f>Orders[[#This Row],[Revenue]]-Orders[[#This Row],[Expenses]]</f>
        <v>3659.1450000000004</v>
      </c>
      <c r="M1529" t="s">
        <v>2199</v>
      </c>
      <c r="N1529" t="str">
        <f>_xlfn.XLOOKUP(Orders[[#This Row],[CustomerID]],Customers[CustomerID],Customers[CustomerName])</f>
        <v>Ngozi Danladi</v>
      </c>
      <c r="O1529" t="str">
        <f>_xlfn.XLOOKUP(Orders[[#This Row],[CustomerID]],Customers[CustomerID],Customers[City])</f>
        <v>Texas</v>
      </c>
      <c r="P1529" t="str">
        <f>_xlfn.XLOOKUP(Orders[[#This Row],[CustomerID]],Customers[CustomerID],Customers[Gender])</f>
        <v>Female</v>
      </c>
      <c r="Q1529">
        <f>_xlfn.XLOOKUP(Orders[[#This Row],[CustomerID]],Customers[CustomerID],Customers[CustomerAge])</f>
        <v>25</v>
      </c>
      <c r="R1529" t="str">
        <f>IF(Orders[[#This Row],[CustomerAge]]&gt;=35, "Older", "Young")</f>
        <v>Young</v>
      </c>
      <c r="S1529" t="str">
        <f>_xlfn.XLOOKUP(Orders[[#This Row],[ProductID]],Products[ProductID],Products[ProductName])</f>
        <v>Earrings</v>
      </c>
      <c r="T1529" t="str">
        <f>_xlfn.XLOOKUP(Orders[[#This Row],[ProductID]],Products[ProductID],Products[Category])</f>
        <v>Accessories</v>
      </c>
    </row>
    <row r="1530" spans="1:20" x14ac:dyDescent="0.25">
      <c r="A1530" s="4" t="s">
        <v>1719</v>
      </c>
      <c r="B1530" s="5">
        <v>46006</v>
      </c>
      <c r="C1530" s="15">
        <f>WEEKNUM(Orders[[#This Row],[OrderDate]])</f>
        <v>51</v>
      </c>
      <c r="D1530" s="15" t="str">
        <f>TEXT(Orders[[#This Row],[OrderDate]],"mmmm")</f>
        <v>December</v>
      </c>
      <c r="E1530" s="4" t="s">
        <v>142</v>
      </c>
      <c r="F1530" s="4" t="s">
        <v>84</v>
      </c>
      <c r="G1530" s="4">
        <v>7</v>
      </c>
      <c r="H1530" s="12">
        <v>14923</v>
      </c>
      <c r="I1530" s="13">
        <v>12684.55</v>
      </c>
      <c r="J1530" s="13">
        <f>Orders[[#This Row],[Quantity]]*Orders[[#This Row],[Selling Price]]</f>
        <v>104461</v>
      </c>
      <c r="K1530" s="13">
        <f>Orders[[#This Row],[Quantity]]*Orders[[#This Row],[Cost Price]]</f>
        <v>88791.849999999991</v>
      </c>
      <c r="L1530" s="13">
        <f>Orders[[#This Row],[Revenue]]-Orders[[#This Row],[Expenses]]</f>
        <v>15669.150000000009</v>
      </c>
      <c r="M1530" t="s">
        <v>2193</v>
      </c>
      <c r="N1530" t="str">
        <f>_xlfn.XLOOKUP(Orders[[#This Row],[CustomerID]],Customers[CustomerID],Customers[CustomerName])</f>
        <v>Obi Adeyemi</v>
      </c>
      <c r="O1530" t="str">
        <f>_xlfn.XLOOKUP(Orders[[#This Row],[CustomerID]],Customers[CustomerID],Customers[City])</f>
        <v>Florida</v>
      </c>
      <c r="P1530" t="str">
        <f>_xlfn.XLOOKUP(Orders[[#This Row],[CustomerID]],Customers[CustomerID],Customers[Gender])</f>
        <v>Male</v>
      </c>
      <c r="Q1530">
        <f>_xlfn.XLOOKUP(Orders[[#This Row],[CustomerID]],Customers[CustomerID],Customers[CustomerAge])</f>
        <v>31</v>
      </c>
      <c r="R1530" t="str">
        <f>IF(Orders[[#This Row],[CustomerAge]]&gt;=35, "Older", "Young")</f>
        <v>Young</v>
      </c>
      <c r="S1530" t="str">
        <f>_xlfn.XLOOKUP(Orders[[#This Row],[ProductID]],Products[ProductID],Products[ProductName])</f>
        <v>Gym Wears</v>
      </c>
      <c r="T1530" t="str">
        <f>_xlfn.XLOOKUP(Orders[[#This Row],[ProductID]],Products[ProductID],Products[Category])</f>
        <v>Clothing</v>
      </c>
    </row>
    <row r="1531" spans="1:20" x14ac:dyDescent="0.25">
      <c r="A1531" s="4" t="s">
        <v>1720</v>
      </c>
      <c r="B1531" s="5">
        <v>45953</v>
      </c>
      <c r="C1531" s="15">
        <f>WEEKNUM(Orders[[#This Row],[OrderDate]])</f>
        <v>43</v>
      </c>
      <c r="D1531" s="15" t="str">
        <f>TEXT(Orders[[#This Row],[OrderDate]],"mmmm")</f>
        <v>October</v>
      </c>
      <c r="E1531" s="4" t="s">
        <v>272</v>
      </c>
      <c r="F1531" s="4" t="s">
        <v>189</v>
      </c>
      <c r="G1531" s="4">
        <v>6</v>
      </c>
      <c r="H1531" s="12">
        <v>8942.7999999999993</v>
      </c>
      <c r="I1531" s="13">
        <v>7601.3799999999992</v>
      </c>
      <c r="J1531" s="13">
        <f>Orders[[#This Row],[Quantity]]*Orders[[#This Row],[Selling Price]]</f>
        <v>53656.799999999996</v>
      </c>
      <c r="K1531" s="13">
        <f>Orders[[#This Row],[Quantity]]*Orders[[#This Row],[Cost Price]]</f>
        <v>45608.28</v>
      </c>
      <c r="L1531" s="13">
        <f>Orders[[#This Row],[Revenue]]-Orders[[#This Row],[Expenses]]</f>
        <v>8048.5199999999968</v>
      </c>
      <c r="M1531" t="s">
        <v>2216</v>
      </c>
      <c r="N1531" t="str">
        <f>_xlfn.XLOOKUP(Orders[[#This Row],[CustomerID]],Customers[CustomerID],Customers[CustomerName])</f>
        <v>Blessing Bello</v>
      </c>
      <c r="O1531" t="str">
        <f>_xlfn.XLOOKUP(Orders[[#This Row],[CustomerID]],Customers[CustomerID],Customers[City])</f>
        <v>Florida</v>
      </c>
      <c r="P1531" t="str">
        <f>_xlfn.XLOOKUP(Orders[[#This Row],[CustomerID]],Customers[CustomerID],Customers[Gender])</f>
        <v>Female</v>
      </c>
      <c r="Q1531">
        <f>_xlfn.XLOOKUP(Orders[[#This Row],[CustomerID]],Customers[CustomerID],Customers[CustomerAge])</f>
        <v>38</v>
      </c>
      <c r="R1531" t="str">
        <f>IF(Orders[[#This Row],[CustomerAge]]&gt;=35, "Older", "Young")</f>
        <v>Older</v>
      </c>
      <c r="S1531" t="str">
        <f>_xlfn.XLOOKUP(Orders[[#This Row],[ProductID]],Products[ProductID],Products[ProductName])</f>
        <v>Scrabble</v>
      </c>
      <c r="T1531" t="str">
        <f>_xlfn.XLOOKUP(Orders[[#This Row],[ProductID]],Products[ProductID],Products[Category])</f>
        <v>Games</v>
      </c>
    </row>
    <row r="1532" spans="1:20" x14ac:dyDescent="0.25">
      <c r="A1532" s="4" t="s">
        <v>1721</v>
      </c>
      <c r="B1532" s="5">
        <v>45952</v>
      </c>
      <c r="C1532" s="15">
        <f>WEEKNUM(Orders[[#This Row],[OrderDate]])</f>
        <v>43</v>
      </c>
      <c r="D1532" s="15" t="str">
        <f>TEXT(Orders[[#This Row],[OrderDate]],"mmmm")</f>
        <v>October</v>
      </c>
      <c r="E1532" s="4" t="s">
        <v>107</v>
      </c>
      <c r="F1532" s="4" t="s">
        <v>189</v>
      </c>
      <c r="G1532" s="4">
        <v>8</v>
      </c>
      <c r="H1532" s="12">
        <v>17175.5</v>
      </c>
      <c r="I1532" s="13">
        <v>14599.174999999999</v>
      </c>
      <c r="J1532" s="13">
        <f>Orders[[#This Row],[Quantity]]*Orders[[#This Row],[Selling Price]]</f>
        <v>137404</v>
      </c>
      <c r="K1532" s="13">
        <f>Orders[[#This Row],[Quantity]]*Orders[[#This Row],[Cost Price]]</f>
        <v>116793.4</v>
      </c>
      <c r="L1532" s="13">
        <f>Orders[[#This Row],[Revenue]]-Orders[[#This Row],[Expenses]]</f>
        <v>20610.600000000006</v>
      </c>
      <c r="M1532" t="s">
        <v>2199</v>
      </c>
      <c r="N1532" t="str">
        <f>_xlfn.XLOOKUP(Orders[[#This Row],[CustomerID]],Customers[CustomerID],Customers[CustomerName])</f>
        <v>Blessing Eze</v>
      </c>
      <c r="O1532" t="str">
        <f>_xlfn.XLOOKUP(Orders[[#This Row],[CustomerID]],Customers[CustomerID],Customers[City])</f>
        <v>Texas</v>
      </c>
      <c r="P1532" t="str">
        <f>_xlfn.XLOOKUP(Orders[[#This Row],[CustomerID]],Customers[CustomerID],Customers[Gender])</f>
        <v>Female</v>
      </c>
      <c r="Q1532">
        <f>_xlfn.XLOOKUP(Orders[[#This Row],[CustomerID]],Customers[CustomerID],Customers[CustomerAge])</f>
        <v>44</v>
      </c>
      <c r="R1532" t="str">
        <f>IF(Orders[[#This Row],[CustomerAge]]&gt;=35, "Older", "Young")</f>
        <v>Older</v>
      </c>
      <c r="S1532" t="str">
        <f>_xlfn.XLOOKUP(Orders[[#This Row],[ProductID]],Products[ProductID],Products[ProductName])</f>
        <v>Scrabble</v>
      </c>
      <c r="T1532" t="str">
        <f>_xlfn.XLOOKUP(Orders[[#This Row],[ProductID]],Products[ProductID],Products[Category])</f>
        <v>Games</v>
      </c>
    </row>
    <row r="1533" spans="1:20" x14ac:dyDescent="0.25">
      <c r="A1533" s="4" t="s">
        <v>1722</v>
      </c>
      <c r="B1533" s="5">
        <v>45948</v>
      </c>
      <c r="C1533" s="15">
        <f>WEEKNUM(Orders[[#This Row],[OrderDate]])</f>
        <v>42</v>
      </c>
      <c r="D1533" s="15" t="str">
        <f>TEXT(Orders[[#This Row],[OrderDate]],"mmmm")</f>
        <v>October</v>
      </c>
      <c r="E1533" s="4" t="s">
        <v>110</v>
      </c>
      <c r="F1533" s="4" t="s">
        <v>189</v>
      </c>
      <c r="G1533" s="4">
        <v>6</v>
      </c>
      <c r="H1533" s="12">
        <v>14871.7</v>
      </c>
      <c r="I1533" s="13">
        <v>12640.945</v>
      </c>
      <c r="J1533" s="13">
        <f>Orders[[#This Row],[Quantity]]*Orders[[#This Row],[Selling Price]]</f>
        <v>89230.200000000012</v>
      </c>
      <c r="K1533" s="13">
        <f>Orders[[#This Row],[Quantity]]*Orders[[#This Row],[Cost Price]]</f>
        <v>75845.67</v>
      </c>
      <c r="L1533" s="13">
        <f>Orders[[#This Row],[Revenue]]-Orders[[#This Row],[Expenses]]</f>
        <v>13384.530000000013</v>
      </c>
      <c r="M1533" t="s">
        <v>2212</v>
      </c>
      <c r="N1533" t="str">
        <f>_xlfn.XLOOKUP(Orders[[#This Row],[CustomerID]],Customers[CustomerID],Customers[CustomerName])</f>
        <v>Ngozi Danladi</v>
      </c>
      <c r="O1533" t="str">
        <f>_xlfn.XLOOKUP(Orders[[#This Row],[CustomerID]],Customers[CustomerID],Customers[City])</f>
        <v>Washington</v>
      </c>
      <c r="P1533" t="str">
        <f>_xlfn.XLOOKUP(Orders[[#This Row],[CustomerID]],Customers[CustomerID],Customers[Gender])</f>
        <v>Female</v>
      </c>
      <c r="Q1533">
        <f>_xlfn.XLOOKUP(Orders[[#This Row],[CustomerID]],Customers[CustomerID],Customers[CustomerAge])</f>
        <v>28</v>
      </c>
      <c r="R1533" t="str">
        <f>IF(Orders[[#This Row],[CustomerAge]]&gt;=35, "Older", "Young")</f>
        <v>Young</v>
      </c>
      <c r="S1533" t="str">
        <f>_xlfn.XLOOKUP(Orders[[#This Row],[ProductID]],Products[ProductID],Products[ProductName])</f>
        <v>Scrabble</v>
      </c>
      <c r="T1533" t="str">
        <f>_xlfn.XLOOKUP(Orders[[#This Row],[ProductID]],Products[ProductID],Products[Category])</f>
        <v>Games</v>
      </c>
    </row>
    <row r="1534" spans="1:20" x14ac:dyDescent="0.25">
      <c r="A1534" s="4" t="s">
        <v>1723</v>
      </c>
      <c r="B1534" s="5">
        <v>45976</v>
      </c>
      <c r="C1534" s="15">
        <f>WEEKNUM(Orders[[#This Row],[OrderDate]])</f>
        <v>46</v>
      </c>
      <c r="D1534" s="15" t="str">
        <f>TEXT(Orders[[#This Row],[OrderDate]],"mmmm")</f>
        <v>November</v>
      </c>
      <c r="E1534" s="4" t="s">
        <v>400</v>
      </c>
      <c r="F1534" s="4" t="s">
        <v>34</v>
      </c>
      <c r="G1534" s="4">
        <v>10</v>
      </c>
      <c r="H1534" s="12">
        <v>11013.599999999999</v>
      </c>
      <c r="I1534" s="13">
        <v>9361.56</v>
      </c>
      <c r="J1534" s="13">
        <f>Orders[[#This Row],[Quantity]]*Orders[[#This Row],[Selling Price]]</f>
        <v>110135.99999999999</v>
      </c>
      <c r="K1534" s="13">
        <f>Orders[[#This Row],[Quantity]]*Orders[[#This Row],[Cost Price]]</f>
        <v>93615.599999999991</v>
      </c>
      <c r="L1534" s="13">
        <f>Orders[[#This Row],[Revenue]]-Orders[[#This Row],[Expenses]]</f>
        <v>16520.399999999994</v>
      </c>
      <c r="M1534" t="s">
        <v>2206</v>
      </c>
      <c r="N1534" t="str">
        <f>_xlfn.XLOOKUP(Orders[[#This Row],[CustomerID]],Customers[CustomerID],Customers[CustomerName])</f>
        <v>Obi Igwe</v>
      </c>
      <c r="O1534" t="str">
        <f>_xlfn.XLOOKUP(Orders[[#This Row],[CustomerID]],Customers[CustomerID],Customers[City])</f>
        <v>Florida</v>
      </c>
      <c r="P1534" t="str">
        <f>_xlfn.XLOOKUP(Orders[[#This Row],[CustomerID]],Customers[CustomerID],Customers[Gender])</f>
        <v>Male</v>
      </c>
      <c r="Q1534">
        <f>_xlfn.XLOOKUP(Orders[[#This Row],[CustomerID]],Customers[CustomerID],Customers[CustomerAge])</f>
        <v>35</v>
      </c>
      <c r="R1534" t="str">
        <f>IF(Orders[[#This Row],[CustomerAge]]&gt;=35, "Older", "Young")</f>
        <v>Older</v>
      </c>
      <c r="S1534" t="str">
        <f>_xlfn.XLOOKUP(Orders[[#This Row],[ProductID]],Products[ProductID],Products[ProductName])</f>
        <v>Gold Bracelets</v>
      </c>
      <c r="T1534" t="str">
        <f>_xlfn.XLOOKUP(Orders[[#This Row],[ProductID]],Products[ProductID],Products[Category])</f>
        <v>Accessories</v>
      </c>
    </row>
    <row r="1535" spans="1:20" x14ac:dyDescent="0.25">
      <c r="A1535" s="4" t="s">
        <v>1724</v>
      </c>
      <c r="B1535" s="5">
        <v>46001</v>
      </c>
      <c r="C1535" s="15">
        <f>WEEKNUM(Orders[[#This Row],[OrderDate]])</f>
        <v>50</v>
      </c>
      <c r="D1535" s="15" t="str">
        <f>TEXT(Orders[[#This Row],[OrderDate]],"mmmm")</f>
        <v>December</v>
      </c>
      <c r="E1535" s="4" t="s">
        <v>237</v>
      </c>
      <c r="F1535" s="4" t="s">
        <v>60</v>
      </c>
      <c r="G1535" s="4">
        <v>1</v>
      </c>
      <c r="H1535" s="12">
        <v>18582.3</v>
      </c>
      <c r="I1535" s="13">
        <v>15794.955</v>
      </c>
      <c r="J1535" s="13">
        <f>Orders[[#This Row],[Quantity]]*Orders[[#This Row],[Selling Price]]</f>
        <v>18582.3</v>
      </c>
      <c r="K1535" s="13">
        <f>Orders[[#This Row],[Quantity]]*Orders[[#This Row],[Cost Price]]</f>
        <v>15794.955</v>
      </c>
      <c r="L1535" s="13">
        <f>Orders[[#This Row],[Revenue]]-Orders[[#This Row],[Expenses]]</f>
        <v>2787.3449999999993</v>
      </c>
      <c r="M1535" t="s">
        <v>2220</v>
      </c>
      <c r="N1535" t="str">
        <f>_xlfn.XLOOKUP(Orders[[#This Row],[CustomerID]],Customers[CustomerID],Customers[CustomerName])</f>
        <v>Ronke Danladi</v>
      </c>
      <c r="O1535" t="str">
        <f>_xlfn.XLOOKUP(Orders[[#This Row],[CustomerID]],Customers[CustomerID],Customers[City])</f>
        <v>Florida</v>
      </c>
      <c r="P1535" t="str">
        <f>_xlfn.XLOOKUP(Orders[[#This Row],[CustomerID]],Customers[CustomerID],Customers[Gender])</f>
        <v>Female</v>
      </c>
      <c r="Q1535">
        <f>_xlfn.XLOOKUP(Orders[[#This Row],[CustomerID]],Customers[CustomerID],Customers[CustomerAge])</f>
        <v>25</v>
      </c>
      <c r="R1535" t="str">
        <f>IF(Orders[[#This Row],[CustomerAge]]&gt;=35, "Older", "Young")</f>
        <v>Young</v>
      </c>
      <c r="S1535" t="str">
        <f>_xlfn.XLOOKUP(Orders[[#This Row],[ProductID]],Products[ProductID],Products[ProductName])</f>
        <v>Silver Rings</v>
      </c>
      <c r="T1535" t="str">
        <f>_xlfn.XLOOKUP(Orders[[#This Row],[ProductID]],Products[ProductID],Products[Category])</f>
        <v>Accessories</v>
      </c>
    </row>
    <row r="1536" spans="1:20" x14ac:dyDescent="0.25">
      <c r="A1536" s="4" t="s">
        <v>1725</v>
      </c>
      <c r="B1536" s="5">
        <v>46009</v>
      </c>
      <c r="C1536" s="15">
        <f>WEEKNUM(Orders[[#This Row],[OrderDate]])</f>
        <v>51</v>
      </c>
      <c r="D1536" s="15" t="str">
        <f>TEXT(Orders[[#This Row],[OrderDate]],"mmmm")</f>
        <v>December</v>
      </c>
      <c r="E1536" s="4" t="s">
        <v>73</v>
      </c>
      <c r="F1536" s="4" t="s">
        <v>130</v>
      </c>
      <c r="G1536" s="4">
        <v>1</v>
      </c>
      <c r="H1536" s="12">
        <v>3680.5</v>
      </c>
      <c r="I1536" s="13">
        <v>3128.4250000000002</v>
      </c>
      <c r="J1536" s="13">
        <f>Orders[[#This Row],[Quantity]]*Orders[[#This Row],[Selling Price]]</f>
        <v>3680.5</v>
      </c>
      <c r="K1536" s="13">
        <f>Orders[[#This Row],[Quantity]]*Orders[[#This Row],[Cost Price]]</f>
        <v>3128.4250000000002</v>
      </c>
      <c r="L1536" s="13">
        <f>Orders[[#This Row],[Revenue]]-Orders[[#This Row],[Expenses]]</f>
        <v>552.07499999999982</v>
      </c>
      <c r="M1536" t="s">
        <v>2215</v>
      </c>
      <c r="N1536" t="str">
        <f>_xlfn.XLOOKUP(Orders[[#This Row],[CustomerID]],Customers[CustomerID],Customers[CustomerName])</f>
        <v>Ronke Okonkwo</v>
      </c>
      <c r="O1536" t="str">
        <f>_xlfn.XLOOKUP(Orders[[#This Row],[CustomerID]],Customers[CustomerID],Customers[City])</f>
        <v>California</v>
      </c>
      <c r="P1536" t="str">
        <f>_xlfn.XLOOKUP(Orders[[#This Row],[CustomerID]],Customers[CustomerID],Customers[Gender])</f>
        <v>Female</v>
      </c>
      <c r="Q1536">
        <f>_xlfn.XLOOKUP(Orders[[#This Row],[CustomerID]],Customers[CustomerID],Customers[CustomerAge])</f>
        <v>20</v>
      </c>
      <c r="R1536" t="str">
        <f>IF(Orders[[#This Row],[CustomerAge]]&gt;=35, "Older", "Young")</f>
        <v>Young</v>
      </c>
      <c r="S1536" t="str">
        <f>_xlfn.XLOOKUP(Orders[[#This Row],[ProductID]],Products[ProductID],Products[ProductName])</f>
        <v>Gold Earrings And Necklaces</v>
      </c>
      <c r="T1536" t="str">
        <f>_xlfn.XLOOKUP(Orders[[#This Row],[ProductID]],Products[ProductID],Products[Category])</f>
        <v>Accessories</v>
      </c>
    </row>
    <row r="1537" spans="1:20" x14ac:dyDescent="0.25">
      <c r="A1537" s="4" t="s">
        <v>1726</v>
      </c>
      <c r="B1537" s="5">
        <v>45976</v>
      </c>
      <c r="C1537" s="15">
        <f>WEEKNUM(Orders[[#This Row],[OrderDate]])</f>
        <v>46</v>
      </c>
      <c r="D1537" s="15" t="str">
        <f>TEXT(Orders[[#This Row],[OrderDate]],"mmmm")</f>
        <v>November</v>
      </c>
      <c r="E1537" s="4" t="s">
        <v>307</v>
      </c>
      <c r="F1537" s="4" t="s">
        <v>9</v>
      </c>
      <c r="G1537" s="4">
        <v>9</v>
      </c>
      <c r="H1537" s="12">
        <v>8589.5</v>
      </c>
      <c r="I1537" s="13">
        <v>7301.0749999999998</v>
      </c>
      <c r="J1537" s="13">
        <f>Orders[[#This Row],[Quantity]]*Orders[[#This Row],[Selling Price]]</f>
        <v>77305.5</v>
      </c>
      <c r="K1537" s="13">
        <f>Orders[[#This Row],[Quantity]]*Orders[[#This Row],[Cost Price]]</f>
        <v>65709.675000000003</v>
      </c>
      <c r="L1537" s="13">
        <f>Orders[[#This Row],[Revenue]]-Orders[[#This Row],[Expenses]]</f>
        <v>11595.824999999997</v>
      </c>
      <c r="M1537" t="s">
        <v>2211</v>
      </c>
      <c r="N1537" t="str">
        <f>_xlfn.XLOOKUP(Orders[[#This Row],[CustomerID]],Customers[CustomerID],Customers[CustomerName])</f>
        <v>Adanma Bello</v>
      </c>
      <c r="O1537" t="str">
        <f>_xlfn.XLOOKUP(Orders[[#This Row],[CustomerID]],Customers[CustomerID],Customers[City])</f>
        <v>Illinois</v>
      </c>
      <c r="P1537" t="str">
        <f>_xlfn.XLOOKUP(Orders[[#This Row],[CustomerID]],Customers[CustomerID],Customers[Gender])</f>
        <v>Female</v>
      </c>
      <c r="Q1537">
        <f>_xlfn.XLOOKUP(Orders[[#This Row],[CustomerID]],Customers[CustomerID],Customers[CustomerAge])</f>
        <v>51</v>
      </c>
      <c r="R1537" t="str">
        <f>IF(Orders[[#This Row],[CustomerAge]]&gt;=35, "Older", "Young")</f>
        <v>Older</v>
      </c>
      <c r="S1537" t="str">
        <f>_xlfn.XLOOKUP(Orders[[#This Row],[ProductID]],Products[ProductID],Products[ProductName])</f>
        <v>Beaded Earrings And Necklaces</v>
      </c>
      <c r="T1537" t="str">
        <f>_xlfn.XLOOKUP(Orders[[#This Row],[ProductID]],Products[ProductID],Products[Category])</f>
        <v>Accessories</v>
      </c>
    </row>
    <row r="1538" spans="1:20" x14ac:dyDescent="0.25">
      <c r="A1538" s="4" t="s">
        <v>1727</v>
      </c>
      <c r="B1538" s="5">
        <v>46004</v>
      </c>
      <c r="C1538" s="15">
        <f>WEEKNUM(Orders[[#This Row],[OrderDate]])</f>
        <v>50</v>
      </c>
      <c r="D1538" s="15" t="str">
        <f>TEXT(Orders[[#This Row],[OrderDate]],"mmmm")</f>
        <v>December</v>
      </c>
      <c r="E1538" s="4" t="s">
        <v>282</v>
      </c>
      <c r="F1538" s="4" t="s">
        <v>28</v>
      </c>
      <c r="G1538" s="4">
        <v>4</v>
      </c>
      <c r="H1538" s="12">
        <v>3544.5</v>
      </c>
      <c r="I1538" s="13">
        <v>3012.8249999999998</v>
      </c>
      <c r="J1538" s="13">
        <f>Orders[[#This Row],[Quantity]]*Orders[[#This Row],[Selling Price]]</f>
        <v>14178</v>
      </c>
      <c r="K1538" s="13">
        <f>Orders[[#This Row],[Quantity]]*Orders[[#This Row],[Cost Price]]</f>
        <v>12051.3</v>
      </c>
      <c r="L1538" s="13">
        <f>Orders[[#This Row],[Revenue]]-Orders[[#This Row],[Expenses]]</f>
        <v>2126.7000000000007</v>
      </c>
      <c r="M1538" t="s">
        <v>2199</v>
      </c>
      <c r="N1538" t="str">
        <f>_xlfn.XLOOKUP(Orders[[#This Row],[CustomerID]],Customers[CustomerID],Customers[CustomerName])</f>
        <v>Bisi Ojo</v>
      </c>
      <c r="O1538" t="str">
        <f>_xlfn.XLOOKUP(Orders[[#This Row],[CustomerID]],Customers[CustomerID],Customers[City])</f>
        <v>Texas</v>
      </c>
      <c r="P1538" t="str">
        <f>_xlfn.XLOOKUP(Orders[[#This Row],[CustomerID]],Customers[CustomerID],Customers[Gender])</f>
        <v>Female</v>
      </c>
      <c r="Q1538">
        <f>_xlfn.XLOOKUP(Orders[[#This Row],[CustomerID]],Customers[CustomerID],Customers[CustomerAge])</f>
        <v>26</v>
      </c>
      <c r="R1538" t="str">
        <f>IF(Orders[[#This Row],[CustomerAge]]&gt;=35, "Older", "Young")</f>
        <v>Young</v>
      </c>
      <c r="S1538" t="str">
        <f>_xlfn.XLOOKUP(Orders[[#This Row],[ProductID]],Products[ProductID],Products[ProductName])</f>
        <v>Sneakers</v>
      </c>
      <c r="T1538" t="str">
        <f>_xlfn.XLOOKUP(Orders[[#This Row],[ProductID]],Products[ProductID],Products[Category])</f>
        <v>Sports</v>
      </c>
    </row>
    <row r="1539" spans="1:20" x14ac:dyDescent="0.25">
      <c r="A1539" s="4" t="s">
        <v>1728</v>
      </c>
      <c r="B1539" s="5">
        <v>45943</v>
      </c>
      <c r="C1539" s="15">
        <f>WEEKNUM(Orders[[#This Row],[OrderDate]])</f>
        <v>42</v>
      </c>
      <c r="D1539" s="15" t="str">
        <f>TEXT(Orders[[#This Row],[OrderDate]],"mmmm")</f>
        <v>October</v>
      </c>
      <c r="E1539" s="4" t="s">
        <v>418</v>
      </c>
      <c r="F1539" s="4" t="s">
        <v>12</v>
      </c>
      <c r="G1539" s="4">
        <v>2</v>
      </c>
      <c r="H1539" s="12">
        <v>19742.5</v>
      </c>
      <c r="I1539" s="13">
        <v>16781.125</v>
      </c>
      <c r="J1539" s="13">
        <f>Orders[[#This Row],[Quantity]]*Orders[[#This Row],[Selling Price]]</f>
        <v>39485</v>
      </c>
      <c r="K1539" s="13">
        <f>Orders[[#This Row],[Quantity]]*Orders[[#This Row],[Cost Price]]</f>
        <v>33562.25</v>
      </c>
      <c r="L1539" s="13">
        <f>Orders[[#This Row],[Revenue]]-Orders[[#This Row],[Expenses]]</f>
        <v>5922.75</v>
      </c>
      <c r="M1539" t="s">
        <v>2217</v>
      </c>
      <c r="N1539" t="str">
        <f>_xlfn.XLOOKUP(Orders[[#This Row],[CustomerID]],Customers[CustomerID],Customers[CustomerName])</f>
        <v>Amina Danladi</v>
      </c>
      <c r="O1539" t="str">
        <f>_xlfn.XLOOKUP(Orders[[#This Row],[CustomerID]],Customers[CustomerID],Customers[City])</f>
        <v>Illinois</v>
      </c>
      <c r="P1539" t="str">
        <f>_xlfn.XLOOKUP(Orders[[#This Row],[CustomerID]],Customers[CustomerID],Customers[Gender])</f>
        <v>Female</v>
      </c>
      <c r="Q1539">
        <f>_xlfn.XLOOKUP(Orders[[#This Row],[CustomerID]],Customers[CustomerID],Customers[CustomerAge])</f>
        <v>20</v>
      </c>
      <c r="R1539" t="str">
        <f>IF(Orders[[#This Row],[CustomerAge]]&gt;=35, "Older", "Young")</f>
        <v>Young</v>
      </c>
      <c r="S1539" t="str">
        <f>_xlfn.XLOOKUP(Orders[[#This Row],[ProductID]],Products[ProductID],Products[ProductName])</f>
        <v>Boubou</v>
      </c>
      <c r="T1539" t="str">
        <f>_xlfn.XLOOKUP(Orders[[#This Row],[ProductID]],Products[ProductID],Products[Category])</f>
        <v>Clothing</v>
      </c>
    </row>
    <row r="1540" spans="1:20" x14ac:dyDescent="0.25">
      <c r="A1540" s="4" t="s">
        <v>1729</v>
      </c>
      <c r="B1540" s="5">
        <v>46001</v>
      </c>
      <c r="C1540" s="15">
        <f>WEEKNUM(Orders[[#This Row],[OrderDate]])</f>
        <v>50</v>
      </c>
      <c r="D1540" s="15" t="str">
        <f>TEXT(Orders[[#This Row],[OrderDate]],"mmmm")</f>
        <v>December</v>
      </c>
      <c r="E1540" s="4" t="s">
        <v>410</v>
      </c>
      <c r="F1540" s="4" t="s">
        <v>23</v>
      </c>
      <c r="G1540" s="4">
        <v>3</v>
      </c>
      <c r="H1540" s="12">
        <v>3758.7</v>
      </c>
      <c r="I1540" s="13">
        <v>3194.895</v>
      </c>
      <c r="J1540" s="13">
        <f>Orders[[#This Row],[Quantity]]*Orders[[#This Row],[Selling Price]]</f>
        <v>11276.099999999999</v>
      </c>
      <c r="K1540" s="13">
        <f>Orders[[#This Row],[Quantity]]*Orders[[#This Row],[Cost Price]]</f>
        <v>9584.6849999999995</v>
      </c>
      <c r="L1540" s="13">
        <f>Orders[[#This Row],[Revenue]]-Orders[[#This Row],[Expenses]]</f>
        <v>1691.4149999999991</v>
      </c>
      <c r="M1540" t="s">
        <v>2195</v>
      </c>
      <c r="N1540" t="str">
        <f>_xlfn.XLOOKUP(Orders[[#This Row],[CustomerID]],Customers[CustomerID],Customers[CustomerName])</f>
        <v>Jane Thomas</v>
      </c>
      <c r="O1540" t="str">
        <f>_xlfn.XLOOKUP(Orders[[#This Row],[CustomerID]],Customers[CustomerID],Customers[City])</f>
        <v>Texas</v>
      </c>
      <c r="P1540" t="str">
        <f>_xlfn.XLOOKUP(Orders[[#This Row],[CustomerID]],Customers[CustomerID],Customers[Gender])</f>
        <v>Male</v>
      </c>
      <c r="Q1540">
        <f>_xlfn.XLOOKUP(Orders[[#This Row],[CustomerID]],Customers[CustomerID],Customers[CustomerAge])</f>
        <v>21</v>
      </c>
      <c r="R1540" t="str">
        <f>IF(Orders[[#This Row],[CustomerAge]]&gt;=35, "Older", "Young")</f>
        <v>Young</v>
      </c>
      <c r="S1540" t="str">
        <f>_xlfn.XLOOKUP(Orders[[#This Row],[ProductID]],Products[ProductID],Products[ProductName])</f>
        <v>Gym Gloves</v>
      </c>
      <c r="T1540" t="str">
        <f>_xlfn.XLOOKUP(Orders[[#This Row],[ProductID]],Products[ProductID],Products[Category])</f>
        <v>Gym</v>
      </c>
    </row>
    <row r="1541" spans="1:20" x14ac:dyDescent="0.25">
      <c r="A1541" s="4" t="s">
        <v>1730</v>
      </c>
      <c r="B1541" s="5">
        <v>46009</v>
      </c>
      <c r="C1541" s="15">
        <f>WEEKNUM(Orders[[#This Row],[OrderDate]])</f>
        <v>51</v>
      </c>
      <c r="D1541" s="15" t="str">
        <f>TEXT(Orders[[#This Row],[OrderDate]],"mmmm")</f>
        <v>December</v>
      </c>
      <c r="E1541" s="4" t="s">
        <v>178</v>
      </c>
      <c r="F1541" s="4" t="s">
        <v>34</v>
      </c>
      <c r="G1541" s="4">
        <v>10</v>
      </c>
      <c r="H1541" s="12">
        <v>17372.400000000001</v>
      </c>
      <c r="I1541" s="13">
        <v>14766.54</v>
      </c>
      <c r="J1541" s="13">
        <f>Orders[[#This Row],[Quantity]]*Orders[[#This Row],[Selling Price]]</f>
        <v>173724</v>
      </c>
      <c r="K1541" s="13">
        <f>Orders[[#This Row],[Quantity]]*Orders[[#This Row],[Cost Price]]</f>
        <v>147665.40000000002</v>
      </c>
      <c r="L1541" s="13">
        <f>Orders[[#This Row],[Revenue]]-Orders[[#This Row],[Expenses]]</f>
        <v>26058.599999999977</v>
      </c>
      <c r="M1541" t="s">
        <v>2192</v>
      </c>
      <c r="N1541" t="str">
        <f>_xlfn.XLOOKUP(Orders[[#This Row],[CustomerID]],Customers[CustomerID],Customers[CustomerName])</f>
        <v>Ibrahim Igwe</v>
      </c>
      <c r="O1541" t="str">
        <f>_xlfn.XLOOKUP(Orders[[#This Row],[CustomerID]],Customers[CustomerID],Customers[City])</f>
        <v>Florida</v>
      </c>
      <c r="P1541" t="str">
        <f>_xlfn.XLOOKUP(Orders[[#This Row],[CustomerID]],Customers[CustomerID],Customers[Gender])</f>
        <v>Male</v>
      </c>
      <c r="Q1541">
        <f>_xlfn.XLOOKUP(Orders[[#This Row],[CustomerID]],Customers[CustomerID],Customers[CustomerAge])</f>
        <v>19</v>
      </c>
      <c r="R1541" t="str">
        <f>IF(Orders[[#This Row],[CustomerAge]]&gt;=35, "Older", "Young")</f>
        <v>Young</v>
      </c>
      <c r="S1541" t="str">
        <f>_xlfn.XLOOKUP(Orders[[#This Row],[ProductID]],Products[ProductID],Products[ProductName])</f>
        <v>Gold Bracelets</v>
      </c>
      <c r="T1541" t="str">
        <f>_xlfn.XLOOKUP(Orders[[#This Row],[ProductID]],Products[ProductID],Products[Category])</f>
        <v>Accessories</v>
      </c>
    </row>
    <row r="1542" spans="1:20" x14ac:dyDescent="0.25">
      <c r="A1542" s="4" t="s">
        <v>1731</v>
      </c>
      <c r="B1542" s="5">
        <v>45971</v>
      </c>
      <c r="C1542" s="15">
        <f>WEEKNUM(Orders[[#This Row],[OrderDate]])</f>
        <v>46</v>
      </c>
      <c r="D1542" s="15" t="str">
        <f>TEXT(Orders[[#This Row],[OrderDate]],"mmmm")</f>
        <v>November</v>
      </c>
      <c r="E1542" s="4" t="s">
        <v>161</v>
      </c>
      <c r="F1542" s="4" t="s">
        <v>81</v>
      </c>
      <c r="G1542" s="4">
        <v>8</v>
      </c>
      <c r="H1542" s="12">
        <v>6531</v>
      </c>
      <c r="I1542" s="13">
        <v>5551.35</v>
      </c>
      <c r="J1542" s="13">
        <f>Orders[[#This Row],[Quantity]]*Orders[[#This Row],[Selling Price]]</f>
        <v>52248</v>
      </c>
      <c r="K1542" s="13">
        <f>Orders[[#This Row],[Quantity]]*Orders[[#This Row],[Cost Price]]</f>
        <v>44410.8</v>
      </c>
      <c r="L1542" s="13">
        <f>Orders[[#This Row],[Revenue]]-Orders[[#This Row],[Expenses]]</f>
        <v>7837.1999999999971</v>
      </c>
      <c r="M1542" t="s">
        <v>2220</v>
      </c>
      <c r="N1542" t="str">
        <f>_xlfn.XLOOKUP(Orders[[#This Row],[CustomerID]],Customers[CustomerID],Customers[CustomerName])</f>
        <v>Okon Adeyemi</v>
      </c>
      <c r="O1542" t="str">
        <f>_xlfn.XLOOKUP(Orders[[#This Row],[CustomerID]],Customers[CustomerID],Customers[City])</f>
        <v>Georgia</v>
      </c>
      <c r="P1542" t="str">
        <f>_xlfn.XLOOKUP(Orders[[#This Row],[CustomerID]],Customers[CustomerID],Customers[Gender])</f>
        <v>Male</v>
      </c>
      <c r="Q1542">
        <f>_xlfn.XLOOKUP(Orders[[#This Row],[CustomerID]],Customers[CustomerID],Customers[CustomerAge])</f>
        <v>31</v>
      </c>
      <c r="R1542" t="str">
        <f>IF(Orders[[#This Row],[CustomerAge]]&gt;=35, "Older", "Young")</f>
        <v>Young</v>
      </c>
      <c r="S1542" t="str">
        <f>_xlfn.XLOOKUP(Orders[[#This Row],[ProductID]],Products[ProductID],Products[ProductName])</f>
        <v>Trousers</v>
      </c>
      <c r="T1542" t="str">
        <f>_xlfn.XLOOKUP(Orders[[#This Row],[ProductID]],Products[ProductID],Products[Category])</f>
        <v>Clothing</v>
      </c>
    </row>
    <row r="1543" spans="1:20" x14ac:dyDescent="0.25">
      <c r="A1543" s="4" t="s">
        <v>1732</v>
      </c>
      <c r="B1543" s="5">
        <v>45984</v>
      </c>
      <c r="C1543" s="15">
        <f>WEEKNUM(Orders[[#This Row],[OrderDate]])</f>
        <v>48</v>
      </c>
      <c r="D1543" s="15" t="str">
        <f>TEXT(Orders[[#This Row],[OrderDate]],"mmmm")</f>
        <v>November</v>
      </c>
      <c r="E1543" s="4" t="s">
        <v>237</v>
      </c>
      <c r="F1543" s="4" t="s">
        <v>130</v>
      </c>
      <c r="G1543" s="4">
        <v>3</v>
      </c>
      <c r="H1543" s="12">
        <v>2546.3000000000002</v>
      </c>
      <c r="I1543" s="13">
        <v>2164.355</v>
      </c>
      <c r="J1543" s="13">
        <f>Orders[[#This Row],[Quantity]]*Orders[[#This Row],[Selling Price]]</f>
        <v>7638.9000000000005</v>
      </c>
      <c r="K1543" s="13">
        <f>Orders[[#This Row],[Quantity]]*Orders[[#This Row],[Cost Price]]</f>
        <v>6493.0650000000005</v>
      </c>
      <c r="L1543" s="13">
        <f>Orders[[#This Row],[Revenue]]-Orders[[#This Row],[Expenses]]</f>
        <v>1145.835</v>
      </c>
      <c r="M1543" t="s">
        <v>2211</v>
      </c>
      <c r="N1543" t="str">
        <f>_xlfn.XLOOKUP(Orders[[#This Row],[CustomerID]],Customers[CustomerID],Customers[CustomerName])</f>
        <v>Ronke Danladi</v>
      </c>
      <c r="O1543" t="str">
        <f>_xlfn.XLOOKUP(Orders[[#This Row],[CustomerID]],Customers[CustomerID],Customers[City])</f>
        <v>Florida</v>
      </c>
      <c r="P1543" t="str">
        <f>_xlfn.XLOOKUP(Orders[[#This Row],[CustomerID]],Customers[CustomerID],Customers[Gender])</f>
        <v>Female</v>
      </c>
      <c r="Q1543">
        <f>_xlfn.XLOOKUP(Orders[[#This Row],[CustomerID]],Customers[CustomerID],Customers[CustomerAge])</f>
        <v>25</v>
      </c>
      <c r="R1543" t="str">
        <f>IF(Orders[[#This Row],[CustomerAge]]&gt;=35, "Older", "Young")</f>
        <v>Young</v>
      </c>
      <c r="S1543" t="str">
        <f>_xlfn.XLOOKUP(Orders[[#This Row],[ProductID]],Products[ProductID],Products[ProductName])</f>
        <v>Gold Earrings And Necklaces</v>
      </c>
      <c r="T1543" t="str">
        <f>_xlfn.XLOOKUP(Orders[[#This Row],[ProductID]],Products[ProductID],Products[Category])</f>
        <v>Accessories</v>
      </c>
    </row>
    <row r="1544" spans="1:20" x14ac:dyDescent="0.25">
      <c r="A1544" s="4" t="s">
        <v>1733</v>
      </c>
      <c r="B1544" s="5">
        <v>46019</v>
      </c>
      <c r="C1544" s="15">
        <f>WEEKNUM(Orders[[#This Row],[OrderDate]])</f>
        <v>53</v>
      </c>
      <c r="D1544" s="15" t="str">
        <f>TEXT(Orders[[#This Row],[OrderDate]],"mmmm")</f>
        <v>December</v>
      </c>
      <c r="E1544" s="4" t="s">
        <v>138</v>
      </c>
      <c r="F1544" s="4" t="s">
        <v>34</v>
      </c>
      <c r="G1544" s="4">
        <v>7</v>
      </c>
      <c r="H1544" s="12">
        <v>15050.2</v>
      </c>
      <c r="I1544" s="13">
        <v>12792.67</v>
      </c>
      <c r="J1544" s="13">
        <f>Orders[[#This Row],[Quantity]]*Orders[[#This Row],[Selling Price]]</f>
        <v>105351.40000000001</v>
      </c>
      <c r="K1544" s="13">
        <f>Orders[[#This Row],[Quantity]]*Orders[[#This Row],[Cost Price]]</f>
        <v>89548.69</v>
      </c>
      <c r="L1544" s="13">
        <f>Orders[[#This Row],[Revenue]]-Orders[[#This Row],[Expenses]]</f>
        <v>15802.710000000006</v>
      </c>
      <c r="M1544" t="s">
        <v>2206</v>
      </c>
      <c r="N1544" t="str">
        <f>_xlfn.XLOOKUP(Orders[[#This Row],[CustomerID]],Customers[CustomerID],Customers[CustomerName])</f>
        <v>Efe Adeyemi</v>
      </c>
      <c r="O1544" t="str">
        <f>_xlfn.XLOOKUP(Orders[[#This Row],[CustomerID]],Customers[CustomerID],Customers[City])</f>
        <v>Washington</v>
      </c>
      <c r="P1544" t="str">
        <f>_xlfn.XLOOKUP(Orders[[#This Row],[CustomerID]],Customers[CustomerID],Customers[Gender])</f>
        <v>Female</v>
      </c>
      <c r="Q1544">
        <f>_xlfn.XLOOKUP(Orders[[#This Row],[CustomerID]],Customers[CustomerID],Customers[CustomerAge])</f>
        <v>22</v>
      </c>
      <c r="R1544" t="str">
        <f>IF(Orders[[#This Row],[CustomerAge]]&gt;=35, "Older", "Young")</f>
        <v>Young</v>
      </c>
      <c r="S1544" t="str">
        <f>_xlfn.XLOOKUP(Orders[[#This Row],[ProductID]],Products[ProductID],Products[ProductName])</f>
        <v>Gold Bracelets</v>
      </c>
      <c r="T1544" t="str">
        <f>_xlfn.XLOOKUP(Orders[[#This Row],[ProductID]],Products[ProductID],Products[Category])</f>
        <v>Accessories</v>
      </c>
    </row>
    <row r="1545" spans="1:20" x14ac:dyDescent="0.25">
      <c r="A1545" s="4" t="s">
        <v>1734</v>
      </c>
      <c r="B1545" s="5">
        <v>45965</v>
      </c>
      <c r="C1545" s="15">
        <f>WEEKNUM(Orders[[#This Row],[OrderDate]])</f>
        <v>45</v>
      </c>
      <c r="D1545" s="15" t="str">
        <f>TEXT(Orders[[#This Row],[OrderDate]],"mmmm")</f>
        <v>November</v>
      </c>
      <c r="E1545" s="4" t="s">
        <v>305</v>
      </c>
      <c r="F1545" s="4" t="s">
        <v>20</v>
      </c>
      <c r="G1545" s="4">
        <v>2</v>
      </c>
      <c r="H1545" s="12">
        <v>13629.400000000001</v>
      </c>
      <c r="I1545" s="13">
        <v>11584.990000000002</v>
      </c>
      <c r="J1545" s="13">
        <f>Orders[[#This Row],[Quantity]]*Orders[[#This Row],[Selling Price]]</f>
        <v>27258.800000000003</v>
      </c>
      <c r="K1545" s="13">
        <f>Orders[[#This Row],[Quantity]]*Orders[[#This Row],[Cost Price]]</f>
        <v>23169.980000000003</v>
      </c>
      <c r="L1545" s="13">
        <f>Orders[[#This Row],[Revenue]]-Orders[[#This Row],[Expenses]]</f>
        <v>4088.8199999999997</v>
      </c>
      <c r="M1545" t="s">
        <v>2193</v>
      </c>
      <c r="N1545" t="str">
        <f>_xlfn.XLOOKUP(Orders[[#This Row],[CustomerID]],Customers[CustomerID],Customers[CustomerName])</f>
        <v>Tunde Danladi</v>
      </c>
      <c r="O1545" t="str">
        <f>_xlfn.XLOOKUP(Orders[[#This Row],[CustomerID]],Customers[CustomerID],Customers[City])</f>
        <v>California</v>
      </c>
      <c r="P1545" t="str">
        <f>_xlfn.XLOOKUP(Orders[[#This Row],[CustomerID]],Customers[CustomerID],Customers[Gender])</f>
        <v>Male</v>
      </c>
      <c r="Q1545">
        <f>_xlfn.XLOOKUP(Orders[[#This Row],[CustomerID]],Customers[CustomerID],Customers[CustomerAge])</f>
        <v>40</v>
      </c>
      <c r="R1545" t="str">
        <f>IF(Orders[[#This Row],[CustomerAge]]&gt;=35, "Older", "Young")</f>
        <v>Older</v>
      </c>
      <c r="S1545" t="str">
        <f>_xlfn.XLOOKUP(Orders[[#This Row],[ProductID]],Products[ProductID],Products[ProductName])</f>
        <v>Gym Bag</v>
      </c>
      <c r="T1545" t="str">
        <f>_xlfn.XLOOKUP(Orders[[#This Row],[ProductID]],Products[ProductID],Products[Category])</f>
        <v>Gym</v>
      </c>
    </row>
    <row r="1546" spans="1:20" x14ac:dyDescent="0.25">
      <c r="A1546" s="4" t="s">
        <v>1735</v>
      </c>
      <c r="B1546" s="5">
        <v>45997</v>
      </c>
      <c r="C1546" s="15">
        <f>WEEKNUM(Orders[[#This Row],[OrderDate]])</f>
        <v>49</v>
      </c>
      <c r="D1546" s="15" t="str">
        <f>TEXT(Orders[[#This Row],[OrderDate]],"mmmm")</f>
        <v>December</v>
      </c>
      <c r="E1546" s="4" t="s">
        <v>280</v>
      </c>
      <c r="F1546" s="4" t="s">
        <v>12</v>
      </c>
      <c r="G1546" s="4">
        <v>7</v>
      </c>
      <c r="H1546" s="12">
        <v>5429.2</v>
      </c>
      <c r="I1546" s="13">
        <v>4614.82</v>
      </c>
      <c r="J1546" s="13">
        <f>Orders[[#This Row],[Quantity]]*Orders[[#This Row],[Selling Price]]</f>
        <v>38004.400000000001</v>
      </c>
      <c r="K1546" s="13">
        <f>Orders[[#This Row],[Quantity]]*Orders[[#This Row],[Cost Price]]</f>
        <v>32303.739999999998</v>
      </c>
      <c r="L1546" s="13">
        <f>Orders[[#This Row],[Revenue]]-Orders[[#This Row],[Expenses]]</f>
        <v>5700.6600000000035</v>
      </c>
      <c r="M1546" t="s">
        <v>2210</v>
      </c>
      <c r="N1546" t="str">
        <f>_xlfn.XLOOKUP(Orders[[#This Row],[CustomerID]],Customers[CustomerID],Customers[CustomerName])</f>
        <v>Folasade Okonkwo</v>
      </c>
      <c r="O1546" t="str">
        <f>_xlfn.XLOOKUP(Orders[[#This Row],[CustomerID]],Customers[CustomerID],Customers[City])</f>
        <v>Texas</v>
      </c>
      <c r="P1546" t="str">
        <f>_xlfn.XLOOKUP(Orders[[#This Row],[CustomerID]],Customers[CustomerID],Customers[Gender])</f>
        <v>Female</v>
      </c>
      <c r="Q1546">
        <f>_xlfn.XLOOKUP(Orders[[#This Row],[CustomerID]],Customers[CustomerID],Customers[CustomerAge])</f>
        <v>21</v>
      </c>
      <c r="R1546" t="str">
        <f>IF(Orders[[#This Row],[CustomerAge]]&gt;=35, "Older", "Young")</f>
        <v>Young</v>
      </c>
      <c r="S1546" t="str">
        <f>_xlfn.XLOOKUP(Orders[[#This Row],[ProductID]],Products[ProductID],Products[ProductName])</f>
        <v>Boubou</v>
      </c>
      <c r="T1546" t="str">
        <f>_xlfn.XLOOKUP(Orders[[#This Row],[ProductID]],Products[ProductID],Products[Category])</f>
        <v>Clothing</v>
      </c>
    </row>
    <row r="1547" spans="1:20" x14ac:dyDescent="0.25">
      <c r="A1547" s="4" t="s">
        <v>1736</v>
      </c>
      <c r="B1547" s="5">
        <v>45977</v>
      </c>
      <c r="C1547" s="15">
        <f>WEEKNUM(Orders[[#This Row],[OrderDate]])</f>
        <v>47</v>
      </c>
      <c r="D1547" s="15" t="str">
        <f>TEXT(Orders[[#This Row],[OrderDate]],"mmmm")</f>
        <v>November</v>
      </c>
      <c r="E1547" s="4" t="s">
        <v>132</v>
      </c>
      <c r="F1547" s="4" t="s">
        <v>168</v>
      </c>
      <c r="G1547" s="4">
        <v>4</v>
      </c>
      <c r="H1547" s="12">
        <v>3337.7</v>
      </c>
      <c r="I1547" s="13">
        <v>2837.0450000000001</v>
      </c>
      <c r="J1547" s="13">
        <f>Orders[[#This Row],[Quantity]]*Orders[[#This Row],[Selling Price]]</f>
        <v>13350.8</v>
      </c>
      <c r="K1547" s="13">
        <f>Orders[[#This Row],[Quantity]]*Orders[[#This Row],[Cost Price]]</f>
        <v>11348.18</v>
      </c>
      <c r="L1547" s="13">
        <f>Orders[[#This Row],[Revenue]]-Orders[[#This Row],[Expenses]]</f>
        <v>2002.619999999999</v>
      </c>
      <c r="M1547" t="s">
        <v>2216</v>
      </c>
      <c r="N1547" t="str">
        <f>_xlfn.XLOOKUP(Orders[[#This Row],[CustomerID]],Customers[CustomerID],Customers[CustomerName])</f>
        <v>Emeka Balogun</v>
      </c>
      <c r="O1547" t="str">
        <f>_xlfn.XLOOKUP(Orders[[#This Row],[CustomerID]],Customers[CustomerID],Customers[City])</f>
        <v>Illinois</v>
      </c>
      <c r="P1547" t="str">
        <f>_xlfn.XLOOKUP(Orders[[#This Row],[CustomerID]],Customers[CustomerID],Customers[Gender])</f>
        <v>Male</v>
      </c>
      <c r="Q1547">
        <f>_xlfn.XLOOKUP(Orders[[#This Row],[CustomerID]],Customers[CustomerID],Customers[CustomerAge])</f>
        <v>36</v>
      </c>
      <c r="R1547" t="str">
        <f>IF(Orders[[#This Row],[CustomerAge]]&gt;=35, "Older", "Young")</f>
        <v>Older</v>
      </c>
      <c r="S1547" t="str">
        <f>_xlfn.XLOOKUP(Orders[[#This Row],[ProductID]],Products[ProductID],Products[ProductName])</f>
        <v>Dumb Bells</v>
      </c>
      <c r="T1547" t="str">
        <f>_xlfn.XLOOKUP(Orders[[#This Row],[ProductID]],Products[ProductID],Products[Category])</f>
        <v>Gym</v>
      </c>
    </row>
    <row r="1548" spans="1:20" x14ac:dyDescent="0.25">
      <c r="A1548" s="4" t="s">
        <v>1737</v>
      </c>
      <c r="B1548" s="5">
        <v>46012</v>
      </c>
      <c r="C1548" s="15">
        <f>WEEKNUM(Orders[[#This Row],[OrderDate]])</f>
        <v>52</v>
      </c>
      <c r="D1548" s="15" t="str">
        <f>TEXT(Orders[[#This Row],[OrderDate]],"mmmm")</f>
        <v>December</v>
      </c>
      <c r="E1548" s="4" t="s">
        <v>517</v>
      </c>
      <c r="F1548" s="4" t="s">
        <v>127</v>
      </c>
      <c r="G1548" s="4">
        <v>2</v>
      </c>
      <c r="H1548" s="12">
        <v>17396.300000000003</v>
      </c>
      <c r="I1548" s="13">
        <v>14786.855000000003</v>
      </c>
      <c r="J1548" s="13">
        <f>Orders[[#This Row],[Quantity]]*Orders[[#This Row],[Selling Price]]</f>
        <v>34792.600000000006</v>
      </c>
      <c r="K1548" s="13">
        <f>Orders[[#This Row],[Quantity]]*Orders[[#This Row],[Cost Price]]</f>
        <v>29573.710000000006</v>
      </c>
      <c r="L1548" s="13">
        <f>Orders[[#This Row],[Revenue]]-Orders[[#This Row],[Expenses]]</f>
        <v>5218.8899999999994</v>
      </c>
      <c r="M1548" t="s">
        <v>2216</v>
      </c>
      <c r="N1548" t="str">
        <f>_xlfn.XLOOKUP(Orders[[#This Row],[CustomerID]],Customers[CustomerID],Customers[CustomerName])</f>
        <v>Efe Adeyemi</v>
      </c>
      <c r="O1548" t="str">
        <f>_xlfn.XLOOKUP(Orders[[#This Row],[CustomerID]],Customers[CustomerID],Customers[City])</f>
        <v>Florida</v>
      </c>
      <c r="P1548" t="str">
        <f>_xlfn.XLOOKUP(Orders[[#This Row],[CustomerID]],Customers[CustomerID],Customers[Gender])</f>
        <v>Female</v>
      </c>
      <c r="Q1548">
        <f>_xlfn.XLOOKUP(Orders[[#This Row],[CustomerID]],Customers[CustomerID],Customers[CustomerAge])</f>
        <v>25</v>
      </c>
      <c r="R1548" t="str">
        <f>IF(Orders[[#This Row],[CustomerAge]]&gt;=35, "Older", "Young")</f>
        <v>Young</v>
      </c>
      <c r="S1548" t="str">
        <f>_xlfn.XLOOKUP(Orders[[#This Row],[ProductID]],Products[ProductID],Products[ProductName])</f>
        <v>Tops</v>
      </c>
      <c r="T1548" t="str">
        <f>_xlfn.XLOOKUP(Orders[[#This Row],[ProductID]],Products[ProductID],Products[Category])</f>
        <v>Clothing</v>
      </c>
    </row>
    <row r="1549" spans="1:20" x14ac:dyDescent="0.25">
      <c r="A1549" s="4" t="s">
        <v>1738</v>
      </c>
      <c r="B1549" s="5">
        <v>45935</v>
      </c>
      <c r="C1549" s="15">
        <f>WEEKNUM(Orders[[#This Row],[OrderDate]])</f>
        <v>41</v>
      </c>
      <c r="D1549" s="15" t="str">
        <f>TEXT(Orders[[#This Row],[OrderDate]],"mmmm")</f>
        <v>October</v>
      </c>
      <c r="E1549" s="4" t="s">
        <v>418</v>
      </c>
      <c r="F1549" s="4" t="s">
        <v>60</v>
      </c>
      <c r="G1549" s="4">
        <v>6</v>
      </c>
      <c r="H1549" s="12">
        <v>6137.1</v>
      </c>
      <c r="I1549" s="13">
        <v>5216.5349999999999</v>
      </c>
      <c r="J1549" s="13">
        <f>Orders[[#This Row],[Quantity]]*Orders[[#This Row],[Selling Price]]</f>
        <v>36822.600000000006</v>
      </c>
      <c r="K1549" s="13">
        <f>Orders[[#This Row],[Quantity]]*Orders[[#This Row],[Cost Price]]</f>
        <v>31299.21</v>
      </c>
      <c r="L1549" s="13">
        <f>Orders[[#This Row],[Revenue]]-Orders[[#This Row],[Expenses]]</f>
        <v>5523.3900000000067</v>
      </c>
      <c r="M1549" t="s">
        <v>2194</v>
      </c>
      <c r="N1549" t="str">
        <f>_xlfn.XLOOKUP(Orders[[#This Row],[CustomerID]],Customers[CustomerID],Customers[CustomerName])</f>
        <v>Amina Danladi</v>
      </c>
      <c r="O1549" t="str">
        <f>_xlfn.XLOOKUP(Orders[[#This Row],[CustomerID]],Customers[CustomerID],Customers[City])</f>
        <v>Illinois</v>
      </c>
      <c r="P1549" t="str">
        <f>_xlfn.XLOOKUP(Orders[[#This Row],[CustomerID]],Customers[CustomerID],Customers[Gender])</f>
        <v>Female</v>
      </c>
      <c r="Q1549">
        <f>_xlfn.XLOOKUP(Orders[[#This Row],[CustomerID]],Customers[CustomerID],Customers[CustomerAge])</f>
        <v>20</v>
      </c>
      <c r="R1549" t="str">
        <f>IF(Orders[[#This Row],[CustomerAge]]&gt;=35, "Older", "Young")</f>
        <v>Young</v>
      </c>
      <c r="S1549" t="str">
        <f>_xlfn.XLOOKUP(Orders[[#This Row],[ProductID]],Products[ProductID],Products[ProductName])</f>
        <v>Silver Rings</v>
      </c>
      <c r="T1549" t="str">
        <f>_xlfn.XLOOKUP(Orders[[#This Row],[ProductID]],Products[ProductID],Products[Category])</f>
        <v>Accessories</v>
      </c>
    </row>
    <row r="1550" spans="1:20" x14ac:dyDescent="0.25">
      <c r="A1550" s="4" t="s">
        <v>1739</v>
      </c>
      <c r="B1550" s="5">
        <v>45997</v>
      </c>
      <c r="C1550" s="15">
        <f>WEEKNUM(Orders[[#This Row],[OrderDate]])</f>
        <v>49</v>
      </c>
      <c r="D1550" s="15" t="str">
        <f>TEXT(Orders[[#This Row],[OrderDate]],"mmmm")</f>
        <v>December</v>
      </c>
      <c r="E1550" s="4" t="s">
        <v>212</v>
      </c>
      <c r="F1550" s="4" t="s">
        <v>125</v>
      </c>
      <c r="G1550" s="4">
        <v>5</v>
      </c>
      <c r="H1550" s="12">
        <v>14149.5</v>
      </c>
      <c r="I1550" s="13">
        <v>12027.075000000001</v>
      </c>
      <c r="J1550" s="13">
        <f>Orders[[#This Row],[Quantity]]*Orders[[#This Row],[Selling Price]]</f>
        <v>70747.5</v>
      </c>
      <c r="K1550" s="13">
        <f>Orders[[#This Row],[Quantity]]*Orders[[#This Row],[Cost Price]]</f>
        <v>60135.375</v>
      </c>
      <c r="L1550" s="13">
        <f>Orders[[#This Row],[Revenue]]-Orders[[#This Row],[Expenses]]</f>
        <v>10612.125</v>
      </c>
      <c r="M1550" t="s">
        <v>2195</v>
      </c>
      <c r="N1550" t="str">
        <f>_xlfn.XLOOKUP(Orders[[#This Row],[CustomerID]],Customers[CustomerID],Customers[CustomerName])</f>
        <v>Ngozi Ojo</v>
      </c>
      <c r="O1550" t="str">
        <f>_xlfn.XLOOKUP(Orders[[#This Row],[CustomerID]],Customers[CustomerID],Customers[City])</f>
        <v>Illinois</v>
      </c>
      <c r="P1550" t="str">
        <f>_xlfn.XLOOKUP(Orders[[#This Row],[CustomerID]],Customers[CustomerID],Customers[Gender])</f>
        <v>Female</v>
      </c>
      <c r="Q1550">
        <f>_xlfn.XLOOKUP(Orders[[#This Row],[CustomerID]],Customers[CustomerID],Customers[CustomerAge])</f>
        <v>53</v>
      </c>
      <c r="R1550" t="str">
        <f>IF(Orders[[#This Row],[CustomerAge]]&gt;=35, "Older", "Young")</f>
        <v>Older</v>
      </c>
      <c r="S1550" t="str">
        <f>_xlfn.XLOOKUP(Orders[[#This Row],[ProductID]],Products[ProductID],Products[ProductName])</f>
        <v>Earrings</v>
      </c>
      <c r="T1550" t="str">
        <f>_xlfn.XLOOKUP(Orders[[#This Row],[ProductID]],Products[ProductID],Products[Category])</f>
        <v>Accessories</v>
      </c>
    </row>
    <row r="1551" spans="1:20" x14ac:dyDescent="0.25">
      <c r="A1551" s="4" t="s">
        <v>1740</v>
      </c>
      <c r="B1551" s="5">
        <v>45978</v>
      </c>
      <c r="C1551" s="15">
        <f>WEEKNUM(Orders[[#This Row],[OrderDate]])</f>
        <v>47</v>
      </c>
      <c r="D1551" s="15" t="str">
        <f>TEXT(Orders[[#This Row],[OrderDate]],"mmmm")</f>
        <v>November</v>
      </c>
      <c r="E1551" s="4" t="s">
        <v>246</v>
      </c>
      <c r="F1551" s="4" t="s">
        <v>63</v>
      </c>
      <c r="G1551" s="4">
        <v>7</v>
      </c>
      <c r="H1551" s="12">
        <v>14510.8</v>
      </c>
      <c r="I1551" s="13">
        <v>12334.18</v>
      </c>
      <c r="J1551" s="13">
        <f>Orders[[#This Row],[Quantity]]*Orders[[#This Row],[Selling Price]]</f>
        <v>101575.59999999999</v>
      </c>
      <c r="K1551" s="13">
        <f>Orders[[#This Row],[Quantity]]*Orders[[#This Row],[Cost Price]]</f>
        <v>86339.260000000009</v>
      </c>
      <c r="L1551" s="13">
        <f>Orders[[#This Row],[Revenue]]-Orders[[#This Row],[Expenses]]</f>
        <v>15236.339999999982</v>
      </c>
      <c r="M1551" t="s">
        <v>2196</v>
      </c>
      <c r="N1551" t="str">
        <f>_xlfn.XLOOKUP(Orders[[#This Row],[CustomerID]],Customers[CustomerID],Customers[CustomerName])</f>
        <v>Emeka Abubakar</v>
      </c>
      <c r="O1551" t="str">
        <f>_xlfn.XLOOKUP(Orders[[#This Row],[CustomerID]],Customers[CustomerID],Customers[City])</f>
        <v>Florida</v>
      </c>
      <c r="P1551" t="str">
        <f>_xlfn.XLOOKUP(Orders[[#This Row],[CustomerID]],Customers[CustomerID],Customers[Gender])</f>
        <v>Male</v>
      </c>
      <c r="Q1551">
        <f>_xlfn.XLOOKUP(Orders[[#This Row],[CustomerID]],Customers[CustomerID],Customers[CustomerAge])</f>
        <v>28</v>
      </c>
      <c r="R1551" t="str">
        <f>IF(Orders[[#This Row],[CustomerAge]]&gt;=35, "Older", "Young")</f>
        <v>Young</v>
      </c>
      <c r="S1551" t="str">
        <f>_xlfn.XLOOKUP(Orders[[#This Row],[ProductID]],Products[ProductID],Products[ProductName])</f>
        <v>Tennis Bat</v>
      </c>
      <c r="T1551" t="str">
        <f>_xlfn.XLOOKUP(Orders[[#This Row],[ProductID]],Products[ProductID],Products[Category])</f>
        <v>Sports</v>
      </c>
    </row>
    <row r="1552" spans="1:20" x14ac:dyDescent="0.25">
      <c r="A1552" s="4" t="s">
        <v>1741</v>
      </c>
      <c r="B1552" s="5">
        <v>45995</v>
      </c>
      <c r="C1552" s="15">
        <f>WEEKNUM(Orders[[#This Row],[OrderDate]])</f>
        <v>49</v>
      </c>
      <c r="D1552" s="15" t="str">
        <f>TEXT(Orders[[#This Row],[OrderDate]],"mmmm")</f>
        <v>December</v>
      </c>
      <c r="E1552" s="4" t="s">
        <v>83</v>
      </c>
      <c r="F1552" s="4" t="s">
        <v>111</v>
      </c>
      <c r="G1552" s="4">
        <v>6</v>
      </c>
      <c r="H1552" s="12">
        <v>18509.8</v>
      </c>
      <c r="I1552" s="13">
        <v>15733.33</v>
      </c>
      <c r="J1552" s="13">
        <f>Orders[[#This Row],[Quantity]]*Orders[[#This Row],[Selling Price]]</f>
        <v>111058.79999999999</v>
      </c>
      <c r="K1552" s="13">
        <f>Orders[[#This Row],[Quantity]]*Orders[[#This Row],[Cost Price]]</f>
        <v>94399.98</v>
      </c>
      <c r="L1552" s="13">
        <f>Orders[[#This Row],[Revenue]]-Orders[[#This Row],[Expenses]]</f>
        <v>16658.819999999992</v>
      </c>
      <c r="M1552" t="s">
        <v>2216</v>
      </c>
      <c r="N1552" t="str">
        <f>_xlfn.XLOOKUP(Orders[[#This Row],[CustomerID]],Customers[CustomerID],Customers[CustomerName])</f>
        <v>Funke Danladi</v>
      </c>
      <c r="O1552" t="str">
        <f>_xlfn.XLOOKUP(Orders[[#This Row],[CustomerID]],Customers[CustomerID],Customers[City])</f>
        <v>Florida</v>
      </c>
      <c r="P1552" t="str">
        <f>_xlfn.XLOOKUP(Orders[[#This Row],[CustomerID]],Customers[CustomerID],Customers[Gender])</f>
        <v>Female</v>
      </c>
      <c r="Q1552">
        <f>_xlfn.XLOOKUP(Orders[[#This Row],[CustomerID]],Customers[CustomerID],Customers[CustomerAge])</f>
        <v>26</v>
      </c>
      <c r="R1552" t="str">
        <f>IF(Orders[[#This Row],[CustomerAge]]&gt;=35, "Older", "Young")</f>
        <v>Young</v>
      </c>
      <c r="S1552" t="str">
        <f>_xlfn.XLOOKUP(Orders[[#This Row],[ProductID]],Products[ProductID],Products[ProductName])</f>
        <v>Refrigerator</v>
      </c>
      <c r="T1552" t="str">
        <f>_xlfn.XLOOKUP(Orders[[#This Row],[ProductID]],Products[ProductID],Products[Category])</f>
        <v>Electronics</v>
      </c>
    </row>
    <row r="1553" spans="1:20" x14ac:dyDescent="0.25">
      <c r="A1553" s="4" t="s">
        <v>1742</v>
      </c>
      <c r="B1553" s="5">
        <v>45944</v>
      </c>
      <c r="C1553" s="15">
        <f>WEEKNUM(Orders[[#This Row],[OrderDate]])</f>
        <v>42</v>
      </c>
      <c r="D1553" s="15" t="str">
        <f>TEXT(Orders[[#This Row],[OrderDate]],"mmmm")</f>
        <v>October</v>
      </c>
      <c r="E1553" s="4" t="s">
        <v>322</v>
      </c>
      <c r="F1553" s="4" t="s">
        <v>34</v>
      </c>
      <c r="G1553" s="4">
        <v>1</v>
      </c>
      <c r="H1553" s="12">
        <v>14136.400000000001</v>
      </c>
      <c r="I1553" s="13">
        <v>12015.940000000002</v>
      </c>
      <c r="J1553" s="13">
        <f>Orders[[#This Row],[Quantity]]*Orders[[#This Row],[Selling Price]]</f>
        <v>14136.400000000001</v>
      </c>
      <c r="K1553" s="13">
        <f>Orders[[#This Row],[Quantity]]*Orders[[#This Row],[Cost Price]]</f>
        <v>12015.940000000002</v>
      </c>
      <c r="L1553" s="13">
        <f>Orders[[#This Row],[Revenue]]-Orders[[#This Row],[Expenses]]</f>
        <v>2120.4599999999991</v>
      </c>
      <c r="M1553" t="s">
        <v>2209</v>
      </c>
      <c r="N1553" t="str">
        <f>_xlfn.XLOOKUP(Orders[[#This Row],[CustomerID]],Customers[CustomerID],Customers[CustomerName])</f>
        <v>Ngozi Bello</v>
      </c>
      <c r="O1553" t="str">
        <f>_xlfn.XLOOKUP(Orders[[#This Row],[CustomerID]],Customers[CustomerID],Customers[City])</f>
        <v>Washington</v>
      </c>
      <c r="P1553" t="str">
        <f>_xlfn.XLOOKUP(Orders[[#This Row],[CustomerID]],Customers[CustomerID],Customers[Gender])</f>
        <v>Female</v>
      </c>
      <c r="Q1553">
        <f>_xlfn.XLOOKUP(Orders[[#This Row],[CustomerID]],Customers[CustomerID],Customers[CustomerAge])</f>
        <v>32</v>
      </c>
      <c r="R1553" t="str">
        <f>IF(Orders[[#This Row],[CustomerAge]]&gt;=35, "Older", "Young")</f>
        <v>Young</v>
      </c>
      <c r="S1553" t="str">
        <f>_xlfn.XLOOKUP(Orders[[#This Row],[ProductID]],Products[ProductID],Products[ProductName])</f>
        <v>Gold Bracelets</v>
      </c>
      <c r="T1553" t="str">
        <f>_xlfn.XLOOKUP(Orders[[#This Row],[ProductID]],Products[ProductID],Products[Category])</f>
        <v>Accessories</v>
      </c>
    </row>
    <row r="1554" spans="1:20" x14ac:dyDescent="0.25">
      <c r="A1554" s="4" t="s">
        <v>1743</v>
      </c>
      <c r="B1554" s="5">
        <v>46009</v>
      </c>
      <c r="C1554" s="15">
        <f>WEEKNUM(Orders[[#This Row],[OrderDate]])</f>
        <v>51</v>
      </c>
      <c r="D1554" s="15" t="str">
        <f>TEXT(Orders[[#This Row],[OrderDate]],"mmmm")</f>
        <v>December</v>
      </c>
      <c r="E1554" s="4" t="s">
        <v>22</v>
      </c>
      <c r="F1554" s="4" t="s">
        <v>37</v>
      </c>
      <c r="G1554" s="4">
        <v>7</v>
      </c>
      <c r="H1554" s="12">
        <v>18692.7</v>
      </c>
      <c r="I1554" s="13">
        <v>15888.795</v>
      </c>
      <c r="J1554" s="13">
        <f>Orders[[#This Row],[Quantity]]*Orders[[#This Row],[Selling Price]]</f>
        <v>130848.90000000001</v>
      </c>
      <c r="K1554" s="13">
        <f>Orders[[#This Row],[Quantity]]*Orders[[#This Row],[Cost Price]]</f>
        <v>111221.565</v>
      </c>
      <c r="L1554" s="13">
        <f>Orders[[#This Row],[Revenue]]-Orders[[#This Row],[Expenses]]</f>
        <v>19627.335000000006</v>
      </c>
      <c r="M1554" t="s">
        <v>2210</v>
      </c>
      <c r="N1554" t="str">
        <f>_xlfn.XLOOKUP(Orders[[#This Row],[CustomerID]],Customers[CustomerID],Customers[CustomerName])</f>
        <v>Temi Bello</v>
      </c>
      <c r="O1554" t="str">
        <f>_xlfn.XLOOKUP(Orders[[#This Row],[CustomerID]],Customers[CustomerID],Customers[City])</f>
        <v>Texas</v>
      </c>
      <c r="P1554" t="str">
        <f>_xlfn.XLOOKUP(Orders[[#This Row],[CustomerID]],Customers[CustomerID],Customers[Gender])</f>
        <v>Female</v>
      </c>
      <c r="Q1554">
        <f>_xlfn.XLOOKUP(Orders[[#This Row],[CustomerID]],Customers[CustomerID],Customers[CustomerAge])</f>
        <v>52</v>
      </c>
      <c r="R1554" t="str">
        <f>IF(Orders[[#This Row],[CustomerAge]]&gt;=35, "Older", "Young")</f>
        <v>Older</v>
      </c>
      <c r="S1554" t="str">
        <f>_xlfn.XLOOKUP(Orders[[#This Row],[ProductID]],Products[ProductID],Products[ProductName])</f>
        <v>Iron</v>
      </c>
      <c r="T1554" t="str">
        <f>_xlfn.XLOOKUP(Orders[[#This Row],[ProductID]],Products[ProductID],Products[Category])</f>
        <v>Electronics</v>
      </c>
    </row>
    <row r="1555" spans="1:20" x14ac:dyDescent="0.25">
      <c r="A1555" s="4" t="s">
        <v>1744</v>
      </c>
      <c r="B1555" s="5">
        <v>46003</v>
      </c>
      <c r="C1555" s="15">
        <f>WEEKNUM(Orders[[#This Row],[OrderDate]])</f>
        <v>50</v>
      </c>
      <c r="D1555" s="15" t="str">
        <f>TEXT(Orders[[#This Row],[OrderDate]],"mmmm")</f>
        <v>December</v>
      </c>
      <c r="E1555" s="4" t="s">
        <v>101</v>
      </c>
      <c r="F1555" s="4" t="s">
        <v>15</v>
      </c>
      <c r="G1555" s="4">
        <v>8</v>
      </c>
      <c r="H1555" s="12">
        <v>4412.3</v>
      </c>
      <c r="I1555" s="13">
        <v>3750.4549999999999</v>
      </c>
      <c r="J1555" s="13">
        <f>Orders[[#This Row],[Quantity]]*Orders[[#This Row],[Selling Price]]</f>
        <v>35298.400000000001</v>
      </c>
      <c r="K1555" s="13">
        <f>Orders[[#This Row],[Quantity]]*Orders[[#This Row],[Cost Price]]</f>
        <v>30003.64</v>
      </c>
      <c r="L1555" s="13">
        <f>Orders[[#This Row],[Revenue]]-Orders[[#This Row],[Expenses]]</f>
        <v>5294.760000000002</v>
      </c>
      <c r="M1555" t="s">
        <v>2199</v>
      </c>
      <c r="N1555" t="str">
        <f>_xlfn.XLOOKUP(Orders[[#This Row],[CustomerID]],Customers[CustomerID],Customers[CustomerName])</f>
        <v>Blessing Eze</v>
      </c>
      <c r="O1555" t="str">
        <f>_xlfn.XLOOKUP(Orders[[#This Row],[CustomerID]],Customers[CustomerID],Customers[City])</f>
        <v>Texas</v>
      </c>
      <c r="P1555" t="str">
        <f>_xlfn.XLOOKUP(Orders[[#This Row],[CustomerID]],Customers[CustomerID],Customers[Gender])</f>
        <v>Female</v>
      </c>
      <c r="Q1555">
        <f>_xlfn.XLOOKUP(Orders[[#This Row],[CustomerID]],Customers[CustomerID],Customers[CustomerAge])</f>
        <v>55</v>
      </c>
      <c r="R1555" t="str">
        <f>IF(Orders[[#This Row],[CustomerAge]]&gt;=35, "Older", "Young")</f>
        <v>Older</v>
      </c>
      <c r="S1555" t="str">
        <f>_xlfn.XLOOKUP(Orders[[#This Row],[ProductID]],Products[ProductID],Products[ProductName])</f>
        <v>Monopoly</v>
      </c>
      <c r="T1555" t="str">
        <f>_xlfn.XLOOKUP(Orders[[#This Row],[ProductID]],Products[ProductID],Products[Category])</f>
        <v>Games</v>
      </c>
    </row>
    <row r="1556" spans="1:20" x14ac:dyDescent="0.25">
      <c r="A1556" s="4" t="s">
        <v>1745</v>
      </c>
      <c r="B1556" s="5">
        <v>45954</v>
      </c>
      <c r="C1556" s="15">
        <f>WEEKNUM(Orders[[#This Row],[OrderDate]])</f>
        <v>43</v>
      </c>
      <c r="D1556" s="15" t="str">
        <f>TEXT(Orders[[#This Row],[OrderDate]],"mmmm")</f>
        <v>October</v>
      </c>
      <c r="E1556" s="4" t="s">
        <v>524</v>
      </c>
      <c r="F1556" s="4" t="s">
        <v>20</v>
      </c>
      <c r="G1556" s="4">
        <v>4</v>
      </c>
      <c r="H1556" s="12">
        <v>7292.1</v>
      </c>
      <c r="I1556" s="13">
        <v>6198.2849999999999</v>
      </c>
      <c r="J1556" s="13">
        <f>Orders[[#This Row],[Quantity]]*Orders[[#This Row],[Selling Price]]</f>
        <v>29168.400000000001</v>
      </c>
      <c r="K1556" s="13">
        <f>Orders[[#This Row],[Quantity]]*Orders[[#This Row],[Cost Price]]</f>
        <v>24793.14</v>
      </c>
      <c r="L1556" s="13">
        <f>Orders[[#This Row],[Revenue]]-Orders[[#This Row],[Expenses]]</f>
        <v>4375.260000000002</v>
      </c>
      <c r="M1556" t="s">
        <v>2217</v>
      </c>
      <c r="N1556" t="str">
        <f>_xlfn.XLOOKUP(Orders[[#This Row],[CustomerID]],Customers[CustomerID],Customers[CustomerName])</f>
        <v>Chinedu Igwe</v>
      </c>
      <c r="O1556" t="str">
        <f>_xlfn.XLOOKUP(Orders[[#This Row],[CustomerID]],Customers[CustomerID],Customers[City])</f>
        <v>Florida</v>
      </c>
      <c r="P1556" t="str">
        <f>_xlfn.XLOOKUP(Orders[[#This Row],[CustomerID]],Customers[CustomerID],Customers[Gender])</f>
        <v>Male</v>
      </c>
      <c r="Q1556">
        <f>_xlfn.XLOOKUP(Orders[[#This Row],[CustomerID]],Customers[CustomerID],Customers[CustomerAge])</f>
        <v>21</v>
      </c>
      <c r="R1556" t="str">
        <f>IF(Orders[[#This Row],[CustomerAge]]&gt;=35, "Older", "Young")</f>
        <v>Young</v>
      </c>
      <c r="S1556" t="str">
        <f>_xlfn.XLOOKUP(Orders[[#This Row],[ProductID]],Products[ProductID],Products[ProductName])</f>
        <v>Gym Bag</v>
      </c>
      <c r="T1556" t="str">
        <f>_xlfn.XLOOKUP(Orders[[#This Row],[ProductID]],Products[ProductID],Products[Category])</f>
        <v>Gym</v>
      </c>
    </row>
    <row r="1557" spans="1:20" x14ac:dyDescent="0.25">
      <c r="A1557" s="4" t="s">
        <v>1746</v>
      </c>
      <c r="B1557" s="5">
        <v>45967</v>
      </c>
      <c r="C1557" s="15">
        <f>WEEKNUM(Orders[[#This Row],[OrderDate]])</f>
        <v>45</v>
      </c>
      <c r="D1557" s="15" t="str">
        <f>TEXT(Orders[[#This Row],[OrderDate]],"mmmm")</f>
        <v>November</v>
      </c>
      <c r="E1557" s="4" t="s">
        <v>184</v>
      </c>
      <c r="F1557" s="4" t="s">
        <v>111</v>
      </c>
      <c r="G1557" s="4">
        <v>9</v>
      </c>
      <c r="H1557" s="12">
        <v>9786.6999999999989</v>
      </c>
      <c r="I1557" s="13">
        <v>8318.6949999999997</v>
      </c>
      <c r="J1557" s="13">
        <f>Orders[[#This Row],[Quantity]]*Orders[[#This Row],[Selling Price]]</f>
        <v>88080.299999999988</v>
      </c>
      <c r="K1557" s="13">
        <f>Orders[[#This Row],[Quantity]]*Orders[[#This Row],[Cost Price]]</f>
        <v>74868.255000000005</v>
      </c>
      <c r="L1557" s="13">
        <f>Orders[[#This Row],[Revenue]]-Orders[[#This Row],[Expenses]]</f>
        <v>13212.044999999984</v>
      </c>
      <c r="M1557" t="s">
        <v>2211</v>
      </c>
      <c r="N1557" t="str">
        <f>_xlfn.XLOOKUP(Orders[[#This Row],[CustomerID]],Customers[CustomerID],Customers[CustomerName])</f>
        <v>Ngozi Obi</v>
      </c>
      <c r="O1557" t="str">
        <f>_xlfn.XLOOKUP(Orders[[#This Row],[CustomerID]],Customers[CustomerID],Customers[City])</f>
        <v>Washington</v>
      </c>
      <c r="P1557" t="str">
        <f>_xlfn.XLOOKUP(Orders[[#This Row],[CustomerID]],Customers[CustomerID],Customers[Gender])</f>
        <v>Female</v>
      </c>
      <c r="Q1557">
        <f>_xlfn.XLOOKUP(Orders[[#This Row],[CustomerID]],Customers[CustomerID],Customers[CustomerAge])</f>
        <v>32</v>
      </c>
      <c r="R1557" t="str">
        <f>IF(Orders[[#This Row],[CustomerAge]]&gt;=35, "Older", "Young")</f>
        <v>Young</v>
      </c>
      <c r="S1557" t="str">
        <f>_xlfn.XLOOKUP(Orders[[#This Row],[ProductID]],Products[ProductID],Products[ProductName])</f>
        <v>Refrigerator</v>
      </c>
      <c r="T1557" t="str">
        <f>_xlfn.XLOOKUP(Orders[[#This Row],[ProductID]],Products[ProductID],Products[Category])</f>
        <v>Electronics</v>
      </c>
    </row>
    <row r="1558" spans="1:20" x14ac:dyDescent="0.25">
      <c r="A1558" s="4" t="s">
        <v>1747</v>
      </c>
      <c r="B1558" s="5">
        <v>46010</v>
      </c>
      <c r="C1558" s="15">
        <f>WEEKNUM(Orders[[#This Row],[OrderDate]])</f>
        <v>51</v>
      </c>
      <c r="D1558" s="15" t="str">
        <f>TEXT(Orders[[#This Row],[OrderDate]],"mmmm")</f>
        <v>December</v>
      </c>
      <c r="E1558" s="4" t="s">
        <v>8</v>
      </c>
      <c r="F1558" s="4" t="s">
        <v>57</v>
      </c>
      <c r="G1558" s="4">
        <v>5</v>
      </c>
      <c r="H1558" s="12">
        <v>6753.5</v>
      </c>
      <c r="I1558" s="13">
        <v>5740.4750000000004</v>
      </c>
      <c r="J1558" s="13">
        <f>Orders[[#This Row],[Quantity]]*Orders[[#This Row],[Selling Price]]</f>
        <v>33767.5</v>
      </c>
      <c r="K1558" s="13">
        <f>Orders[[#This Row],[Quantity]]*Orders[[#This Row],[Cost Price]]</f>
        <v>28702.375</v>
      </c>
      <c r="L1558" s="13">
        <f>Orders[[#This Row],[Revenue]]-Orders[[#This Row],[Expenses]]</f>
        <v>5065.125</v>
      </c>
      <c r="M1558" t="s">
        <v>2216</v>
      </c>
      <c r="N1558" t="str">
        <f>_xlfn.XLOOKUP(Orders[[#This Row],[CustomerID]],Customers[CustomerID],Customers[CustomerName])</f>
        <v>Bi si Bello</v>
      </c>
      <c r="O1558" t="str">
        <f>_xlfn.XLOOKUP(Orders[[#This Row],[CustomerID]],Customers[CustomerID],Customers[City])</f>
        <v>Washington</v>
      </c>
      <c r="P1558" t="str">
        <f>_xlfn.XLOOKUP(Orders[[#This Row],[CustomerID]],Customers[CustomerID],Customers[Gender])</f>
        <v>Female</v>
      </c>
      <c r="Q1558">
        <f>_xlfn.XLOOKUP(Orders[[#This Row],[CustomerID]],Customers[CustomerID],Customers[CustomerAge])</f>
        <v>38</v>
      </c>
      <c r="R1558" t="str">
        <f>IF(Orders[[#This Row],[CustomerAge]]&gt;=35, "Older", "Young")</f>
        <v>Older</v>
      </c>
      <c r="S1558" t="str">
        <f>_xlfn.XLOOKUP(Orders[[#This Row],[ProductID]],Products[ProductID],Products[ProductName])</f>
        <v>Badminton Racket</v>
      </c>
      <c r="T1558" t="str">
        <f>_xlfn.XLOOKUP(Orders[[#This Row],[ProductID]],Products[ProductID],Products[Category])</f>
        <v>Sports</v>
      </c>
    </row>
    <row r="1559" spans="1:20" x14ac:dyDescent="0.25">
      <c r="A1559" s="4" t="s">
        <v>1748</v>
      </c>
      <c r="B1559" s="5">
        <v>45944</v>
      </c>
      <c r="C1559" s="15">
        <f>WEEKNUM(Orders[[#This Row],[OrderDate]])</f>
        <v>42</v>
      </c>
      <c r="D1559" s="15" t="str">
        <f>TEXT(Orders[[#This Row],[OrderDate]],"mmmm")</f>
        <v>October</v>
      </c>
      <c r="E1559" s="4" t="s">
        <v>546</v>
      </c>
      <c r="F1559" s="4" t="s">
        <v>37</v>
      </c>
      <c r="G1559" s="4">
        <v>4</v>
      </c>
      <c r="H1559" s="12">
        <v>14178.5</v>
      </c>
      <c r="I1559" s="13">
        <v>12051.725</v>
      </c>
      <c r="J1559" s="13">
        <f>Orders[[#This Row],[Quantity]]*Orders[[#This Row],[Selling Price]]</f>
        <v>56714</v>
      </c>
      <c r="K1559" s="13">
        <f>Orders[[#This Row],[Quantity]]*Orders[[#This Row],[Cost Price]]</f>
        <v>48206.9</v>
      </c>
      <c r="L1559" s="13">
        <f>Orders[[#This Row],[Revenue]]-Orders[[#This Row],[Expenses]]</f>
        <v>8507.0999999999985</v>
      </c>
      <c r="M1559" t="s">
        <v>2195</v>
      </c>
      <c r="N1559" t="str">
        <f>_xlfn.XLOOKUP(Orders[[#This Row],[CustomerID]],Customers[CustomerID],Customers[CustomerName])</f>
        <v>Bisi Eze</v>
      </c>
      <c r="O1559" t="str">
        <f>_xlfn.XLOOKUP(Orders[[#This Row],[CustomerID]],Customers[CustomerID],Customers[City])</f>
        <v>Texas</v>
      </c>
      <c r="P1559" t="str">
        <f>_xlfn.XLOOKUP(Orders[[#This Row],[CustomerID]],Customers[CustomerID],Customers[Gender])</f>
        <v>Female</v>
      </c>
      <c r="Q1559">
        <f>_xlfn.XLOOKUP(Orders[[#This Row],[CustomerID]],Customers[CustomerID],Customers[CustomerAge])</f>
        <v>32</v>
      </c>
      <c r="R1559" t="str">
        <f>IF(Orders[[#This Row],[CustomerAge]]&gt;=35, "Older", "Young")</f>
        <v>Young</v>
      </c>
      <c r="S1559" t="str">
        <f>_xlfn.XLOOKUP(Orders[[#This Row],[ProductID]],Products[ProductID],Products[ProductName])</f>
        <v>Iron</v>
      </c>
      <c r="T1559" t="str">
        <f>_xlfn.XLOOKUP(Orders[[#This Row],[ProductID]],Products[ProductID],Products[Category])</f>
        <v>Electronics</v>
      </c>
    </row>
    <row r="1560" spans="1:20" x14ac:dyDescent="0.25">
      <c r="A1560" s="4" t="s">
        <v>1749</v>
      </c>
      <c r="B1560" s="5">
        <v>45964</v>
      </c>
      <c r="C1560" s="15">
        <f>WEEKNUM(Orders[[#This Row],[OrderDate]])</f>
        <v>45</v>
      </c>
      <c r="D1560" s="15" t="str">
        <f>TEXT(Orders[[#This Row],[OrderDate]],"mmmm")</f>
        <v>November</v>
      </c>
      <c r="E1560" s="4" t="s">
        <v>161</v>
      </c>
      <c r="F1560" s="4" t="s">
        <v>15</v>
      </c>
      <c r="G1560" s="4">
        <v>9</v>
      </c>
      <c r="H1560" s="12">
        <v>9200.8000000000011</v>
      </c>
      <c r="I1560" s="13">
        <v>7820.6800000000012</v>
      </c>
      <c r="J1560" s="13">
        <f>Orders[[#This Row],[Quantity]]*Orders[[#This Row],[Selling Price]]</f>
        <v>82807.200000000012</v>
      </c>
      <c r="K1560" s="13">
        <f>Orders[[#This Row],[Quantity]]*Orders[[#This Row],[Cost Price]]</f>
        <v>70386.12000000001</v>
      </c>
      <c r="L1560" s="13">
        <f>Orders[[#This Row],[Revenue]]-Orders[[#This Row],[Expenses]]</f>
        <v>12421.080000000002</v>
      </c>
      <c r="M1560" t="s">
        <v>2204</v>
      </c>
      <c r="N1560" t="str">
        <f>_xlfn.XLOOKUP(Orders[[#This Row],[CustomerID]],Customers[CustomerID],Customers[CustomerName])</f>
        <v>Okon Adeyemi</v>
      </c>
      <c r="O1560" t="str">
        <f>_xlfn.XLOOKUP(Orders[[#This Row],[CustomerID]],Customers[CustomerID],Customers[City])</f>
        <v>Georgia</v>
      </c>
      <c r="P1560" t="str">
        <f>_xlfn.XLOOKUP(Orders[[#This Row],[CustomerID]],Customers[CustomerID],Customers[Gender])</f>
        <v>Male</v>
      </c>
      <c r="Q1560">
        <f>_xlfn.XLOOKUP(Orders[[#This Row],[CustomerID]],Customers[CustomerID],Customers[CustomerAge])</f>
        <v>31</v>
      </c>
      <c r="R1560" t="str">
        <f>IF(Orders[[#This Row],[CustomerAge]]&gt;=35, "Older", "Young")</f>
        <v>Young</v>
      </c>
      <c r="S1560" t="str">
        <f>_xlfn.XLOOKUP(Orders[[#This Row],[ProductID]],Products[ProductID],Products[ProductName])</f>
        <v>Monopoly</v>
      </c>
      <c r="T1560" t="str">
        <f>_xlfn.XLOOKUP(Orders[[#This Row],[ProductID]],Products[ProductID],Products[Category])</f>
        <v>Games</v>
      </c>
    </row>
    <row r="1561" spans="1:20" x14ac:dyDescent="0.25">
      <c r="A1561" s="4" t="s">
        <v>1750</v>
      </c>
      <c r="B1561" s="5">
        <v>45978</v>
      </c>
      <c r="C1561" s="15">
        <f>WEEKNUM(Orders[[#This Row],[OrderDate]])</f>
        <v>47</v>
      </c>
      <c r="D1561" s="15" t="str">
        <f>TEXT(Orders[[#This Row],[OrderDate]],"mmmm")</f>
        <v>November</v>
      </c>
      <c r="E1561" s="4" t="s">
        <v>369</v>
      </c>
      <c r="F1561" s="4" t="s">
        <v>25</v>
      </c>
      <c r="G1561" s="4">
        <v>6</v>
      </c>
      <c r="H1561" s="12">
        <v>3321.9</v>
      </c>
      <c r="I1561" s="13">
        <v>2823.6150000000002</v>
      </c>
      <c r="J1561" s="13">
        <f>Orders[[#This Row],[Quantity]]*Orders[[#This Row],[Selling Price]]</f>
        <v>19931.400000000001</v>
      </c>
      <c r="K1561" s="13">
        <f>Orders[[#This Row],[Quantity]]*Orders[[#This Row],[Cost Price]]</f>
        <v>16941.690000000002</v>
      </c>
      <c r="L1561" s="13">
        <f>Orders[[#This Row],[Revenue]]-Orders[[#This Row],[Expenses]]</f>
        <v>2989.7099999999991</v>
      </c>
      <c r="M1561" t="s">
        <v>2208</v>
      </c>
      <c r="N1561" t="str">
        <f>_xlfn.XLOOKUP(Orders[[#This Row],[CustomerID]],Customers[CustomerID],Customers[CustomerName])</f>
        <v>Ibrahim Bello</v>
      </c>
      <c r="O1561" t="str">
        <f>_xlfn.XLOOKUP(Orders[[#This Row],[CustomerID]],Customers[CustomerID],Customers[City])</f>
        <v>Washington</v>
      </c>
      <c r="P1561" t="str">
        <f>_xlfn.XLOOKUP(Orders[[#This Row],[CustomerID]],Customers[CustomerID],Customers[Gender])</f>
        <v>Male</v>
      </c>
      <c r="Q1561">
        <f>_xlfn.XLOOKUP(Orders[[#This Row],[CustomerID]],Customers[CustomerID],Customers[CustomerAge])</f>
        <v>40</v>
      </c>
      <c r="R1561" t="str">
        <f>IF(Orders[[#This Row],[CustomerAge]]&gt;=35, "Older", "Young")</f>
        <v>Older</v>
      </c>
      <c r="S1561" t="str">
        <f>_xlfn.XLOOKUP(Orders[[#This Row],[ProductID]],Products[ProductID],Products[ProductName])</f>
        <v>Gold Rings</v>
      </c>
      <c r="T1561" t="str">
        <f>_xlfn.XLOOKUP(Orders[[#This Row],[ProductID]],Products[ProductID],Products[Category])</f>
        <v>Accessories</v>
      </c>
    </row>
    <row r="1562" spans="1:20" x14ac:dyDescent="0.25">
      <c r="A1562" s="4" t="s">
        <v>1751</v>
      </c>
      <c r="B1562" s="5">
        <v>46010</v>
      </c>
      <c r="C1562" s="15">
        <f>WEEKNUM(Orders[[#This Row],[OrderDate]])</f>
        <v>51</v>
      </c>
      <c r="D1562" s="15" t="str">
        <f>TEXT(Orders[[#This Row],[OrderDate]],"mmmm")</f>
        <v>December</v>
      </c>
      <c r="E1562" s="4" t="s">
        <v>223</v>
      </c>
      <c r="F1562" s="4" t="s">
        <v>28</v>
      </c>
      <c r="G1562" s="4">
        <v>8</v>
      </c>
      <c r="H1562" s="12">
        <v>2147.6</v>
      </c>
      <c r="I1562" s="13">
        <v>1825.46</v>
      </c>
      <c r="J1562" s="13">
        <f>Orders[[#This Row],[Quantity]]*Orders[[#This Row],[Selling Price]]</f>
        <v>17180.8</v>
      </c>
      <c r="K1562" s="13">
        <f>Orders[[#This Row],[Quantity]]*Orders[[#This Row],[Cost Price]]</f>
        <v>14603.68</v>
      </c>
      <c r="L1562" s="13">
        <f>Orders[[#This Row],[Revenue]]-Orders[[#This Row],[Expenses]]</f>
        <v>2577.119999999999</v>
      </c>
      <c r="M1562" t="s">
        <v>2205</v>
      </c>
      <c r="N1562" t="str">
        <f>_xlfn.XLOOKUP(Orders[[#This Row],[CustomerID]],Customers[CustomerID],Customers[CustomerName])</f>
        <v>Blessing Danladi</v>
      </c>
      <c r="O1562" t="str">
        <f>_xlfn.XLOOKUP(Orders[[#This Row],[CustomerID]],Customers[CustomerID],Customers[City])</f>
        <v>Washington</v>
      </c>
      <c r="P1562" t="str">
        <f>_xlfn.XLOOKUP(Orders[[#This Row],[CustomerID]],Customers[CustomerID],Customers[Gender])</f>
        <v>Female</v>
      </c>
      <c r="Q1562">
        <f>_xlfn.XLOOKUP(Orders[[#This Row],[CustomerID]],Customers[CustomerID],Customers[CustomerAge])</f>
        <v>20</v>
      </c>
      <c r="R1562" t="str">
        <f>IF(Orders[[#This Row],[CustomerAge]]&gt;=35, "Older", "Young")</f>
        <v>Young</v>
      </c>
      <c r="S1562" t="str">
        <f>_xlfn.XLOOKUP(Orders[[#This Row],[ProductID]],Products[ProductID],Products[ProductName])</f>
        <v>Sneakers</v>
      </c>
      <c r="T1562" t="str">
        <f>_xlfn.XLOOKUP(Orders[[#This Row],[ProductID]],Products[ProductID],Products[Category])</f>
        <v>Sports</v>
      </c>
    </row>
    <row r="1563" spans="1:20" x14ac:dyDescent="0.25">
      <c r="A1563" s="4" t="s">
        <v>1752</v>
      </c>
      <c r="B1563" s="5">
        <v>45996</v>
      </c>
      <c r="C1563" s="15">
        <f>WEEKNUM(Orders[[#This Row],[OrderDate]])</f>
        <v>49</v>
      </c>
      <c r="D1563" s="15" t="str">
        <f>TEXT(Orders[[#This Row],[OrderDate]],"mmmm")</f>
        <v>December</v>
      </c>
      <c r="E1563" s="4" t="s">
        <v>182</v>
      </c>
      <c r="F1563" s="4" t="s">
        <v>20</v>
      </c>
      <c r="G1563" s="4">
        <v>8</v>
      </c>
      <c r="H1563" s="12">
        <v>9266.6999999999989</v>
      </c>
      <c r="I1563" s="13">
        <v>7876.6949999999988</v>
      </c>
      <c r="J1563" s="13">
        <f>Orders[[#This Row],[Quantity]]*Orders[[#This Row],[Selling Price]]</f>
        <v>74133.599999999991</v>
      </c>
      <c r="K1563" s="13">
        <f>Orders[[#This Row],[Quantity]]*Orders[[#This Row],[Cost Price]]</f>
        <v>63013.55999999999</v>
      </c>
      <c r="L1563" s="13">
        <f>Orders[[#This Row],[Revenue]]-Orders[[#This Row],[Expenses]]</f>
        <v>11120.04</v>
      </c>
      <c r="M1563" t="s">
        <v>2194</v>
      </c>
      <c r="N1563" t="str">
        <f>_xlfn.XLOOKUP(Orders[[#This Row],[CustomerID]],Customers[CustomerID],Customers[CustomerName])</f>
        <v>Abiola Okonkwo</v>
      </c>
      <c r="O1563" t="str">
        <f>_xlfn.XLOOKUP(Orders[[#This Row],[CustomerID]],Customers[CustomerID],Customers[City])</f>
        <v>Georgia</v>
      </c>
      <c r="P1563" t="str">
        <f>_xlfn.XLOOKUP(Orders[[#This Row],[CustomerID]],Customers[CustomerID],Customers[Gender])</f>
        <v>Male</v>
      </c>
      <c r="Q1563">
        <f>_xlfn.XLOOKUP(Orders[[#This Row],[CustomerID]],Customers[CustomerID],Customers[CustomerAge])</f>
        <v>39</v>
      </c>
      <c r="R1563" t="str">
        <f>IF(Orders[[#This Row],[CustomerAge]]&gt;=35, "Older", "Young")</f>
        <v>Older</v>
      </c>
      <c r="S1563" t="str">
        <f>_xlfn.XLOOKUP(Orders[[#This Row],[ProductID]],Products[ProductID],Products[ProductName])</f>
        <v>Gym Bag</v>
      </c>
      <c r="T1563" t="str">
        <f>_xlfn.XLOOKUP(Orders[[#This Row],[ProductID]],Products[ProductID],Products[Category])</f>
        <v>Gym</v>
      </c>
    </row>
    <row r="1564" spans="1:20" x14ac:dyDescent="0.25">
      <c r="A1564" s="4" t="s">
        <v>1753</v>
      </c>
      <c r="B1564" s="5">
        <v>45961</v>
      </c>
      <c r="C1564" s="15">
        <f>WEEKNUM(Orders[[#This Row],[OrderDate]])</f>
        <v>44</v>
      </c>
      <c r="D1564" s="15" t="str">
        <f>TEXT(Orders[[#This Row],[OrderDate]],"mmmm")</f>
        <v>October</v>
      </c>
      <c r="E1564" s="4" t="s">
        <v>73</v>
      </c>
      <c r="F1564" s="4" t="s">
        <v>127</v>
      </c>
      <c r="G1564" s="4">
        <v>1</v>
      </c>
      <c r="H1564" s="12">
        <v>9993</v>
      </c>
      <c r="I1564" s="13">
        <v>8494.0499999999993</v>
      </c>
      <c r="J1564" s="13">
        <f>Orders[[#This Row],[Quantity]]*Orders[[#This Row],[Selling Price]]</f>
        <v>9993</v>
      </c>
      <c r="K1564" s="13">
        <f>Orders[[#This Row],[Quantity]]*Orders[[#This Row],[Cost Price]]</f>
        <v>8494.0499999999993</v>
      </c>
      <c r="L1564" s="13">
        <f>Orders[[#This Row],[Revenue]]-Orders[[#This Row],[Expenses]]</f>
        <v>1498.9500000000007</v>
      </c>
      <c r="M1564" t="s">
        <v>2202</v>
      </c>
      <c r="N1564" t="str">
        <f>_xlfn.XLOOKUP(Orders[[#This Row],[CustomerID]],Customers[CustomerID],Customers[CustomerName])</f>
        <v>Ronke Okonkwo</v>
      </c>
      <c r="O1564" t="str">
        <f>_xlfn.XLOOKUP(Orders[[#This Row],[CustomerID]],Customers[CustomerID],Customers[City])</f>
        <v>California</v>
      </c>
      <c r="P1564" t="str">
        <f>_xlfn.XLOOKUP(Orders[[#This Row],[CustomerID]],Customers[CustomerID],Customers[Gender])</f>
        <v>Female</v>
      </c>
      <c r="Q1564">
        <f>_xlfn.XLOOKUP(Orders[[#This Row],[CustomerID]],Customers[CustomerID],Customers[CustomerAge])</f>
        <v>20</v>
      </c>
      <c r="R1564" t="str">
        <f>IF(Orders[[#This Row],[CustomerAge]]&gt;=35, "Older", "Young")</f>
        <v>Young</v>
      </c>
      <c r="S1564" t="str">
        <f>_xlfn.XLOOKUP(Orders[[#This Row],[ProductID]],Products[ProductID],Products[ProductName])</f>
        <v>Tops</v>
      </c>
      <c r="T1564" t="str">
        <f>_xlfn.XLOOKUP(Orders[[#This Row],[ProductID]],Products[ProductID],Products[Category])</f>
        <v>Clothing</v>
      </c>
    </row>
    <row r="1565" spans="1:20" x14ac:dyDescent="0.25">
      <c r="A1565" s="4" t="s">
        <v>1754</v>
      </c>
      <c r="B1565" s="5">
        <v>45982</v>
      </c>
      <c r="C1565" s="15">
        <f>WEEKNUM(Orders[[#This Row],[OrderDate]])</f>
        <v>47</v>
      </c>
      <c r="D1565" s="15" t="str">
        <f>TEXT(Orders[[#This Row],[OrderDate]],"mmmm")</f>
        <v>November</v>
      </c>
      <c r="E1565" s="4" t="s">
        <v>517</v>
      </c>
      <c r="F1565" s="4" t="s">
        <v>12</v>
      </c>
      <c r="G1565" s="4">
        <v>6</v>
      </c>
      <c r="H1565" s="12">
        <v>7331</v>
      </c>
      <c r="I1565" s="13">
        <v>6231.35</v>
      </c>
      <c r="J1565" s="13">
        <f>Orders[[#This Row],[Quantity]]*Orders[[#This Row],[Selling Price]]</f>
        <v>43986</v>
      </c>
      <c r="K1565" s="13">
        <f>Orders[[#This Row],[Quantity]]*Orders[[#This Row],[Cost Price]]</f>
        <v>37388.100000000006</v>
      </c>
      <c r="L1565" s="13">
        <f>Orders[[#This Row],[Revenue]]-Orders[[#This Row],[Expenses]]</f>
        <v>6597.8999999999942</v>
      </c>
      <c r="M1565" t="s">
        <v>2195</v>
      </c>
      <c r="N1565" t="str">
        <f>_xlfn.XLOOKUP(Orders[[#This Row],[CustomerID]],Customers[CustomerID],Customers[CustomerName])</f>
        <v>Efe Adeyemi</v>
      </c>
      <c r="O1565" t="str">
        <f>_xlfn.XLOOKUP(Orders[[#This Row],[CustomerID]],Customers[CustomerID],Customers[City])</f>
        <v>Florida</v>
      </c>
      <c r="P1565" t="str">
        <f>_xlfn.XLOOKUP(Orders[[#This Row],[CustomerID]],Customers[CustomerID],Customers[Gender])</f>
        <v>Female</v>
      </c>
      <c r="Q1565">
        <f>_xlfn.XLOOKUP(Orders[[#This Row],[CustomerID]],Customers[CustomerID],Customers[CustomerAge])</f>
        <v>25</v>
      </c>
      <c r="R1565" t="str">
        <f>IF(Orders[[#This Row],[CustomerAge]]&gt;=35, "Older", "Young")</f>
        <v>Young</v>
      </c>
      <c r="S1565" t="str">
        <f>_xlfn.XLOOKUP(Orders[[#This Row],[ProductID]],Products[ProductID],Products[ProductName])</f>
        <v>Boubou</v>
      </c>
      <c r="T1565" t="str">
        <f>_xlfn.XLOOKUP(Orders[[#This Row],[ProductID]],Products[ProductID],Products[Category])</f>
        <v>Clothing</v>
      </c>
    </row>
    <row r="1566" spans="1:20" x14ac:dyDescent="0.25">
      <c r="A1566" s="4" t="s">
        <v>1755</v>
      </c>
      <c r="B1566" s="5">
        <v>45939</v>
      </c>
      <c r="C1566" s="15">
        <f>WEEKNUM(Orders[[#This Row],[OrderDate]])</f>
        <v>41</v>
      </c>
      <c r="D1566" s="15" t="str">
        <f>TEXT(Orders[[#This Row],[OrderDate]],"mmmm")</f>
        <v>October</v>
      </c>
      <c r="E1566" s="4" t="s">
        <v>324</v>
      </c>
      <c r="F1566" s="4" t="s">
        <v>157</v>
      </c>
      <c r="G1566" s="4">
        <v>3</v>
      </c>
      <c r="H1566" s="12">
        <v>18032.8</v>
      </c>
      <c r="I1566" s="13">
        <v>15327.88</v>
      </c>
      <c r="J1566" s="13">
        <f>Orders[[#This Row],[Quantity]]*Orders[[#This Row],[Selling Price]]</f>
        <v>54098.399999999994</v>
      </c>
      <c r="K1566" s="13">
        <f>Orders[[#This Row],[Quantity]]*Orders[[#This Row],[Cost Price]]</f>
        <v>45983.64</v>
      </c>
      <c r="L1566" s="13">
        <f>Orders[[#This Row],[Revenue]]-Orders[[#This Row],[Expenses]]</f>
        <v>8114.7599999999948</v>
      </c>
      <c r="M1566" t="s">
        <v>2198</v>
      </c>
      <c r="N1566" t="str">
        <f>_xlfn.XLOOKUP(Orders[[#This Row],[CustomerID]],Customers[CustomerID],Customers[CustomerName])</f>
        <v>Tunde Okonkwo</v>
      </c>
      <c r="O1566" t="str">
        <f>_xlfn.XLOOKUP(Orders[[#This Row],[CustomerID]],Customers[CustomerID],Customers[City])</f>
        <v>Texas</v>
      </c>
      <c r="P1566" t="str">
        <f>_xlfn.XLOOKUP(Orders[[#This Row],[CustomerID]],Customers[CustomerID],Customers[Gender])</f>
        <v>Male</v>
      </c>
      <c r="Q1566">
        <f>_xlfn.XLOOKUP(Orders[[#This Row],[CustomerID]],Customers[CustomerID],Customers[CustomerAge])</f>
        <v>25</v>
      </c>
      <c r="R1566" t="str">
        <f>IF(Orders[[#This Row],[CustomerAge]]&gt;=35, "Older", "Young")</f>
        <v>Young</v>
      </c>
      <c r="S1566" t="str">
        <f>_xlfn.XLOOKUP(Orders[[#This Row],[ProductID]],Products[ProductID],Products[ProductName])</f>
        <v>Football</v>
      </c>
      <c r="T1566" t="str">
        <f>_xlfn.XLOOKUP(Orders[[#This Row],[ProductID]],Products[ProductID],Products[Category])</f>
        <v>Sports</v>
      </c>
    </row>
    <row r="1567" spans="1:20" x14ac:dyDescent="0.25">
      <c r="A1567" s="4" t="s">
        <v>1756</v>
      </c>
      <c r="B1567" s="5">
        <v>45973</v>
      </c>
      <c r="C1567" s="15">
        <f>WEEKNUM(Orders[[#This Row],[OrderDate]])</f>
        <v>46</v>
      </c>
      <c r="D1567" s="15" t="str">
        <f>TEXT(Orders[[#This Row],[OrderDate]],"mmmm")</f>
        <v>November</v>
      </c>
      <c r="E1567" s="4" t="s">
        <v>140</v>
      </c>
      <c r="F1567" s="4" t="s">
        <v>15</v>
      </c>
      <c r="G1567" s="4">
        <v>6</v>
      </c>
      <c r="H1567" s="12">
        <v>11642.4</v>
      </c>
      <c r="I1567" s="13">
        <v>9896.0399999999991</v>
      </c>
      <c r="J1567" s="13">
        <f>Orders[[#This Row],[Quantity]]*Orders[[#This Row],[Selling Price]]</f>
        <v>69854.399999999994</v>
      </c>
      <c r="K1567" s="13">
        <f>Orders[[#This Row],[Quantity]]*Orders[[#This Row],[Cost Price]]</f>
        <v>59376.239999999991</v>
      </c>
      <c r="L1567" s="13">
        <f>Orders[[#This Row],[Revenue]]-Orders[[#This Row],[Expenses]]</f>
        <v>10478.160000000003</v>
      </c>
      <c r="M1567" t="s">
        <v>2216</v>
      </c>
      <c r="N1567" t="str">
        <f>_xlfn.XLOOKUP(Orders[[#This Row],[CustomerID]],Customers[CustomerID],Customers[CustomerName])</f>
        <v>Tunde Igwe</v>
      </c>
      <c r="O1567" t="str">
        <f>_xlfn.XLOOKUP(Orders[[#This Row],[CustomerID]],Customers[CustomerID],Customers[City])</f>
        <v>Washington</v>
      </c>
      <c r="P1567" t="str">
        <f>_xlfn.XLOOKUP(Orders[[#This Row],[CustomerID]],Customers[CustomerID],Customers[Gender])</f>
        <v>Male</v>
      </c>
      <c r="Q1567">
        <f>_xlfn.XLOOKUP(Orders[[#This Row],[CustomerID]],Customers[CustomerID],Customers[CustomerAge])</f>
        <v>20</v>
      </c>
      <c r="R1567" t="str">
        <f>IF(Orders[[#This Row],[CustomerAge]]&gt;=35, "Older", "Young")</f>
        <v>Young</v>
      </c>
      <c r="S1567" t="str">
        <f>_xlfn.XLOOKUP(Orders[[#This Row],[ProductID]],Products[ProductID],Products[ProductName])</f>
        <v>Monopoly</v>
      </c>
      <c r="T1567" t="str">
        <f>_xlfn.XLOOKUP(Orders[[#This Row],[ProductID]],Products[ProductID],Products[Category])</f>
        <v>Games</v>
      </c>
    </row>
    <row r="1568" spans="1:20" x14ac:dyDescent="0.25">
      <c r="A1568" s="4" t="s">
        <v>1757</v>
      </c>
      <c r="B1568" s="5">
        <v>45979</v>
      </c>
      <c r="C1568" s="15">
        <f>WEEKNUM(Orders[[#This Row],[OrderDate]])</f>
        <v>47</v>
      </c>
      <c r="D1568" s="15" t="str">
        <f>TEXT(Orders[[#This Row],[OrderDate]],"mmmm")</f>
        <v>November</v>
      </c>
      <c r="E1568" s="4" t="s">
        <v>50</v>
      </c>
      <c r="F1568" s="4" t="s">
        <v>208</v>
      </c>
      <c r="G1568" s="4">
        <v>8</v>
      </c>
      <c r="H1568" s="12">
        <v>14781.900000000001</v>
      </c>
      <c r="I1568" s="13">
        <v>12564.615000000002</v>
      </c>
      <c r="J1568" s="13">
        <f>Orders[[#This Row],[Quantity]]*Orders[[#This Row],[Selling Price]]</f>
        <v>118255.20000000001</v>
      </c>
      <c r="K1568" s="13">
        <f>Orders[[#This Row],[Quantity]]*Orders[[#This Row],[Cost Price]]</f>
        <v>100516.92000000001</v>
      </c>
      <c r="L1568" s="13">
        <f>Orders[[#This Row],[Revenue]]-Orders[[#This Row],[Expenses]]</f>
        <v>17738.28</v>
      </c>
      <c r="M1568" t="s">
        <v>2212</v>
      </c>
      <c r="N1568" t="str">
        <f>_xlfn.XLOOKUP(Orders[[#This Row],[CustomerID]],Customers[CustomerID],Customers[CustomerName])</f>
        <v>Funke Danladi</v>
      </c>
      <c r="O1568" t="str">
        <f>_xlfn.XLOOKUP(Orders[[#This Row],[CustomerID]],Customers[CustomerID],Customers[City])</f>
        <v>California</v>
      </c>
      <c r="P1568" t="str">
        <f>_xlfn.XLOOKUP(Orders[[#This Row],[CustomerID]],Customers[CustomerID],Customers[Gender])</f>
        <v>Female</v>
      </c>
      <c r="Q1568">
        <f>_xlfn.XLOOKUP(Orders[[#This Row],[CustomerID]],Customers[CustomerID],Customers[CustomerAge])</f>
        <v>31</v>
      </c>
      <c r="R1568" t="str">
        <f>IF(Orders[[#This Row],[CustomerAge]]&gt;=35, "Older", "Young")</f>
        <v>Young</v>
      </c>
      <c r="S1568" t="str">
        <f>_xlfn.XLOOKUP(Orders[[#This Row],[ProductID]],Products[ProductID],Products[ProductName])</f>
        <v>Skipping Rope</v>
      </c>
      <c r="T1568" t="str">
        <f>_xlfn.XLOOKUP(Orders[[#This Row],[ProductID]],Products[ProductID],Products[Category])</f>
        <v>Sports</v>
      </c>
    </row>
    <row r="1569" spans="1:20" x14ac:dyDescent="0.25">
      <c r="A1569" s="4" t="s">
        <v>1758</v>
      </c>
      <c r="B1569" s="5">
        <v>45968</v>
      </c>
      <c r="C1569" s="15">
        <f>WEEKNUM(Orders[[#This Row],[OrderDate]])</f>
        <v>45</v>
      </c>
      <c r="D1569" s="15" t="str">
        <f>TEXT(Orders[[#This Row],[OrderDate]],"mmmm")</f>
        <v>November</v>
      </c>
      <c r="E1569" s="4" t="s">
        <v>94</v>
      </c>
      <c r="F1569" s="4" t="s">
        <v>151</v>
      </c>
      <c r="G1569" s="4">
        <v>6</v>
      </c>
      <c r="H1569" s="12">
        <v>9316.5</v>
      </c>
      <c r="I1569" s="13">
        <v>7919.0249999999996</v>
      </c>
      <c r="J1569" s="13">
        <f>Orders[[#This Row],[Quantity]]*Orders[[#This Row],[Selling Price]]</f>
        <v>55899</v>
      </c>
      <c r="K1569" s="13">
        <f>Orders[[#This Row],[Quantity]]*Orders[[#This Row],[Cost Price]]</f>
        <v>47514.149999999994</v>
      </c>
      <c r="L1569" s="13">
        <f>Orders[[#This Row],[Revenue]]-Orders[[#This Row],[Expenses]]</f>
        <v>8384.8500000000058</v>
      </c>
      <c r="M1569" t="s">
        <v>2199</v>
      </c>
      <c r="N1569" t="str">
        <f>_xlfn.XLOOKUP(Orders[[#This Row],[CustomerID]],Customers[CustomerID],Customers[CustomerName])</f>
        <v>Uche Abubakar</v>
      </c>
      <c r="O1569" t="str">
        <f>_xlfn.XLOOKUP(Orders[[#This Row],[CustomerID]],Customers[CustomerID],Customers[City])</f>
        <v>Texas</v>
      </c>
      <c r="P1569" t="str">
        <f>_xlfn.XLOOKUP(Orders[[#This Row],[CustomerID]],Customers[CustomerID],Customers[Gender])</f>
        <v>Male</v>
      </c>
      <c r="Q1569">
        <f>_xlfn.XLOOKUP(Orders[[#This Row],[CustomerID]],Customers[CustomerID],Customers[CustomerAge])</f>
        <v>26</v>
      </c>
      <c r="R1569" t="str">
        <f>IF(Orders[[#This Row],[CustomerAge]]&gt;=35, "Older", "Young")</f>
        <v>Young</v>
      </c>
      <c r="S1569" t="str">
        <f>_xlfn.XLOOKUP(Orders[[#This Row],[ProductID]],Products[ProductID],Products[ProductName])</f>
        <v>Checkers</v>
      </c>
      <c r="T1569" t="str">
        <f>_xlfn.XLOOKUP(Orders[[#This Row],[ProductID]],Products[ProductID],Products[Category])</f>
        <v>Games</v>
      </c>
    </row>
    <row r="1570" spans="1:20" x14ac:dyDescent="0.25">
      <c r="A1570" s="4" t="s">
        <v>1759</v>
      </c>
      <c r="B1570" s="5">
        <v>45946</v>
      </c>
      <c r="C1570" s="15">
        <f>WEEKNUM(Orders[[#This Row],[OrderDate]])</f>
        <v>42</v>
      </c>
      <c r="D1570" s="15" t="str">
        <f>TEXT(Orders[[#This Row],[OrderDate]],"mmmm")</f>
        <v>October</v>
      </c>
      <c r="E1570" s="4" t="s">
        <v>517</v>
      </c>
      <c r="F1570" s="4" t="s">
        <v>66</v>
      </c>
      <c r="G1570" s="4">
        <v>5</v>
      </c>
      <c r="H1570" s="12">
        <v>15792.2</v>
      </c>
      <c r="I1570" s="13">
        <v>13423.37</v>
      </c>
      <c r="J1570" s="13">
        <f>Orders[[#This Row],[Quantity]]*Orders[[#This Row],[Selling Price]]</f>
        <v>78961</v>
      </c>
      <c r="K1570" s="13">
        <f>Orders[[#This Row],[Quantity]]*Orders[[#This Row],[Cost Price]]</f>
        <v>67116.850000000006</v>
      </c>
      <c r="L1570" s="13">
        <f>Orders[[#This Row],[Revenue]]-Orders[[#This Row],[Expenses]]</f>
        <v>11844.149999999994</v>
      </c>
      <c r="M1570" t="s">
        <v>2219</v>
      </c>
      <c r="N1570" t="str">
        <f>_xlfn.XLOOKUP(Orders[[#This Row],[CustomerID]],Customers[CustomerID],Customers[CustomerName])</f>
        <v>Efe Adeyemi</v>
      </c>
      <c r="O1570" t="str">
        <f>_xlfn.XLOOKUP(Orders[[#This Row],[CustomerID]],Customers[CustomerID],Customers[City])</f>
        <v>Florida</v>
      </c>
      <c r="P1570" t="str">
        <f>_xlfn.XLOOKUP(Orders[[#This Row],[CustomerID]],Customers[CustomerID],Customers[Gender])</f>
        <v>Female</v>
      </c>
      <c r="Q1570">
        <f>_xlfn.XLOOKUP(Orders[[#This Row],[CustomerID]],Customers[CustomerID],Customers[CustomerAge])</f>
        <v>25</v>
      </c>
      <c r="R1570" t="str">
        <f>IF(Orders[[#This Row],[CustomerAge]]&gt;=35, "Older", "Young")</f>
        <v>Young</v>
      </c>
      <c r="S1570" t="str">
        <f>_xlfn.XLOOKUP(Orders[[#This Row],[ProductID]],Products[ProductID],Products[ProductName])</f>
        <v>Microwave</v>
      </c>
      <c r="T1570" t="str">
        <f>_xlfn.XLOOKUP(Orders[[#This Row],[ProductID]],Products[ProductID],Products[Category])</f>
        <v>Electronics</v>
      </c>
    </row>
    <row r="1571" spans="1:20" x14ac:dyDescent="0.25">
      <c r="A1571" s="4" t="s">
        <v>1760</v>
      </c>
      <c r="B1571" s="5">
        <v>45939</v>
      </c>
      <c r="C1571" s="15">
        <f>WEEKNUM(Orders[[#This Row],[OrderDate]])</f>
        <v>41</v>
      </c>
      <c r="D1571" s="15" t="str">
        <f>TEXT(Orders[[#This Row],[OrderDate]],"mmmm")</f>
        <v>October</v>
      </c>
      <c r="E1571" s="4" t="s">
        <v>280</v>
      </c>
      <c r="F1571" s="4" t="s">
        <v>25</v>
      </c>
      <c r="G1571" s="4">
        <v>2</v>
      </c>
      <c r="H1571" s="12">
        <v>12018</v>
      </c>
      <c r="I1571" s="13">
        <v>10215.299999999999</v>
      </c>
      <c r="J1571" s="13">
        <f>Orders[[#This Row],[Quantity]]*Orders[[#This Row],[Selling Price]]</f>
        <v>24036</v>
      </c>
      <c r="K1571" s="13">
        <f>Orders[[#This Row],[Quantity]]*Orders[[#This Row],[Cost Price]]</f>
        <v>20430.599999999999</v>
      </c>
      <c r="L1571" s="13">
        <f>Orders[[#This Row],[Revenue]]-Orders[[#This Row],[Expenses]]</f>
        <v>3605.4000000000015</v>
      </c>
      <c r="M1571" t="s">
        <v>2194</v>
      </c>
      <c r="N1571" t="str">
        <f>_xlfn.XLOOKUP(Orders[[#This Row],[CustomerID]],Customers[CustomerID],Customers[CustomerName])</f>
        <v>Folasade Okonkwo</v>
      </c>
      <c r="O1571" t="str">
        <f>_xlfn.XLOOKUP(Orders[[#This Row],[CustomerID]],Customers[CustomerID],Customers[City])</f>
        <v>Texas</v>
      </c>
      <c r="P1571" t="str">
        <f>_xlfn.XLOOKUP(Orders[[#This Row],[CustomerID]],Customers[CustomerID],Customers[Gender])</f>
        <v>Female</v>
      </c>
      <c r="Q1571">
        <f>_xlfn.XLOOKUP(Orders[[#This Row],[CustomerID]],Customers[CustomerID],Customers[CustomerAge])</f>
        <v>21</v>
      </c>
      <c r="R1571" t="str">
        <f>IF(Orders[[#This Row],[CustomerAge]]&gt;=35, "Older", "Young")</f>
        <v>Young</v>
      </c>
      <c r="S1571" t="str">
        <f>_xlfn.XLOOKUP(Orders[[#This Row],[ProductID]],Products[ProductID],Products[ProductName])</f>
        <v>Gold Rings</v>
      </c>
      <c r="T1571" t="str">
        <f>_xlfn.XLOOKUP(Orders[[#This Row],[ProductID]],Products[ProductID],Products[Category])</f>
        <v>Accessories</v>
      </c>
    </row>
    <row r="1572" spans="1:20" x14ac:dyDescent="0.25">
      <c r="A1572" s="4" t="s">
        <v>1761</v>
      </c>
      <c r="B1572" s="5">
        <v>45951</v>
      </c>
      <c r="C1572" s="15">
        <f>WEEKNUM(Orders[[#This Row],[OrderDate]])</f>
        <v>43</v>
      </c>
      <c r="D1572" s="15" t="str">
        <f>TEXT(Orders[[#This Row],[OrderDate]],"mmmm")</f>
        <v>October</v>
      </c>
      <c r="E1572" s="4" t="s">
        <v>154</v>
      </c>
      <c r="F1572" s="4" t="s">
        <v>57</v>
      </c>
      <c r="G1572" s="4">
        <v>6</v>
      </c>
      <c r="H1572" s="12">
        <v>4762.7999999999993</v>
      </c>
      <c r="I1572" s="13">
        <v>4048.3799999999992</v>
      </c>
      <c r="J1572" s="13">
        <f>Orders[[#This Row],[Quantity]]*Orders[[#This Row],[Selling Price]]</f>
        <v>28576.799999999996</v>
      </c>
      <c r="K1572" s="13">
        <f>Orders[[#This Row],[Quantity]]*Orders[[#This Row],[Cost Price]]</f>
        <v>24290.279999999995</v>
      </c>
      <c r="L1572" s="13">
        <f>Orders[[#This Row],[Revenue]]-Orders[[#This Row],[Expenses]]</f>
        <v>4286.5200000000004</v>
      </c>
      <c r="M1572" t="s">
        <v>2193</v>
      </c>
      <c r="N1572" t="str">
        <f>_xlfn.XLOOKUP(Orders[[#This Row],[CustomerID]],Customers[CustomerID],Customers[CustomerName])</f>
        <v>Ronke Danladi</v>
      </c>
      <c r="O1572" t="str">
        <f>_xlfn.XLOOKUP(Orders[[#This Row],[CustomerID]],Customers[CustomerID],Customers[City])</f>
        <v>Illinois</v>
      </c>
      <c r="P1572" t="str">
        <f>_xlfn.XLOOKUP(Orders[[#This Row],[CustomerID]],Customers[CustomerID],Customers[Gender])</f>
        <v>Female</v>
      </c>
      <c r="Q1572">
        <f>_xlfn.XLOOKUP(Orders[[#This Row],[CustomerID]],Customers[CustomerID],Customers[CustomerAge])</f>
        <v>46</v>
      </c>
      <c r="R1572" t="str">
        <f>IF(Orders[[#This Row],[CustomerAge]]&gt;=35, "Older", "Young")</f>
        <v>Older</v>
      </c>
      <c r="S1572" t="str">
        <f>_xlfn.XLOOKUP(Orders[[#This Row],[ProductID]],Products[ProductID],Products[ProductName])</f>
        <v>Badminton Racket</v>
      </c>
      <c r="T1572" t="str">
        <f>_xlfn.XLOOKUP(Orders[[#This Row],[ProductID]],Products[ProductID],Products[Category])</f>
        <v>Sports</v>
      </c>
    </row>
    <row r="1573" spans="1:20" x14ac:dyDescent="0.25">
      <c r="A1573" s="4" t="s">
        <v>1762</v>
      </c>
      <c r="B1573" s="5">
        <v>45978</v>
      </c>
      <c r="C1573" s="15">
        <f>WEEKNUM(Orders[[#This Row],[OrderDate]])</f>
        <v>47</v>
      </c>
      <c r="D1573" s="15" t="str">
        <f>TEXT(Orders[[#This Row],[OrderDate]],"mmmm")</f>
        <v>November</v>
      </c>
      <c r="E1573" s="4" t="s">
        <v>107</v>
      </c>
      <c r="F1573" s="4" t="s">
        <v>53</v>
      </c>
      <c r="G1573" s="4">
        <v>9</v>
      </c>
      <c r="H1573" s="12">
        <v>5066.5</v>
      </c>
      <c r="I1573" s="13">
        <v>4306.5249999999996</v>
      </c>
      <c r="J1573" s="13">
        <f>Orders[[#This Row],[Quantity]]*Orders[[#This Row],[Selling Price]]</f>
        <v>45598.5</v>
      </c>
      <c r="K1573" s="13">
        <f>Orders[[#This Row],[Quantity]]*Orders[[#This Row],[Cost Price]]</f>
        <v>38758.724999999999</v>
      </c>
      <c r="L1573" s="13">
        <f>Orders[[#This Row],[Revenue]]-Orders[[#This Row],[Expenses]]</f>
        <v>6839.7750000000015</v>
      </c>
      <c r="M1573" t="s">
        <v>2215</v>
      </c>
      <c r="N1573" t="str">
        <f>_xlfn.XLOOKUP(Orders[[#This Row],[CustomerID]],Customers[CustomerID],Customers[CustomerName])</f>
        <v>Blessing Eze</v>
      </c>
      <c r="O1573" t="str">
        <f>_xlfn.XLOOKUP(Orders[[#This Row],[CustomerID]],Customers[CustomerID],Customers[City])</f>
        <v>Texas</v>
      </c>
      <c r="P1573" t="str">
        <f>_xlfn.XLOOKUP(Orders[[#This Row],[CustomerID]],Customers[CustomerID],Customers[Gender])</f>
        <v>Female</v>
      </c>
      <c r="Q1573">
        <f>_xlfn.XLOOKUP(Orders[[#This Row],[CustomerID]],Customers[CustomerID],Customers[CustomerAge])</f>
        <v>44</v>
      </c>
      <c r="R1573" t="str">
        <f>IF(Orders[[#This Row],[CustomerAge]]&gt;=35, "Older", "Young")</f>
        <v>Older</v>
      </c>
      <c r="S1573" t="str">
        <f>_xlfn.XLOOKUP(Orders[[#This Row],[ProductID]],Products[ProductID],Products[ProductName])</f>
        <v>Silver Bangles</v>
      </c>
      <c r="T1573" t="str">
        <f>_xlfn.XLOOKUP(Orders[[#This Row],[ProductID]],Products[ProductID],Products[Category])</f>
        <v>Accessories</v>
      </c>
    </row>
    <row r="1574" spans="1:20" x14ac:dyDescent="0.25">
      <c r="A1574" s="4" t="s">
        <v>1763</v>
      </c>
      <c r="B1574" s="5">
        <v>46018</v>
      </c>
      <c r="C1574" s="15">
        <f>WEEKNUM(Orders[[#This Row],[OrderDate]])</f>
        <v>52</v>
      </c>
      <c r="D1574" s="15" t="str">
        <f>TEXT(Orders[[#This Row],[OrderDate]],"mmmm")</f>
        <v>December</v>
      </c>
      <c r="E1574" s="4" t="s">
        <v>649</v>
      </c>
      <c r="F1574" s="4" t="s">
        <v>53</v>
      </c>
      <c r="G1574" s="4">
        <v>10</v>
      </c>
      <c r="H1574" s="12">
        <v>14947.5</v>
      </c>
      <c r="I1574" s="13">
        <v>12705.375</v>
      </c>
      <c r="J1574" s="13">
        <f>Orders[[#This Row],[Quantity]]*Orders[[#This Row],[Selling Price]]</f>
        <v>149475</v>
      </c>
      <c r="K1574" s="13">
        <f>Orders[[#This Row],[Quantity]]*Orders[[#This Row],[Cost Price]]</f>
        <v>127053.75</v>
      </c>
      <c r="L1574" s="13">
        <f>Orders[[#This Row],[Revenue]]-Orders[[#This Row],[Expenses]]</f>
        <v>22421.25</v>
      </c>
      <c r="M1574" t="s">
        <v>2211</v>
      </c>
      <c r="N1574" t="str">
        <f>_xlfn.XLOOKUP(Orders[[#This Row],[CustomerID]],Customers[CustomerID],Customers[CustomerName])</f>
        <v>Bisi Abubakar</v>
      </c>
      <c r="O1574" t="str">
        <f>_xlfn.XLOOKUP(Orders[[#This Row],[CustomerID]],Customers[CustomerID],Customers[City])</f>
        <v>Washington</v>
      </c>
      <c r="P1574" t="str">
        <f>_xlfn.XLOOKUP(Orders[[#This Row],[CustomerID]],Customers[CustomerID],Customers[Gender])</f>
        <v>Female</v>
      </c>
      <c r="Q1574">
        <f>_xlfn.XLOOKUP(Orders[[#This Row],[CustomerID]],Customers[CustomerID],Customers[CustomerAge])</f>
        <v>35</v>
      </c>
      <c r="R1574" t="str">
        <f>IF(Orders[[#This Row],[CustomerAge]]&gt;=35, "Older", "Young")</f>
        <v>Older</v>
      </c>
      <c r="S1574" t="str">
        <f>_xlfn.XLOOKUP(Orders[[#This Row],[ProductID]],Products[ProductID],Products[ProductName])</f>
        <v>Silver Bangles</v>
      </c>
      <c r="T1574" t="str">
        <f>_xlfn.XLOOKUP(Orders[[#This Row],[ProductID]],Products[ProductID],Products[Category])</f>
        <v>Accessories</v>
      </c>
    </row>
    <row r="1575" spans="1:20" x14ac:dyDescent="0.25">
      <c r="A1575" s="4" t="s">
        <v>1764</v>
      </c>
      <c r="B1575" s="5">
        <v>45958</v>
      </c>
      <c r="C1575" s="15">
        <f>WEEKNUM(Orders[[#This Row],[OrderDate]])</f>
        <v>44</v>
      </c>
      <c r="D1575" s="15" t="str">
        <f>TEXT(Orders[[#This Row],[OrderDate]],"mmmm")</f>
        <v>October</v>
      </c>
      <c r="E1575" s="4" t="s">
        <v>369</v>
      </c>
      <c r="F1575" s="4" t="s">
        <v>168</v>
      </c>
      <c r="G1575" s="4">
        <v>8</v>
      </c>
      <c r="H1575" s="12">
        <v>1352.2</v>
      </c>
      <c r="I1575" s="13">
        <v>1149.3700000000001</v>
      </c>
      <c r="J1575" s="13">
        <f>Orders[[#This Row],[Quantity]]*Orders[[#This Row],[Selling Price]]</f>
        <v>10817.6</v>
      </c>
      <c r="K1575" s="13">
        <f>Orders[[#This Row],[Quantity]]*Orders[[#This Row],[Cost Price]]</f>
        <v>9194.9600000000009</v>
      </c>
      <c r="L1575" s="13">
        <f>Orders[[#This Row],[Revenue]]-Orders[[#This Row],[Expenses]]</f>
        <v>1622.6399999999994</v>
      </c>
      <c r="M1575" t="s">
        <v>2192</v>
      </c>
      <c r="N1575" t="str">
        <f>_xlfn.XLOOKUP(Orders[[#This Row],[CustomerID]],Customers[CustomerID],Customers[CustomerName])</f>
        <v>Ibrahim Bello</v>
      </c>
      <c r="O1575" t="str">
        <f>_xlfn.XLOOKUP(Orders[[#This Row],[CustomerID]],Customers[CustomerID],Customers[City])</f>
        <v>Washington</v>
      </c>
      <c r="P1575" t="str">
        <f>_xlfn.XLOOKUP(Orders[[#This Row],[CustomerID]],Customers[CustomerID],Customers[Gender])</f>
        <v>Male</v>
      </c>
      <c r="Q1575">
        <f>_xlfn.XLOOKUP(Orders[[#This Row],[CustomerID]],Customers[CustomerID],Customers[CustomerAge])</f>
        <v>40</v>
      </c>
      <c r="R1575" t="str">
        <f>IF(Orders[[#This Row],[CustomerAge]]&gt;=35, "Older", "Young")</f>
        <v>Older</v>
      </c>
      <c r="S1575" t="str">
        <f>_xlfn.XLOOKUP(Orders[[#This Row],[ProductID]],Products[ProductID],Products[ProductName])</f>
        <v>Dumb Bells</v>
      </c>
      <c r="T1575" t="str">
        <f>_xlfn.XLOOKUP(Orders[[#This Row],[ProductID]],Products[ProductID],Products[Category])</f>
        <v>Gym</v>
      </c>
    </row>
    <row r="1576" spans="1:20" x14ac:dyDescent="0.25">
      <c r="A1576" s="4" t="s">
        <v>1765</v>
      </c>
      <c r="B1576" s="5">
        <v>46016</v>
      </c>
      <c r="C1576" s="15">
        <f>WEEKNUM(Orders[[#This Row],[OrderDate]])</f>
        <v>52</v>
      </c>
      <c r="D1576" s="15" t="str">
        <f>TEXT(Orders[[#This Row],[OrderDate]],"mmmm")</f>
        <v>December</v>
      </c>
      <c r="E1576" s="4" t="s">
        <v>524</v>
      </c>
      <c r="F1576" s="4" t="s">
        <v>46</v>
      </c>
      <c r="G1576" s="4">
        <v>3</v>
      </c>
      <c r="H1576" s="12">
        <v>5808.8</v>
      </c>
      <c r="I1576" s="13">
        <v>4937.4800000000005</v>
      </c>
      <c r="J1576" s="13">
        <f>Orders[[#This Row],[Quantity]]*Orders[[#This Row],[Selling Price]]</f>
        <v>17426.400000000001</v>
      </c>
      <c r="K1576" s="13">
        <f>Orders[[#This Row],[Quantity]]*Orders[[#This Row],[Cost Price]]</f>
        <v>14812.440000000002</v>
      </c>
      <c r="L1576" s="13">
        <f>Orders[[#This Row],[Revenue]]-Orders[[#This Row],[Expenses]]</f>
        <v>2613.9599999999991</v>
      </c>
      <c r="M1576" t="s">
        <v>2199</v>
      </c>
      <c r="N1576" t="str">
        <f>_xlfn.XLOOKUP(Orders[[#This Row],[CustomerID]],Customers[CustomerID],Customers[CustomerName])</f>
        <v>Chinedu Igwe</v>
      </c>
      <c r="O1576" t="str">
        <f>_xlfn.XLOOKUP(Orders[[#This Row],[CustomerID]],Customers[CustomerID],Customers[City])</f>
        <v>Florida</v>
      </c>
      <c r="P1576" t="str">
        <f>_xlfn.XLOOKUP(Orders[[#This Row],[CustomerID]],Customers[CustomerID],Customers[Gender])</f>
        <v>Male</v>
      </c>
      <c r="Q1576">
        <f>_xlfn.XLOOKUP(Orders[[#This Row],[CustomerID]],Customers[CustomerID],Customers[CustomerAge])</f>
        <v>21</v>
      </c>
      <c r="R1576" t="str">
        <f>IF(Orders[[#This Row],[CustomerAge]]&gt;=35, "Older", "Young")</f>
        <v>Young</v>
      </c>
      <c r="S1576" t="str">
        <f>_xlfn.XLOOKUP(Orders[[#This Row],[ProductID]],Products[ProductID],Products[ProductName])</f>
        <v>Turtle Neck</v>
      </c>
      <c r="T1576" t="str">
        <f>_xlfn.XLOOKUP(Orders[[#This Row],[ProductID]],Products[ProductID],Products[Category])</f>
        <v>Clothing</v>
      </c>
    </row>
    <row r="1577" spans="1:20" x14ac:dyDescent="0.25">
      <c r="A1577" s="4" t="s">
        <v>1766</v>
      </c>
      <c r="B1577" s="5">
        <v>45993</v>
      </c>
      <c r="C1577" s="15">
        <f>WEEKNUM(Orders[[#This Row],[OrderDate]])</f>
        <v>49</v>
      </c>
      <c r="D1577" s="15" t="str">
        <f>TEXT(Orders[[#This Row],[OrderDate]],"mmmm")</f>
        <v>December</v>
      </c>
      <c r="E1577" s="4" t="s">
        <v>110</v>
      </c>
      <c r="F1577" s="4" t="s">
        <v>46</v>
      </c>
      <c r="G1577" s="4">
        <v>10</v>
      </c>
      <c r="H1577" s="12">
        <v>16440.3</v>
      </c>
      <c r="I1577" s="13">
        <v>13974.254999999999</v>
      </c>
      <c r="J1577" s="13">
        <f>Orders[[#This Row],[Quantity]]*Orders[[#This Row],[Selling Price]]</f>
        <v>164403</v>
      </c>
      <c r="K1577" s="13">
        <f>Orders[[#This Row],[Quantity]]*Orders[[#This Row],[Cost Price]]</f>
        <v>139742.54999999999</v>
      </c>
      <c r="L1577" s="13">
        <f>Orders[[#This Row],[Revenue]]-Orders[[#This Row],[Expenses]]</f>
        <v>24660.450000000012</v>
      </c>
      <c r="M1577" t="s">
        <v>2210</v>
      </c>
      <c r="N1577" t="str">
        <f>_xlfn.XLOOKUP(Orders[[#This Row],[CustomerID]],Customers[CustomerID],Customers[CustomerName])</f>
        <v>Ngozi Danladi</v>
      </c>
      <c r="O1577" t="str">
        <f>_xlfn.XLOOKUP(Orders[[#This Row],[CustomerID]],Customers[CustomerID],Customers[City])</f>
        <v>Washington</v>
      </c>
      <c r="P1577" t="str">
        <f>_xlfn.XLOOKUP(Orders[[#This Row],[CustomerID]],Customers[CustomerID],Customers[Gender])</f>
        <v>Female</v>
      </c>
      <c r="Q1577">
        <f>_xlfn.XLOOKUP(Orders[[#This Row],[CustomerID]],Customers[CustomerID],Customers[CustomerAge])</f>
        <v>28</v>
      </c>
      <c r="R1577" t="str">
        <f>IF(Orders[[#This Row],[CustomerAge]]&gt;=35, "Older", "Young")</f>
        <v>Young</v>
      </c>
      <c r="S1577" t="str">
        <f>_xlfn.XLOOKUP(Orders[[#This Row],[ProductID]],Products[ProductID],Products[ProductName])</f>
        <v>Turtle Neck</v>
      </c>
      <c r="T1577" t="str">
        <f>_xlfn.XLOOKUP(Orders[[#This Row],[ProductID]],Products[ProductID],Products[Category])</f>
        <v>Clothing</v>
      </c>
    </row>
    <row r="1578" spans="1:20" x14ac:dyDescent="0.25">
      <c r="A1578" s="4" t="s">
        <v>1767</v>
      </c>
      <c r="B1578" s="5">
        <v>45948</v>
      </c>
      <c r="C1578" s="15">
        <f>WEEKNUM(Orders[[#This Row],[OrderDate]])</f>
        <v>42</v>
      </c>
      <c r="D1578" s="15" t="str">
        <f>TEXT(Orders[[#This Row],[OrderDate]],"mmmm")</f>
        <v>October</v>
      </c>
      <c r="E1578" s="4" t="s">
        <v>14</v>
      </c>
      <c r="F1578" s="4" t="s">
        <v>63</v>
      </c>
      <c r="G1578" s="4">
        <v>1</v>
      </c>
      <c r="H1578" s="12">
        <v>10036.799999999999</v>
      </c>
      <c r="I1578" s="13">
        <v>8531.2799999999988</v>
      </c>
      <c r="J1578" s="13">
        <f>Orders[[#This Row],[Quantity]]*Orders[[#This Row],[Selling Price]]</f>
        <v>10036.799999999999</v>
      </c>
      <c r="K1578" s="13">
        <f>Orders[[#This Row],[Quantity]]*Orders[[#This Row],[Cost Price]]</f>
        <v>8531.2799999999988</v>
      </c>
      <c r="L1578" s="13">
        <f>Orders[[#This Row],[Revenue]]-Orders[[#This Row],[Expenses]]</f>
        <v>1505.5200000000004</v>
      </c>
      <c r="M1578" t="s">
        <v>2194</v>
      </c>
      <c r="N1578" t="str">
        <f>_xlfn.XLOOKUP(Orders[[#This Row],[CustomerID]],Customers[CustomerID],Customers[CustomerName])</f>
        <v>Abiola Igwe</v>
      </c>
      <c r="O1578" t="str">
        <f>_xlfn.XLOOKUP(Orders[[#This Row],[CustomerID]],Customers[CustomerID],Customers[City])</f>
        <v>Texas</v>
      </c>
      <c r="P1578" t="str">
        <f>_xlfn.XLOOKUP(Orders[[#This Row],[CustomerID]],Customers[CustomerID],Customers[Gender])</f>
        <v>Male</v>
      </c>
      <c r="Q1578">
        <f>_xlfn.XLOOKUP(Orders[[#This Row],[CustomerID]],Customers[CustomerID],Customers[CustomerAge])</f>
        <v>39</v>
      </c>
      <c r="R1578" t="str">
        <f>IF(Orders[[#This Row],[CustomerAge]]&gt;=35, "Older", "Young")</f>
        <v>Older</v>
      </c>
      <c r="S1578" t="str">
        <f>_xlfn.XLOOKUP(Orders[[#This Row],[ProductID]],Products[ProductID],Products[ProductName])</f>
        <v>Tennis Bat</v>
      </c>
      <c r="T1578" t="str">
        <f>_xlfn.XLOOKUP(Orders[[#This Row],[ProductID]],Products[ProductID],Products[Category])</f>
        <v>Sports</v>
      </c>
    </row>
    <row r="1579" spans="1:20" x14ac:dyDescent="0.25">
      <c r="A1579" s="4" t="s">
        <v>1768</v>
      </c>
      <c r="B1579" s="5">
        <v>45955</v>
      </c>
      <c r="C1579" s="15">
        <f>WEEKNUM(Orders[[#This Row],[OrderDate]])</f>
        <v>43</v>
      </c>
      <c r="D1579" s="15" t="str">
        <f>TEXT(Orders[[#This Row],[OrderDate]],"mmmm")</f>
        <v>October</v>
      </c>
      <c r="E1579" s="4" t="s">
        <v>258</v>
      </c>
      <c r="F1579" s="4" t="s">
        <v>15</v>
      </c>
      <c r="G1579" s="4">
        <v>3</v>
      </c>
      <c r="H1579" s="12">
        <v>12742.9</v>
      </c>
      <c r="I1579" s="13">
        <v>10831.465</v>
      </c>
      <c r="J1579" s="13">
        <f>Orders[[#This Row],[Quantity]]*Orders[[#This Row],[Selling Price]]</f>
        <v>38228.699999999997</v>
      </c>
      <c r="K1579" s="13">
        <f>Orders[[#This Row],[Quantity]]*Orders[[#This Row],[Cost Price]]</f>
        <v>32494.395</v>
      </c>
      <c r="L1579" s="13">
        <f>Orders[[#This Row],[Revenue]]-Orders[[#This Row],[Expenses]]</f>
        <v>5734.3049999999967</v>
      </c>
      <c r="M1579" t="s">
        <v>2195</v>
      </c>
      <c r="N1579" t="str">
        <f>_xlfn.XLOOKUP(Orders[[#This Row],[CustomerID]],Customers[CustomerID],Customers[CustomerName])</f>
        <v>Sani Abubakar</v>
      </c>
      <c r="O1579" t="str">
        <f>_xlfn.XLOOKUP(Orders[[#This Row],[CustomerID]],Customers[CustomerID],Customers[City])</f>
        <v>Washington</v>
      </c>
      <c r="P1579" t="str">
        <f>_xlfn.XLOOKUP(Orders[[#This Row],[CustomerID]],Customers[CustomerID],Customers[Gender])</f>
        <v>Male</v>
      </c>
      <c r="Q1579">
        <f>_xlfn.XLOOKUP(Orders[[#This Row],[CustomerID]],Customers[CustomerID],Customers[CustomerAge])</f>
        <v>37</v>
      </c>
      <c r="R1579" t="str">
        <f>IF(Orders[[#This Row],[CustomerAge]]&gt;=35, "Older", "Young")</f>
        <v>Older</v>
      </c>
      <c r="S1579" t="str">
        <f>_xlfn.XLOOKUP(Orders[[#This Row],[ProductID]],Products[ProductID],Products[ProductName])</f>
        <v>Monopoly</v>
      </c>
      <c r="T1579" t="str">
        <f>_xlfn.XLOOKUP(Orders[[#This Row],[ProductID]],Products[ProductID],Products[Category])</f>
        <v>Games</v>
      </c>
    </row>
    <row r="1580" spans="1:20" x14ac:dyDescent="0.25">
      <c r="A1580" s="4" t="s">
        <v>1769</v>
      </c>
      <c r="B1580" s="5">
        <v>45967</v>
      </c>
      <c r="C1580" s="15">
        <f>WEEKNUM(Orders[[#This Row],[OrderDate]])</f>
        <v>45</v>
      </c>
      <c r="D1580" s="15" t="str">
        <f>TEXT(Orders[[#This Row],[OrderDate]],"mmmm")</f>
        <v>November</v>
      </c>
      <c r="E1580" s="4" t="s">
        <v>27</v>
      </c>
      <c r="F1580" s="4" t="s">
        <v>76</v>
      </c>
      <c r="G1580" s="4">
        <v>6</v>
      </c>
      <c r="H1580" s="12">
        <v>5172.2000000000007</v>
      </c>
      <c r="I1580" s="13">
        <v>4396.3700000000008</v>
      </c>
      <c r="J1580" s="13">
        <f>Orders[[#This Row],[Quantity]]*Orders[[#This Row],[Selling Price]]</f>
        <v>31033.200000000004</v>
      </c>
      <c r="K1580" s="13">
        <f>Orders[[#This Row],[Quantity]]*Orders[[#This Row],[Cost Price]]</f>
        <v>26378.220000000005</v>
      </c>
      <c r="L1580" s="13">
        <f>Orders[[#This Row],[Revenue]]-Orders[[#This Row],[Expenses]]</f>
        <v>4654.9799999999996</v>
      </c>
      <c r="M1580" t="s">
        <v>2202</v>
      </c>
      <c r="N1580" t="str">
        <f>_xlfn.XLOOKUP(Orders[[#This Row],[CustomerID]],Customers[CustomerID],Customers[CustomerName])</f>
        <v>Okon Ojo</v>
      </c>
      <c r="O1580" t="str">
        <f>_xlfn.XLOOKUP(Orders[[#This Row],[CustomerID]],Customers[CustomerID],Customers[City])</f>
        <v>Illinois</v>
      </c>
      <c r="P1580" t="str">
        <f>_xlfn.XLOOKUP(Orders[[#This Row],[CustomerID]],Customers[CustomerID],Customers[Gender])</f>
        <v>Male</v>
      </c>
      <c r="Q1580">
        <f>_xlfn.XLOOKUP(Orders[[#This Row],[CustomerID]],Customers[CustomerID],Customers[CustomerAge])</f>
        <v>32</v>
      </c>
      <c r="R1580" t="str">
        <f>IF(Orders[[#This Row],[CustomerAge]]&gt;=35, "Older", "Young")</f>
        <v>Young</v>
      </c>
      <c r="S1580" t="str">
        <f>_xlfn.XLOOKUP(Orders[[#This Row],[ProductID]],Products[ProductID],Products[ProductName])</f>
        <v>Blender</v>
      </c>
      <c r="T1580" t="str">
        <f>_xlfn.XLOOKUP(Orders[[#This Row],[ProductID]],Products[ProductID],Products[Category])</f>
        <v>Electronics</v>
      </c>
    </row>
    <row r="1581" spans="1:20" x14ac:dyDescent="0.25">
      <c r="A1581" s="4" t="s">
        <v>1770</v>
      </c>
      <c r="B1581" s="5">
        <v>45953</v>
      </c>
      <c r="C1581" s="15">
        <f>WEEKNUM(Orders[[#This Row],[OrderDate]])</f>
        <v>43</v>
      </c>
      <c r="D1581" s="15" t="str">
        <f>TEXT(Orders[[#This Row],[OrderDate]],"mmmm")</f>
        <v>October</v>
      </c>
      <c r="E1581" s="4" t="s">
        <v>118</v>
      </c>
      <c r="F1581" s="4" t="s">
        <v>168</v>
      </c>
      <c r="G1581" s="4">
        <v>2</v>
      </c>
      <c r="H1581" s="12">
        <v>6154.7000000000007</v>
      </c>
      <c r="I1581" s="13">
        <v>5231.4950000000008</v>
      </c>
      <c r="J1581" s="13">
        <f>Orders[[#This Row],[Quantity]]*Orders[[#This Row],[Selling Price]]</f>
        <v>12309.400000000001</v>
      </c>
      <c r="K1581" s="13">
        <f>Orders[[#This Row],[Quantity]]*Orders[[#This Row],[Cost Price]]</f>
        <v>10462.990000000002</v>
      </c>
      <c r="L1581" s="13">
        <f>Orders[[#This Row],[Revenue]]-Orders[[#This Row],[Expenses]]</f>
        <v>1846.4099999999999</v>
      </c>
      <c r="M1581" t="s">
        <v>2200</v>
      </c>
      <c r="N1581" t="str">
        <f>_xlfn.XLOOKUP(Orders[[#This Row],[CustomerID]],Customers[CustomerID],Customers[CustomerName])</f>
        <v>Ibrahim Balogun</v>
      </c>
      <c r="O1581" t="str">
        <f>_xlfn.XLOOKUP(Orders[[#This Row],[CustomerID]],Customers[CustomerID],Customers[City])</f>
        <v>Georgia</v>
      </c>
      <c r="P1581" t="str">
        <f>_xlfn.XLOOKUP(Orders[[#This Row],[CustomerID]],Customers[CustomerID],Customers[Gender])</f>
        <v>Male</v>
      </c>
      <c r="Q1581">
        <f>_xlfn.XLOOKUP(Orders[[#This Row],[CustomerID]],Customers[CustomerID],Customers[CustomerAge])</f>
        <v>55</v>
      </c>
      <c r="R1581" t="str">
        <f>IF(Orders[[#This Row],[CustomerAge]]&gt;=35, "Older", "Young")</f>
        <v>Older</v>
      </c>
      <c r="S1581" t="str">
        <f>_xlfn.XLOOKUP(Orders[[#This Row],[ProductID]],Products[ProductID],Products[ProductName])</f>
        <v>Dumb Bells</v>
      </c>
      <c r="T1581" t="str">
        <f>_xlfn.XLOOKUP(Orders[[#This Row],[ProductID]],Products[ProductID],Products[Category])</f>
        <v>Gym</v>
      </c>
    </row>
    <row r="1582" spans="1:20" x14ac:dyDescent="0.25">
      <c r="A1582" s="4" t="s">
        <v>1771</v>
      </c>
      <c r="B1582" s="5">
        <v>45992</v>
      </c>
      <c r="C1582" s="15">
        <f>WEEKNUM(Orders[[#This Row],[OrderDate]])</f>
        <v>49</v>
      </c>
      <c r="D1582" s="15" t="str">
        <f>TEXT(Orders[[#This Row],[OrderDate]],"mmmm")</f>
        <v>December</v>
      </c>
      <c r="E1582" s="4" t="s">
        <v>307</v>
      </c>
      <c r="F1582" s="4" t="s">
        <v>37</v>
      </c>
      <c r="G1582" s="4">
        <v>9</v>
      </c>
      <c r="H1582" s="12">
        <v>8995.9</v>
      </c>
      <c r="I1582" s="13">
        <v>7646.5149999999994</v>
      </c>
      <c r="J1582" s="13">
        <f>Orders[[#This Row],[Quantity]]*Orders[[#This Row],[Selling Price]]</f>
        <v>80963.099999999991</v>
      </c>
      <c r="K1582" s="13">
        <f>Orders[[#This Row],[Quantity]]*Orders[[#This Row],[Cost Price]]</f>
        <v>68818.634999999995</v>
      </c>
      <c r="L1582" s="13">
        <f>Orders[[#This Row],[Revenue]]-Orders[[#This Row],[Expenses]]</f>
        <v>12144.464999999997</v>
      </c>
      <c r="M1582" t="s">
        <v>2194</v>
      </c>
      <c r="N1582" t="str">
        <f>_xlfn.XLOOKUP(Orders[[#This Row],[CustomerID]],Customers[CustomerID],Customers[CustomerName])</f>
        <v>Adanma Bello</v>
      </c>
      <c r="O1582" t="str">
        <f>_xlfn.XLOOKUP(Orders[[#This Row],[CustomerID]],Customers[CustomerID],Customers[City])</f>
        <v>Illinois</v>
      </c>
      <c r="P1582" t="str">
        <f>_xlfn.XLOOKUP(Orders[[#This Row],[CustomerID]],Customers[CustomerID],Customers[Gender])</f>
        <v>Female</v>
      </c>
      <c r="Q1582">
        <f>_xlfn.XLOOKUP(Orders[[#This Row],[CustomerID]],Customers[CustomerID],Customers[CustomerAge])</f>
        <v>51</v>
      </c>
      <c r="R1582" t="str">
        <f>IF(Orders[[#This Row],[CustomerAge]]&gt;=35, "Older", "Young")</f>
        <v>Older</v>
      </c>
      <c r="S1582" t="str">
        <f>_xlfn.XLOOKUP(Orders[[#This Row],[ProductID]],Products[ProductID],Products[ProductName])</f>
        <v>Iron</v>
      </c>
      <c r="T1582" t="str">
        <f>_xlfn.XLOOKUP(Orders[[#This Row],[ProductID]],Products[ProductID],Products[Category])</f>
        <v>Electronics</v>
      </c>
    </row>
    <row r="1583" spans="1:20" x14ac:dyDescent="0.25">
      <c r="A1583" s="4" t="s">
        <v>1772</v>
      </c>
      <c r="B1583" s="5">
        <v>46010</v>
      </c>
      <c r="C1583" s="15">
        <f>WEEKNUM(Orders[[#This Row],[OrderDate]])</f>
        <v>51</v>
      </c>
      <c r="D1583" s="15" t="str">
        <f>TEXT(Orders[[#This Row],[OrderDate]],"mmmm")</f>
        <v>December</v>
      </c>
      <c r="E1583" s="4" t="s">
        <v>124</v>
      </c>
      <c r="F1583" s="4" t="s">
        <v>353</v>
      </c>
      <c r="G1583" s="4">
        <v>7</v>
      </c>
      <c r="H1583" s="12">
        <v>17205.5</v>
      </c>
      <c r="I1583" s="13">
        <v>14624.674999999999</v>
      </c>
      <c r="J1583" s="13">
        <f>Orders[[#This Row],[Quantity]]*Orders[[#This Row],[Selling Price]]</f>
        <v>120438.5</v>
      </c>
      <c r="K1583" s="13">
        <f>Orders[[#This Row],[Quantity]]*Orders[[#This Row],[Cost Price]]</f>
        <v>102372.72499999999</v>
      </c>
      <c r="L1583" s="13">
        <f>Orders[[#This Row],[Revenue]]-Orders[[#This Row],[Expenses]]</f>
        <v>18065.775000000009</v>
      </c>
      <c r="M1583" t="s">
        <v>2211</v>
      </c>
      <c r="N1583" t="str">
        <f>_xlfn.XLOOKUP(Orders[[#This Row],[CustomerID]],Customers[CustomerID],Customers[CustomerName])</f>
        <v>Ngozi Ojo</v>
      </c>
      <c r="O1583" t="str">
        <f>_xlfn.XLOOKUP(Orders[[#This Row],[CustomerID]],Customers[CustomerID],Customers[City])</f>
        <v>Texas</v>
      </c>
      <c r="P1583" t="str">
        <f>_xlfn.XLOOKUP(Orders[[#This Row],[CustomerID]],Customers[CustomerID],Customers[Gender])</f>
        <v>Female</v>
      </c>
      <c r="Q1583">
        <f>_xlfn.XLOOKUP(Orders[[#This Row],[CustomerID]],Customers[CustomerID],Customers[CustomerAge])</f>
        <v>22</v>
      </c>
      <c r="R1583" t="str">
        <f>IF(Orders[[#This Row],[CustomerAge]]&gt;=35, "Older", "Young")</f>
        <v>Young</v>
      </c>
      <c r="S1583" t="str">
        <f>_xlfn.XLOOKUP(Orders[[#This Row],[ProductID]],Products[ProductID],Products[ProductName])</f>
        <v>Silver Earrings And Necklaces</v>
      </c>
      <c r="T1583" t="str">
        <f>_xlfn.XLOOKUP(Orders[[#This Row],[ProductID]],Products[ProductID],Products[Category])</f>
        <v>Accessories</v>
      </c>
    </row>
    <row r="1584" spans="1:20" x14ac:dyDescent="0.25">
      <c r="A1584" s="4" t="s">
        <v>1773</v>
      </c>
      <c r="B1584" s="5">
        <v>45976</v>
      </c>
      <c r="C1584" s="15">
        <f>WEEKNUM(Orders[[#This Row],[OrderDate]])</f>
        <v>46</v>
      </c>
      <c r="D1584" s="15" t="str">
        <f>TEXT(Orders[[#This Row],[OrderDate]],"mmmm")</f>
        <v>November</v>
      </c>
      <c r="E1584" s="4" t="s">
        <v>374</v>
      </c>
      <c r="F1584" s="4" t="s">
        <v>63</v>
      </c>
      <c r="G1584" s="4">
        <v>6</v>
      </c>
      <c r="H1584" s="12">
        <v>13966.199999999999</v>
      </c>
      <c r="I1584" s="13">
        <v>11871.269999999999</v>
      </c>
      <c r="J1584" s="13">
        <f>Orders[[#This Row],[Quantity]]*Orders[[#This Row],[Selling Price]]</f>
        <v>83797.2</v>
      </c>
      <c r="K1584" s="13">
        <f>Orders[[#This Row],[Quantity]]*Orders[[#This Row],[Cost Price]]</f>
        <v>71227.62</v>
      </c>
      <c r="L1584" s="13">
        <f>Orders[[#This Row],[Revenue]]-Orders[[#This Row],[Expenses]]</f>
        <v>12569.580000000002</v>
      </c>
      <c r="M1584" t="s">
        <v>2192</v>
      </c>
      <c r="N1584" t="str">
        <f>_xlfn.XLOOKUP(Orders[[#This Row],[CustomerID]],Customers[CustomerID],Customers[CustomerName])</f>
        <v>Uche Okonkwo</v>
      </c>
      <c r="O1584" t="str">
        <f>_xlfn.XLOOKUP(Orders[[#This Row],[CustomerID]],Customers[CustomerID],Customers[City])</f>
        <v>Texas</v>
      </c>
      <c r="P1584" t="str">
        <f>_xlfn.XLOOKUP(Orders[[#This Row],[CustomerID]],Customers[CustomerID],Customers[Gender])</f>
        <v>Male</v>
      </c>
      <c r="Q1584">
        <f>_xlfn.XLOOKUP(Orders[[#This Row],[CustomerID]],Customers[CustomerID],Customers[CustomerAge])</f>
        <v>27</v>
      </c>
      <c r="R1584" t="str">
        <f>IF(Orders[[#This Row],[CustomerAge]]&gt;=35, "Older", "Young")</f>
        <v>Young</v>
      </c>
      <c r="S1584" t="str">
        <f>_xlfn.XLOOKUP(Orders[[#This Row],[ProductID]],Products[ProductID],Products[ProductName])</f>
        <v>Tennis Bat</v>
      </c>
      <c r="T1584" t="str">
        <f>_xlfn.XLOOKUP(Orders[[#This Row],[ProductID]],Products[ProductID],Products[Category])</f>
        <v>Sports</v>
      </c>
    </row>
    <row r="1585" spans="1:20" x14ac:dyDescent="0.25">
      <c r="A1585" s="4" t="s">
        <v>1774</v>
      </c>
      <c r="B1585" s="5">
        <v>45981</v>
      </c>
      <c r="C1585" s="15">
        <f>WEEKNUM(Orders[[#This Row],[OrderDate]])</f>
        <v>47</v>
      </c>
      <c r="D1585" s="15" t="str">
        <f>TEXT(Orders[[#This Row],[OrderDate]],"mmmm")</f>
        <v>November</v>
      </c>
      <c r="E1585" s="4" t="s">
        <v>132</v>
      </c>
      <c r="F1585" s="4" t="s">
        <v>20</v>
      </c>
      <c r="G1585" s="4">
        <v>8</v>
      </c>
      <c r="H1585" s="12">
        <v>4897.7999999999993</v>
      </c>
      <c r="I1585" s="13">
        <v>4163.1299999999992</v>
      </c>
      <c r="J1585" s="13">
        <f>Orders[[#This Row],[Quantity]]*Orders[[#This Row],[Selling Price]]</f>
        <v>39182.399999999994</v>
      </c>
      <c r="K1585" s="13">
        <f>Orders[[#This Row],[Quantity]]*Orders[[#This Row],[Cost Price]]</f>
        <v>33305.039999999994</v>
      </c>
      <c r="L1585" s="13">
        <f>Orders[[#This Row],[Revenue]]-Orders[[#This Row],[Expenses]]</f>
        <v>5877.3600000000006</v>
      </c>
      <c r="M1585" t="s">
        <v>2216</v>
      </c>
      <c r="N1585" t="str">
        <f>_xlfn.XLOOKUP(Orders[[#This Row],[CustomerID]],Customers[CustomerID],Customers[CustomerName])</f>
        <v>Emeka Balogun</v>
      </c>
      <c r="O1585" t="str">
        <f>_xlfn.XLOOKUP(Orders[[#This Row],[CustomerID]],Customers[CustomerID],Customers[City])</f>
        <v>Illinois</v>
      </c>
      <c r="P1585" t="str">
        <f>_xlfn.XLOOKUP(Orders[[#This Row],[CustomerID]],Customers[CustomerID],Customers[Gender])</f>
        <v>Male</v>
      </c>
      <c r="Q1585">
        <f>_xlfn.XLOOKUP(Orders[[#This Row],[CustomerID]],Customers[CustomerID],Customers[CustomerAge])</f>
        <v>36</v>
      </c>
      <c r="R1585" t="str">
        <f>IF(Orders[[#This Row],[CustomerAge]]&gt;=35, "Older", "Young")</f>
        <v>Older</v>
      </c>
      <c r="S1585" t="str">
        <f>_xlfn.XLOOKUP(Orders[[#This Row],[ProductID]],Products[ProductID],Products[ProductName])</f>
        <v>Gym Bag</v>
      </c>
      <c r="T1585" t="str">
        <f>_xlfn.XLOOKUP(Orders[[#This Row],[ProductID]],Products[ProductID],Products[Category])</f>
        <v>Gym</v>
      </c>
    </row>
    <row r="1586" spans="1:20" x14ac:dyDescent="0.25">
      <c r="A1586" s="4" t="s">
        <v>1775</v>
      </c>
      <c r="B1586" s="5">
        <v>45966</v>
      </c>
      <c r="C1586" s="15">
        <f>WEEKNUM(Orders[[#This Row],[OrderDate]])</f>
        <v>45</v>
      </c>
      <c r="D1586" s="15" t="str">
        <f>TEXT(Orders[[#This Row],[OrderDate]],"mmmm")</f>
        <v>November</v>
      </c>
      <c r="E1586" s="4" t="s">
        <v>275</v>
      </c>
      <c r="F1586" s="4" t="s">
        <v>66</v>
      </c>
      <c r="G1586" s="4">
        <v>7</v>
      </c>
      <c r="H1586" s="12">
        <v>16316.400000000001</v>
      </c>
      <c r="I1586" s="13">
        <v>13868.940000000002</v>
      </c>
      <c r="J1586" s="13">
        <f>Orders[[#This Row],[Quantity]]*Orders[[#This Row],[Selling Price]]</f>
        <v>114214.80000000002</v>
      </c>
      <c r="K1586" s="13">
        <f>Orders[[#This Row],[Quantity]]*Orders[[#This Row],[Cost Price]]</f>
        <v>97082.580000000016</v>
      </c>
      <c r="L1586" s="13">
        <f>Orders[[#This Row],[Revenue]]-Orders[[#This Row],[Expenses]]</f>
        <v>17132.22</v>
      </c>
      <c r="M1586" t="s">
        <v>2193</v>
      </c>
      <c r="N1586" t="str">
        <f>_xlfn.XLOOKUP(Orders[[#This Row],[CustomerID]],Customers[CustomerID],Customers[CustomerName])</f>
        <v>Ngozi Danladi</v>
      </c>
      <c r="O1586" t="str">
        <f>_xlfn.XLOOKUP(Orders[[#This Row],[CustomerID]],Customers[CustomerID],Customers[City])</f>
        <v>Texas</v>
      </c>
      <c r="P1586" t="str">
        <f>_xlfn.XLOOKUP(Orders[[#This Row],[CustomerID]],Customers[CustomerID],Customers[Gender])</f>
        <v>Female</v>
      </c>
      <c r="Q1586">
        <f>_xlfn.XLOOKUP(Orders[[#This Row],[CustomerID]],Customers[CustomerID],Customers[CustomerAge])</f>
        <v>25</v>
      </c>
      <c r="R1586" t="str">
        <f>IF(Orders[[#This Row],[CustomerAge]]&gt;=35, "Older", "Young")</f>
        <v>Young</v>
      </c>
      <c r="S1586" t="str">
        <f>_xlfn.XLOOKUP(Orders[[#This Row],[ProductID]],Products[ProductID],Products[ProductName])</f>
        <v>Microwave</v>
      </c>
      <c r="T1586" t="str">
        <f>_xlfn.XLOOKUP(Orders[[#This Row],[ProductID]],Products[ProductID],Products[Category])</f>
        <v>Electronics</v>
      </c>
    </row>
    <row r="1587" spans="1:20" x14ac:dyDescent="0.25">
      <c r="A1587" s="4" t="s">
        <v>1776</v>
      </c>
      <c r="B1587" s="5">
        <v>46014</v>
      </c>
      <c r="C1587" s="15">
        <f>WEEKNUM(Orders[[#This Row],[OrderDate]])</f>
        <v>52</v>
      </c>
      <c r="D1587" s="15" t="str">
        <f>TEXT(Orders[[#This Row],[OrderDate]],"mmmm")</f>
        <v>December</v>
      </c>
      <c r="E1587" s="4" t="s">
        <v>285</v>
      </c>
      <c r="F1587" s="4" t="s">
        <v>151</v>
      </c>
      <c r="G1587" s="4">
        <v>3</v>
      </c>
      <c r="H1587" s="12">
        <v>10472.1</v>
      </c>
      <c r="I1587" s="13">
        <v>8901.2849999999999</v>
      </c>
      <c r="J1587" s="13">
        <f>Orders[[#This Row],[Quantity]]*Orders[[#This Row],[Selling Price]]</f>
        <v>31416.300000000003</v>
      </c>
      <c r="K1587" s="13">
        <f>Orders[[#This Row],[Quantity]]*Orders[[#This Row],[Cost Price]]</f>
        <v>26703.855</v>
      </c>
      <c r="L1587" s="13">
        <f>Orders[[#This Row],[Revenue]]-Orders[[#This Row],[Expenses]]</f>
        <v>4712.4450000000033</v>
      </c>
      <c r="M1587" t="s">
        <v>2220</v>
      </c>
      <c r="N1587" t="str">
        <f>_xlfn.XLOOKUP(Orders[[#This Row],[CustomerID]],Customers[CustomerID],Customers[CustomerName])</f>
        <v>Sani Balogun</v>
      </c>
      <c r="O1587" t="str">
        <f>_xlfn.XLOOKUP(Orders[[#This Row],[CustomerID]],Customers[CustomerID],Customers[City])</f>
        <v>California</v>
      </c>
      <c r="P1587" t="str">
        <f>_xlfn.XLOOKUP(Orders[[#This Row],[CustomerID]],Customers[CustomerID],Customers[Gender])</f>
        <v>Male</v>
      </c>
      <c r="Q1587">
        <f>_xlfn.XLOOKUP(Orders[[#This Row],[CustomerID]],Customers[CustomerID],Customers[CustomerAge])</f>
        <v>27</v>
      </c>
      <c r="R1587" t="str">
        <f>IF(Orders[[#This Row],[CustomerAge]]&gt;=35, "Older", "Young")</f>
        <v>Young</v>
      </c>
      <c r="S1587" t="str">
        <f>_xlfn.XLOOKUP(Orders[[#This Row],[ProductID]],Products[ProductID],Products[ProductName])</f>
        <v>Checkers</v>
      </c>
      <c r="T1587" t="str">
        <f>_xlfn.XLOOKUP(Orders[[#This Row],[ProductID]],Products[ProductID],Products[Category])</f>
        <v>Games</v>
      </c>
    </row>
    <row r="1588" spans="1:20" x14ac:dyDescent="0.25">
      <c r="A1588" s="4" t="s">
        <v>1777</v>
      </c>
      <c r="B1588" s="5">
        <v>45999</v>
      </c>
      <c r="C1588" s="15">
        <f>WEEKNUM(Orders[[#This Row],[OrderDate]])</f>
        <v>50</v>
      </c>
      <c r="D1588" s="15" t="str">
        <f>TEXT(Orders[[#This Row],[OrderDate]],"mmmm")</f>
        <v>December</v>
      </c>
      <c r="E1588" s="4" t="s">
        <v>940</v>
      </c>
      <c r="F1588" s="4" t="s">
        <v>70</v>
      </c>
      <c r="G1588" s="4">
        <v>10</v>
      </c>
      <c r="H1588" s="12">
        <v>13563.699999999999</v>
      </c>
      <c r="I1588" s="13">
        <v>11529.144999999999</v>
      </c>
      <c r="J1588" s="13">
        <f>Orders[[#This Row],[Quantity]]*Orders[[#This Row],[Selling Price]]</f>
        <v>135637</v>
      </c>
      <c r="K1588" s="13">
        <f>Orders[[#This Row],[Quantity]]*Orders[[#This Row],[Cost Price]]</f>
        <v>115291.44999999998</v>
      </c>
      <c r="L1588" s="13">
        <f>Orders[[#This Row],[Revenue]]-Orders[[#This Row],[Expenses]]</f>
        <v>20345.550000000017</v>
      </c>
      <c r="M1588" t="s">
        <v>2217</v>
      </c>
      <c r="N1588" t="str">
        <f>_xlfn.XLOOKUP(Orders[[#This Row],[CustomerID]],Customers[CustomerID],Customers[CustomerName])</f>
        <v>Okon Ojo</v>
      </c>
      <c r="O1588" t="str">
        <f>_xlfn.XLOOKUP(Orders[[#This Row],[CustomerID]],Customers[CustomerID],Customers[City])</f>
        <v>Texas</v>
      </c>
      <c r="P1588" t="str">
        <f>_xlfn.XLOOKUP(Orders[[#This Row],[CustomerID]],Customers[CustomerID],Customers[Gender])</f>
        <v>Male</v>
      </c>
      <c r="Q1588">
        <f>_xlfn.XLOOKUP(Orders[[#This Row],[CustomerID]],Customers[CustomerID],Customers[CustomerAge])</f>
        <v>25</v>
      </c>
      <c r="R1588" t="str">
        <f>IF(Orders[[#This Row],[CustomerAge]]&gt;=35, "Older", "Young")</f>
        <v>Young</v>
      </c>
      <c r="S1588" t="str">
        <f>_xlfn.XLOOKUP(Orders[[#This Row],[ProductID]],Products[ProductID],Products[ProductName])</f>
        <v>Yoga Mat</v>
      </c>
      <c r="T1588" t="str">
        <f>_xlfn.XLOOKUP(Orders[[#This Row],[ProductID]],Products[ProductID],Products[Category])</f>
        <v>Gym</v>
      </c>
    </row>
    <row r="1589" spans="1:20" x14ac:dyDescent="0.25">
      <c r="A1589" s="4" t="s">
        <v>1778</v>
      </c>
      <c r="B1589" s="5">
        <v>45980</v>
      </c>
      <c r="C1589" s="15">
        <f>WEEKNUM(Orders[[#This Row],[OrderDate]])</f>
        <v>47</v>
      </c>
      <c r="D1589" s="15" t="str">
        <f>TEXT(Orders[[#This Row],[OrderDate]],"mmmm")</f>
        <v>November</v>
      </c>
      <c r="E1589" s="4" t="s">
        <v>298</v>
      </c>
      <c r="F1589" s="4" t="s">
        <v>127</v>
      </c>
      <c r="G1589" s="4">
        <v>9</v>
      </c>
      <c r="H1589" s="12">
        <v>7705.2999999999993</v>
      </c>
      <c r="I1589" s="13">
        <v>6549.5049999999992</v>
      </c>
      <c r="J1589" s="13">
        <f>Orders[[#This Row],[Quantity]]*Orders[[#This Row],[Selling Price]]</f>
        <v>69347.7</v>
      </c>
      <c r="K1589" s="13">
        <f>Orders[[#This Row],[Quantity]]*Orders[[#This Row],[Cost Price]]</f>
        <v>58945.544999999991</v>
      </c>
      <c r="L1589" s="13">
        <f>Orders[[#This Row],[Revenue]]-Orders[[#This Row],[Expenses]]</f>
        <v>10402.155000000006</v>
      </c>
      <c r="M1589" t="s">
        <v>2219</v>
      </c>
      <c r="N1589" t="str">
        <f>_xlfn.XLOOKUP(Orders[[#This Row],[CustomerID]],Customers[CustomerID],Customers[CustomerName])</f>
        <v>Amina Obi</v>
      </c>
      <c r="O1589" t="str">
        <f>_xlfn.XLOOKUP(Orders[[#This Row],[CustomerID]],Customers[CustomerID],Customers[City])</f>
        <v>Florida</v>
      </c>
      <c r="P1589" t="str">
        <f>_xlfn.XLOOKUP(Orders[[#This Row],[CustomerID]],Customers[CustomerID],Customers[Gender])</f>
        <v>Female</v>
      </c>
      <c r="Q1589">
        <f>_xlfn.XLOOKUP(Orders[[#This Row],[CustomerID]],Customers[CustomerID],Customers[CustomerAge])</f>
        <v>19</v>
      </c>
      <c r="R1589" t="str">
        <f>IF(Orders[[#This Row],[CustomerAge]]&gt;=35, "Older", "Young")</f>
        <v>Young</v>
      </c>
      <c r="S1589" t="str">
        <f>_xlfn.XLOOKUP(Orders[[#This Row],[ProductID]],Products[ProductID],Products[ProductName])</f>
        <v>Tops</v>
      </c>
      <c r="T1589" t="str">
        <f>_xlfn.XLOOKUP(Orders[[#This Row],[ProductID]],Products[ProductID],Products[Category])</f>
        <v>Clothing</v>
      </c>
    </row>
    <row r="1590" spans="1:20" x14ac:dyDescent="0.25">
      <c r="A1590" s="4" t="s">
        <v>1779</v>
      </c>
      <c r="B1590" s="5">
        <v>45939</v>
      </c>
      <c r="C1590" s="15">
        <f>WEEKNUM(Orders[[#This Row],[OrderDate]])</f>
        <v>41</v>
      </c>
      <c r="D1590" s="15" t="str">
        <f>TEXT(Orders[[#This Row],[OrderDate]],"mmmm")</f>
        <v>October</v>
      </c>
      <c r="E1590" s="4" t="s">
        <v>322</v>
      </c>
      <c r="F1590" s="4" t="s">
        <v>20</v>
      </c>
      <c r="G1590" s="4">
        <v>2</v>
      </c>
      <c r="H1590" s="12">
        <v>6483.0999999999995</v>
      </c>
      <c r="I1590" s="13">
        <v>5510.6349999999993</v>
      </c>
      <c r="J1590" s="13">
        <f>Orders[[#This Row],[Quantity]]*Orders[[#This Row],[Selling Price]]</f>
        <v>12966.199999999999</v>
      </c>
      <c r="K1590" s="13">
        <f>Orders[[#This Row],[Quantity]]*Orders[[#This Row],[Cost Price]]</f>
        <v>11021.269999999999</v>
      </c>
      <c r="L1590" s="13">
        <f>Orders[[#This Row],[Revenue]]-Orders[[#This Row],[Expenses]]</f>
        <v>1944.9300000000003</v>
      </c>
      <c r="M1590" t="s">
        <v>2195</v>
      </c>
      <c r="N1590" t="str">
        <f>_xlfn.XLOOKUP(Orders[[#This Row],[CustomerID]],Customers[CustomerID],Customers[CustomerName])</f>
        <v>Ngozi Bello</v>
      </c>
      <c r="O1590" t="str">
        <f>_xlfn.XLOOKUP(Orders[[#This Row],[CustomerID]],Customers[CustomerID],Customers[City])</f>
        <v>Washington</v>
      </c>
      <c r="P1590" t="str">
        <f>_xlfn.XLOOKUP(Orders[[#This Row],[CustomerID]],Customers[CustomerID],Customers[Gender])</f>
        <v>Female</v>
      </c>
      <c r="Q1590">
        <f>_xlfn.XLOOKUP(Orders[[#This Row],[CustomerID]],Customers[CustomerID],Customers[CustomerAge])</f>
        <v>32</v>
      </c>
      <c r="R1590" t="str">
        <f>IF(Orders[[#This Row],[CustomerAge]]&gt;=35, "Older", "Young")</f>
        <v>Young</v>
      </c>
      <c r="S1590" t="str">
        <f>_xlfn.XLOOKUP(Orders[[#This Row],[ProductID]],Products[ProductID],Products[ProductName])</f>
        <v>Gym Bag</v>
      </c>
      <c r="T1590" t="str">
        <f>_xlfn.XLOOKUP(Orders[[#This Row],[ProductID]],Products[ProductID],Products[Category])</f>
        <v>Gym</v>
      </c>
    </row>
    <row r="1591" spans="1:20" x14ac:dyDescent="0.25">
      <c r="A1591" s="4" t="s">
        <v>1780</v>
      </c>
      <c r="B1591" s="5">
        <v>45932</v>
      </c>
      <c r="C1591" s="15">
        <f>WEEKNUM(Orders[[#This Row],[OrderDate]])</f>
        <v>40</v>
      </c>
      <c r="D1591" s="15" t="str">
        <f>TEXT(Orders[[#This Row],[OrderDate]],"mmmm")</f>
        <v>October</v>
      </c>
      <c r="E1591" s="4" t="s">
        <v>124</v>
      </c>
      <c r="F1591" s="4" t="s">
        <v>151</v>
      </c>
      <c r="G1591" s="4">
        <v>10</v>
      </c>
      <c r="H1591" s="12">
        <v>3540.2</v>
      </c>
      <c r="I1591" s="13">
        <v>3009.17</v>
      </c>
      <c r="J1591" s="13">
        <f>Orders[[#This Row],[Quantity]]*Orders[[#This Row],[Selling Price]]</f>
        <v>35402</v>
      </c>
      <c r="K1591" s="13">
        <f>Orders[[#This Row],[Quantity]]*Orders[[#This Row],[Cost Price]]</f>
        <v>30091.7</v>
      </c>
      <c r="L1591" s="13">
        <f>Orders[[#This Row],[Revenue]]-Orders[[#This Row],[Expenses]]</f>
        <v>5310.2999999999993</v>
      </c>
      <c r="M1591" t="s">
        <v>2219</v>
      </c>
      <c r="N1591" t="str">
        <f>_xlfn.XLOOKUP(Orders[[#This Row],[CustomerID]],Customers[CustomerID],Customers[CustomerName])</f>
        <v>Ngozi Ojo</v>
      </c>
      <c r="O1591" t="str">
        <f>_xlfn.XLOOKUP(Orders[[#This Row],[CustomerID]],Customers[CustomerID],Customers[City])</f>
        <v>Texas</v>
      </c>
      <c r="P1591" t="str">
        <f>_xlfn.XLOOKUP(Orders[[#This Row],[CustomerID]],Customers[CustomerID],Customers[Gender])</f>
        <v>Female</v>
      </c>
      <c r="Q1591">
        <f>_xlfn.XLOOKUP(Orders[[#This Row],[CustomerID]],Customers[CustomerID],Customers[CustomerAge])</f>
        <v>22</v>
      </c>
      <c r="R1591" t="str">
        <f>IF(Orders[[#This Row],[CustomerAge]]&gt;=35, "Older", "Young")</f>
        <v>Young</v>
      </c>
      <c r="S1591" t="str">
        <f>_xlfn.XLOOKUP(Orders[[#This Row],[ProductID]],Products[ProductID],Products[ProductName])</f>
        <v>Checkers</v>
      </c>
      <c r="T1591" t="str">
        <f>_xlfn.XLOOKUP(Orders[[#This Row],[ProductID]],Products[ProductID],Products[Category])</f>
        <v>Games</v>
      </c>
    </row>
    <row r="1592" spans="1:20" x14ac:dyDescent="0.25">
      <c r="A1592" s="4" t="s">
        <v>1781</v>
      </c>
      <c r="B1592" s="5">
        <v>45954</v>
      </c>
      <c r="C1592" s="15">
        <f>WEEKNUM(Orders[[#This Row],[OrderDate]])</f>
        <v>43</v>
      </c>
      <c r="D1592" s="15" t="str">
        <f>TEXT(Orders[[#This Row],[OrderDate]],"mmmm")</f>
        <v>October</v>
      </c>
      <c r="E1592" s="4" t="s">
        <v>311</v>
      </c>
      <c r="F1592" s="4" t="s">
        <v>20</v>
      </c>
      <c r="G1592" s="4">
        <v>6</v>
      </c>
      <c r="H1592" s="12">
        <v>4954.3</v>
      </c>
      <c r="I1592" s="13">
        <v>4211.1550000000007</v>
      </c>
      <c r="J1592" s="13">
        <f>Orders[[#This Row],[Quantity]]*Orders[[#This Row],[Selling Price]]</f>
        <v>29725.800000000003</v>
      </c>
      <c r="K1592" s="13">
        <f>Orders[[#This Row],[Quantity]]*Orders[[#This Row],[Cost Price]]</f>
        <v>25266.930000000004</v>
      </c>
      <c r="L1592" s="13">
        <f>Orders[[#This Row],[Revenue]]-Orders[[#This Row],[Expenses]]</f>
        <v>4458.869999999999</v>
      </c>
      <c r="M1592" t="s">
        <v>2195</v>
      </c>
      <c r="N1592" t="str">
        <f>_xlfn.XLOOKUP(Orders[[#This Row],[CustomerID]],Customers[CustomerID],Customers[CustomerName])</f>
        <v>Bisi Bello</v>
      </c>
      <c r="O1592" t="str">
        <f>_xlfn.XLOOKUP(Orders[[#This Row],[CustomerID]],Customers[CustomerID],Customers[City])</f>
        <v>Georgia</v>
      </c>
      <c r="P1592" t="str">
        <f>_xlfn.XLOOKUP(Orders[[#This Row],[CustomerID]],Customers[CustomerID],Customers[Gender])</f>
        <v>Female</v>
      </c>
      <c r="Q1592">
        <f>_xlfn.XLOOKUP(Orders[[#This Row],[CustomerID]],Customers[CustomerID],Customers[CustomerAge])</f>
        <v>31</v>
      </c>
      <c r="R1592" t="str">
        <f>IF(Orders[[#This Row],[CustomerAge]]&gt;=35, "Older", "Young")</f>
        <v>Young</v>
      </c>
      <c r="S1592" t="str">
        <f>_xlfn.XLOOKUP(Orders[[#This Row],[ProductID]],Products[ProductID],Products[ProductName])</f>
        <v>Gym Bag</v>
      </c>
      <c r="T1592" t="str">
        <f>_xlfn.XLOOKUP(Orders[[#This Row],[ProductID]],Products[ProductID],Products[Category])</f>
        <v>Gym</v>
      </c>
    </row>
    <row r="1593" spans="1:20" x14ac:dyDescent="0.25">
      <c r="A1593" s="4" t="s">
        <v>1782</v>
      </c>
      <c r="B1593" s="5">
        <v>46017</v>
      </c>
      <c r="C1593" s="15">
        <f>WEEKNUM(Orders[[#This Row],[OrderDate]])</f>
        <v>52</v>
      </c>
      <c r="D1593" s="15" t="str">
        <f>TEXT(Orders[[#This Row],[OrderDate]],"mmmm")</f>
        <v>December</v>
      </c>
      <c r="E1593" s="4" t="s">
        <v>194</v>
      </c>
      <c r="F1593" s="4" t="s">
        <v>25</v>
      </c>
      <c r="G1593" s="4">
        <v>6</v>
      </c>
      <c r="H1593" s="12">
        <v>8515.2000000000007</v>
      </c>
      <c r="I1593" s="13">
        <v>7237.920000000001</v>
      </c>
      <c r="J1593" s="13">
        <f>Orders[[#This Row],[Quantity]]*Orders[[#This Row],[Selling Price]]</f>
        <v>51091.200000000004</v>
      </c>
      <c r="K1593" s="13">
        <f>Orders[[#This Row],[Quantity]]*Orders[[#This Row],[Cost Price]]</f>
        <v>43427.520000000004</v>
      </c>
      <c r="L1593" s="13">
        <f>Orders[[#This Row],[Revenue]]-Orders[[#This Row],[Expenses]]</f>
        <v>7663.68</v>
      </c>
      <c r="M1593" t="s">
        <v>2210</v>
      </c>
      <c r="N1593" t="str">
        <f>_xlfn.XLOOKUP(Orders[[#This Row],[CustomerID]],Customers[CustomerID],Customers[CustomerName])</f>
        <v>Adanma Adeyemi</v>
      </c>
      <c r="O1593" t="str">
        <f>_xlfn.XLOOKUP(Orders[[#This Row],[CustomerID]],Customers[CustomerID],Customers[City])</f>
        <v>Washington</v>
      </c>
      <c r="P1593" t="str">
        <f>_xlfn.XLOOKUP(Orders[[#This Row],[CustomerID]],Customers[CustomerID],Customers[Gender])</f>
        <v>Female</v>
      </c>
      <c r="Q1593">
        <f>_xlfn.XLOOKUP(Orders[[#This Row],[CustomerID]],Customers[CustomerID],Customers[CustomerAge])</f>
        <v>45</v>
      </c>
      <c r="R1593" t="str">
        <f>IF(Orders[[#This Row],[CustomerAge]]&gt;=35, "Older", "Young")</f>
        <v>Older</v>
      </c>
      <c r="S1593" t="str">
        <f>_xlfn.XLOOKUP(Orders[[#This Row],[ProductID]],Products[ProductID],Products[ProductName])</f>
        <v>Gold Rings</v>
      </c>
      <c r="T1593" t="str">
        <f>_xlfn.XLOOKUP(Orders[[#This Row],[ProductID]],Products[ProductID],Products[Category])</f>
        <v>Accessories</v>
      </c>
    </row>
    <row r="1594" spans="1:20" x14ac:dyDescent="0.25">
      <c r="A1594" s="4" t="s">
        <v>1783</v>
      </c>
      <c r="B1594" s="5">
        <v>45978</v>
      </c>
      <c r="C1594" s="15">
        <f>WEEKNUM(Orders[[#This Row],[OrderDate]])</f>
        <v>47</v>
      </c>
      <c r="D1594" s="15" t="str">
        <f>TEXT(Orders[[#This Row],[OrderDate]],"mmmm")</f>
        <v>November</v>
      </c>
      <c r="E1594" s="4" t="s">
        <v>340</v>
      </c>
      <c r="F1594" s="4" t="s">
        <v>151</v>
      </c>
      <c r="G1594" s="4">
        <v>10</v>
      </c>
      <c r="H1594" s="12">
        <v>14967.2</v>
      </c>
      <c r="I1594" s="13">
        <v>12722.12</v>
      </c>
      <c r="J1594" s="13">
        <f>Orders[[#This Row],[Quantity]]*Orders[[#This Row],[Selling Price]]</f>
        <v>149672</v>
      </c>
      <c r="K1594" s="13">
        <f>Orders[[#This Row],[Quantity]]*Orders[[#This Row],[Cost Price]]</f>
        <v>127221.20000000001</v>
      </c>
      <c r="L1594" s="13">
        <f>Orders[[#This Row],[Revenue]]-Orders[[#This Row],[Expenses]]</f>
        <v>22450.799999999988</v>
      </c>
      <c r="M1594" t="s">
        <v>2214</v>
      </c>
      <c r="N1594" t="str">
        <f>_xlfn.XLOOKUP(Orders[[#This Row],[CustomerID]],Customers[CustomerID],Customers[CustomerName])</f>
        <v>Uche Abubakar</v>
      </c>
      <c r="O1594" t="str">
        <f>_xlfn.XLOOKUP(Orders[[#This Row],[CustomerID]],Customers[CustomerID],Customers[City])</f>
        <v>Illinois</v>
      </c>
      <c r="P1594" t="str">
        <f>_xlfn.XLOOKUP(Orders[[#This Row],[CustomerID]],Customers[CustomerID],Customers[Gender])</f>
        <v>Male</v>
      </c>
      <c r="Q1594">
        <f>_xlfn.XLOOKUP(Orders[[#This Row],[CustomerID]],Customers[CustomerID],Customers[CustomerAge])</f>
        <v>18</v>
      </c>
      <c r="R1594" t="str">
        <f>IF(Orders[[#This Row],[CustomerAge]]&gt;=35, "Older", "Young")</f>
        <v>Young</v>
      </c>
      <c r="S1594" t="str">
        <f>_xlfn.XLOOKUP(Orders[[#This Row],[ProductID]],Products[ProductID],Products[ProductName])</f>
        <v>Checkers</v>
      </c>
      <c r="T1594" t="str">
        <f>_xlfn.XLOOKUP(Orders[[#This Row],[ProductID]],Products[ProductID],Products[Category])</f>
        <v>Games</v>
      </c>
    </row>
    <row r="1595" spans="1:20" x14ac:dyDescent="0.25">
      <c r="A1595" s="4" t="s">
        <v>1784</v>
      </c>
      <c r="B1595" s="5">
        <v>45971</v>
      </c>
      <c r="C1595" s="15">
        <f>WEEKNUM(Orders[[#This Row],[OrderDate]])</f>
        <v>46</v>
      </c>
      <c r="D1595" s="15" t="str">
        <f>TEXT(Orders[[#This Row],[OrderDate]],"mmmm")</f>
        <v>November</v>
      </c>
      <c r="E1595" s="4" t="s">
        <v>27</v>
      </c>
      <c r="F1595" s="4" t="s">
        <v>20</v>
      </c>
      <c r="G1595" s="4">
        <v>9</v>
      </c>
      <c r="H1595" s="12">
        <v>11160.4</v>
      </c>
      <c r="I1595" s="13">
        <v>9486.34</v>
      </c>
      <c r="J1595" s="13">
        <f>Orders[[#This Row],[Quantity]]*Orders[[#This Row],[Selling Price]]</f>
        <v>100443.59999999999</v>
      </c>
      <c r="K1595" s="13">
        <f>Orders[[#This Row],[Quantity]]*Orders[[#This Row],[Cost Price]]</f>
        <v>85377.06</v>
      </c>
      <c r="L1595" s="13">
        <f>Orders[[#This Row],[Revenue]]-Orders[[#This Row],[Expenses]]</f>
        <v>15066.539999999994</v>
      </c>
      <c r="M1595" t="s">
        <v>2199</v>
      </c>
      <c r="N1595" t="str">
        <f>_xlfn.XLOOKUP(Orders[[#This Row],[CustomerID]],Customers[CustomerID],Customers[CustomerName])</f>
        <v>Okon Ojo</v>
      </c>
      <c r="O1595" t="str">
        <f>_xlfn.XLOOKUP(Orders[[#This Row],[CustomerID]],Customers[CustomerID],Customers[City])</f>
        <v>Illinois</v>
      </c>
      <c r="P1595" t="str">
        <f>_xlfn.XLOOKUP(Orders[[#This Row],[CustomerID]],Customers[CustomerID],Customers[Gender])</f>
        <v>Male</v>
      </c>
      <c r="Q1595">
        <f>_xlfn.XLOOKUP(Orders[[#This Row],[CustomerID]],Customers[CustomerID],Customers[CustomerAge])</f>
        <v>32</v>
      </c>
      <c r="R1595" t="str">
        <f>IF(Orders[[#This Row],[CustomerAge]]&gt;=35, "Older", "Young")</f>
        <v>Young</v>
      </c>
      <c r="S1595" t="str">
        <f>_xlfn.XLOOKUP(Orders[[#This Row],[ProductID]],Products[ProductID],Products[ProductName])</f>
        <v>Gym Bag</v>
      </c>
      <c r="T1595" t="str">
        <f>_xlfn.XLOOKUP(Orders[[#This Row],[ProductID]],Products[ProductID],Products[Category])</f>
        <v>Gym</v>
      </c>
    </row>
    <row r="1596" spans="1:20" x14ac:dyDescent="0.25">
      <c r="A1596" s="4" t="s">
        <v>1785</v>
      </c>
      <c r="B1596" s="5">
        <v>45959</v>
      </c>
      <c r="C1596" s="15">
        <f>WEEKNUM(Orders[[#This Row],[OrderDate]])</f>
        <v>44</v>
      </c>
      <c r="D1596" s="15" t="str">
        <f>TEXT(Orders[[#This Row],[OrderDate]],"mmmm")</f>
        <v>October</v>
      </c>
      <c r="E1596" s="4" t="s">
        <v>293</v>
      </c>
      <c r="F1596" s="4" t="s">
        <v>66</v>
      </c>
      <c r="G1596" s="4">
        <v>6</v>
      </c>
      <c r="H1596" s="12">
        <v>12113.599999999999</v>
      </c>
      <c r="I1596" s="13">
        <v>10296.56</v>
      </c>
      <c r="J1596" s="13">
        <f>Orders[[#This Row],[Quantity]]*Orders[[#This Row],[Selling Price]]</f>
        <v>72681.599999999991</v>
      </c>
      <c r="K1596" s="13">
        <f>Orders[[#This Row],[Quantity]]*Orders[[#This Row],[Cost Price]]</f>
        <v>61779.360000000001</v>
      </c>
      <c r="L1596" s="13">
        <f>Orders[[#This Row],[Revenue]]-Orders[[#This Row],[Expenses]]</f>
        <v>10902.239999999991</v>
      </c>
      <c r="M1596" t="s">
        <v>2213</v>
      </c>
      <c r="N1596" t="str">
        <f>_xlfn.XLOOKUP(Orders[[#This Row],[CustomerID]],Customers[CustomerID],Customers[CustomerName])</f>
        <v>Tunde Eze</v>
      </c>
      <c r="O1596" t="str">
        <f>_xlfn.XLOOKUP(Orders[[#This Row],[CustomerID]],Customers[CustomerID],Customers[City])</f>
        <v>Florida</v>
      </c>
      <c r="P1596" t="str">
        <f>_xlfn.XLOOKUP(Orders[[#This Row],[CustomerID]],Customers[CustomerID],Customers[Gender])</f>
        <v>Male</v>
      </c>
      <c r="Q1596">
        <f>_xlfn.XLOOKUP(Orders[[#This Row],[CustomerID]],Customers[CustomerID],Customers[CustomerAge])</f>
        <v>46</v>
      </c>
      <c r="R1596" t="str">
        <f>IF(Orders[[#This Row],[CustomerAge]]&gt;=35, "Older", "Young")</f>
        <v>Older</v>
      </c>
      <c r="S1596" t="str">
        <f>_xlfn.XLOOKUP(Orders[[#This Row],[ProductID]],Products[ProductID],Products[ProductName])</f>
        <v>Microwave</v>
      </c>
      <c r="T1596" t="str">
        <f>_xlfn.XLOOKUP(Orders[[#This Row],[ProductID]],Products[ProductID],Products[Category])</f>
        <v>Electronics</v>
      </c>
    </row>
    <row r="1597" spans="1:20" x14ac:dyDescent="0.25">
      <c r="A1597" s="4" t="s">
        <v>1786</v>
      </c>
      <c r="B1597" s="5">
        <v>45945</v>
      </c>
      <c r="C1597" s="15">
        <f>WEEKNUM(Orders[[#This Row],[OrderDate]])</f>
        <v>42</v>
      </c>
      <c r="D1597" s="15" t="str">
        <f>TEXT(Orders[[#This Row],[OrderDate]],"mmmm")</f>
        <v>October</v>
      </c>
      <c r="E1597" s="4" t="s">
        <v>340</v>
      </c>
      <c r="F1597" s="4" t="s">
        <v>70</v>
      </c>
      <c r="G1597" s="4">
        <v>1</v>
      </c>
      <c r="H1597" s="12">
        <v>13545.599999999999</v>
      </c>
      <c r="I1597" s="13">
        <v>11513.759999999998</v>
      </c>
      <c r="J1597" s="13">
        <f>Orders[[#This Row],[Quantity]]*Orders[[#This Row],[Selling Price]]</f>
        <v>13545.599999999999</v>
      </c>
      <c r="K1597" s="13">
        <f>Orders[[#This Row],[Quantity]]*Orders[[#This Row],[Cost Price]]</f>
        <v>11513.759999999998</v>
      </c>
      <c r="L1597" s="13">
        <f>Orders[[#This Row],[Revenue]]-Orders[[#This Row],[Expenses]]</f>
        <v>2031.8400000000001</v>
      </c>
      <c r="M1597" t="s">
        <v>2215</v>
      </c>
      <c r="N1597" t="str">
        <f>_xlfn.XLOOKUP(Orders[[#This Row],[CustomerID]],Customers[CustomerID],Customers[CustomerName])</f>
        <v>Uche Abubakar</v>
      </c>
      <c r="O1597" t="str">
        <f>_xlfn.XLOOKUP(Orders[[#This Row],[CustomerID]],Customers[CustomerID],Customers[City])</f>
        <v>Illinois</v>
      </c>
      <c r="P1597" t="str">
        <f>_xlfn.XLOOKUP(Orders[[#This Row],[CustomerID]],Customers[CustomerID],Customers[Gender])</f>
        <v>Male</v>
      </c>
      <c r="Q1597">
        <f>_xlfn.XLOOKUP(Orders[[#This Row],[CustomerID]],Customers[CustomerID],Customers[CustomerAge])</f>
        <v>18</v>
      </c>
      <c r="R1597" t="str">
        <f>IF(Orders[[#This Row],[CustomerAge]]&gt;=35, "Older", "Young")</f>
        <v>Young</v>
      </c>
      <c r="S1597" t="str">
        <f>_xlfn.XLOOKUP(Orders[[#This Row],[ProductID]],Products[ProductID],Products[ProductName])</f>
        <v>Yoga Mat</v>
      </c>
      <c r="T1597" t="str">
        <f>_xlfn.XLOOKUP(Orders[[#This Row],[ProductID]],Products[ProductID],Products[Category])</f>
        <v>Gym</v>
      </c>
    </row>
    <row r="1598" spans="1:20" x14ac:dyDescent="0.25">
      <c r="A1598" s="4" t="s">
        <v>1787</v>
      </c>
      <c r="B1598" s="5">
        <v>46008</v>
      </c>
      <c r="C1598" s="15">
        <f>WEEKNUM(Orders[[#This Row],[OrderDate]])</f>
        <v>51</v>
      </c>
      <c r="D1598" s="15" t="str">
        <f>TEXT(Orders[[#This Row],[OrderDate]],"mmmm")</f>
        <v>December</v>
      </c>
      <c r="E1598" s="4" t="s">
        <v>129</v>
      </c>
      <c r="F1598" s="4" t="s">
        <v>189</v>
      </c>
      <c r="G1598" s="4">
        <v>6</v>
      </c>
      <c r="H1598" s="12">
        <v>4986.6000000000004</v>
      </c>
      <c r="I1598" s="13">
        <v>4238.6100000000006</v>
      </c>
      <c r="J1598" s="13">
        <f>Orders[[#This Row],[Quantity]]*Orders[[#This Row],[Selling Price]]</f>
        <v>29919.600000000002</v>
      </c>
      <c r="K1598" s="13">
        <f>Orders[[#This Row],[Quantity]]*Orders[[#This Row],[Cost Price]]</f>
        <v>25431.660000000003</v>
      </c>
      <c r="L1598" s="13">
        <f>Orders[[#This Row],[Revenue]]-Orders[[#This Row],[Expenses]]</f>
        <v>4487.9399999999987</v>
      </c>
      <c r="M1598" t="s">
        <v>2198</v>
      </c>
      <c r="N1598" t="str">
        <f>_xlfn.XLOOKUP(Orders[[#This Row],[CustomerID]],Customers[CustomerID],Customers[CustomerName])</f>
        <v>Chioma Ojo</v>
      </c>
      <c r="O1598" t="str">
        <f>_xlfn.XLOOKUP(Orders[[#This Row],[CustomerID]],Customers[CustomerID],Customers[City])</f>
        <v>Washington</v>
      </c>
      <c r="P1598" t="str">
        <f>_xlfn.XLOOKUP(Orders[[#This Row],[CustomerID]],Customers[CustomerID],Customers[Gender])</f>
        <v>Female</v>
      </c>
      <c r="Q1598">
        <f>_xlfn.XLOOKUP(Orders[[#This Row],[CustomerID]],Customers[CustomerID],Customers[CustomerAge])</f>
        <v>46</v>
      </c>
      <c r="R1598" t="str">
        <f>IF(Orders[[#This Row],[CustomerAge]]&gt;=35, "Older", "Young")</f>
        <v>Older</v>
      </c>
      <c r="S1598" t="str">
        <f>_xlfn.XLOOKUP(Orders[[#This Row],[ProductID]],Products[ProductID],Products[ProductName])</f>
        <v>Scrabble</v>
      </c>
      <c r="T1598" t="str">
        <f>_xlfn.XLOOKUP(Orders[[#This Row],[ProductID]],Products[ProductID],Products[Category])</f>
        <v>Games</v>
      </c>
    </row>
    <row r="1599" spans="1:20" x14ac:dyDescent="0.25">
      <c r="A1599" s="4" t="s">
        <v>1788</v>
      </c>
      <c r="B1599" s="5">
        <v>45993</v>
      </c>
      <c r="C1599" s="15">
        <f>WEEKNUM(Orders[[#This Row],[OrderDate]])</f>
        <v>49</v>
      </c>
      <c r="D1599" s="15" t="str">
        <f>TEXT(Orders[[#This Row],[OrderDate]],"mmmm")</f>
        <v>December</v>
      </c>
      <c r="E1599" s="4" t="s">
        <v>546</v>
      </c>
      <c r="F1599" s="4" t="s">
        <v>57</v>
      </c>
      <c r="G1599" s="4">
        <v>2</v>
      </c>
      <c r="H1599" s="12">
        <v>9149.6</v>
      </c>
      <c r="I1599" s="13">
        <v>7777.16</v>
      </c>
      <c r="J1599" s="13">
        <f>Orders[[#This Row],[Quantity]]*Orders[[#This Row],[Selling Price]]</f>
        <v>18299.2</v>
      </c>
      <c r="K1599" s="13">
        <f>Orders[[#This Row],[Quantity]]*Orders[[#This Row],[Cost Price]]</f>
        <v>15554.32</v>
      </c>
      <c r="L1599" s="13">
        <f>Orders[[#This Row],[Revenue]]-Orders[[#This Row],[Expenses]]</f>
        <v>2744.880000000001</v>
      </c>
      <c r="M1599" t="s">
        <v>2192</v>
      </c>
      <c r="N1599" t="str">
        <f>_xlfn.XLOOKUP(Orders[[#This Row],[CustomerID]],Customers[CustomerID],Customers[CustomerName])</f>
        <v>Bisi Eze</v>
      </c>
      <c r="O1599" t="str">
        <f>_xlfn.XLOOKUP(Orders[[#This Row],[CustomerID]],Customers[CustomerID],Customers[City])</f>
        <v>Texas</v>
      </c>
      <c r="P1599" t="str">
        <f>_xlfn.XLOOKUP(Orders[[#This Row],[CustomerID]],Customers[CustomerID],Customers[Gender])</f>
        <v>Female</v>
      </c>
      <c r="Q1599">
        <f>_xlfn.XLOOKUP(Orders[[#This Row],[CustomerID]],Customers[CustomerID],Customers[CustomerAge])</f>
        <v>32</v>
      </c>
      <c r="R1599" t="str">
        <f>IF(Orders[[#This Row],[CustomerAge]]&gt;=35, "Older", "Young")</f>
        <v>Young</v>
      </c>
      <c r="S1599" t="str">
        <f>_xlfn.XLOOKUP(Orders[[#This Row],[ProductID]],Products[ProductID],Products[ProductName])</f>
        <v>Badminton Racket</v>
      </c>
      <c r="T1599" t="str">
        <f>_xlfn.XLOOKUP(Orders[[#This Row],[ProductID]],Products[ProductID],Products[Category])</f>
        <v>Sports</v>
      </c>
    </row>
    <row r="1600" spans="1:20" x14ac:dyDescent="0.25">
      <c r="A1600" s="4" t="s">
        <v>1789</v>
      </c>
      <c r="B1600" s="5">
        <v>45965</v>
      </c>
      <c r="C1600" s="15">
        <f>WEEKNUM(Orders[[#This Row],[OrderDate]])</f>
        <v>45</v>
      </c>
      <c r="D1600" s="15" t="str">
        <f>TEXT(Orders[[#This Row],[OrderDate]],"mmmm")</f>
        <v>November</v>
      </c>
      <c r="E1600" s="4" t="s">
        <v>101</v>
      </c>
      <c r="F1600" s="4" t="s">
        <v>84</v>
      </c>
      <c r="G1600" s="4">
        <v>8</v>
      </c>
      <c r="H1600" s="12">
        <v>1795.2</v>
      </c>
      <c r="I1600" s="13">
        <v>1525.92</v>
      </c>
      <c r="J1600" s="13">
        <f>Orders[[#This Row],[Quantity]]*Orders[[#This Row],[Selling Price]]</f>
        <v>14361.6</v>
      </c>
      <c r="K1600" s="13">
        <f>Orders[[#This Row],[Quantity]]*Orders[[#This Row],[Cost Price]]</f>
        <v>12207.36</v>
      </c>
      <c r="L1600" s="13">
        <f>Orders[[#This Row],[Revenue]]-Orders[[#This Row],[Expenses]]</f>
        <v>2154.2399999999998</v>
      </c>
      <c r="M1600" t="s">
        <v>2204</v>
      </c>
      <c r="N1600" t="str">
        <f>_xlfn.XLOOKUP(Orders[[#This Row],[CustomerID]],Customers[CustomerID],Customers[CustomerName])</f>
        <v>Blessing Eze</v>
      </c>
      <c r="O1600" t="str">
        <f>_xlfn.XLOOKUP(Orders[[#This Row],[CustomerID]],Customers[CustomerID],Customers[City])</f>
        <v>Texas</v>
      </c>
      <c r="P1600" t="str">
        <f>_xlfn.XLOOKUP(Orders[[#This Row],[CustomerID]],Customers[CustomerID],Customers[Gender])</f>
        <v>Female</v>
      </c>
      <c r="Q1600">
        <f>_xlfn.XLOOKUP(Orders[[#This Row],[CustomerID]],Customers[CustomerID],Customers[CustomerAge])</f>
        <v>55</v>
      </c>
      <c r="R1600" t="str">
        <f>IF(Orders[[#This Row],[CustomerAge]]&gt;=35, "Older", "Young")</f>
        <v>Older</v>
      </c>
      <c r="S1600" t="str">
        <f>_xlfn.XLOOKUP(Orders[[#This Row],[ProductID]],Products[ProductID],Products[ProductName])</f>
        <v>Gym Wears</v>
      </c>
      <c r="T1600" t="str">
        <f>_xlfn.XLOOKUP(Orders[[#This Row],[ProductID]],Products[ProductID],Products[Category])</f>
        <v>Clothing</v>
      </c>
    </row>
    <row r="1601" spans="1:20" x14ac:dyDescent="0.25">
      <c r="A1601" s="4" t="s">
        <v>1790</v>
      </c>
      <c r="B1601" s="5">
        <v>45937</v>
      </c>
      <c r="C1601" s="15">
        <f>WEEKNUM(Orders[[#This Row],[OrderDate]])</f>
        <v>41</v>
      </c>
      <c r="D1601" s="15" t="str">
        <f>TEXT(Orders[[#This Row],[OrderDate]],"mmmm")</f>
        <v>October</v>
      </c>
      <c r="E1601" s="4" t="s">
        <v>833</v>
      </c>
      <c r="F1601" s="4" t="s">
        <v>28</v>
      </c>
      <c r="G1601" s="4">
        <v>3</v>
      </c>
      <c r="H1601" s="12">
        <v>16096.300000000001</v>
      </c>
      <c r="I1601" s="13">
        <v>13681.855000000001</v>
      </c>
      <c r="J1601" s="13">
        <f>Orders[[#This Row],[Quantity]]*Orders[[#This Row],[Selling Price]]</f>
        <v>48288.9</v>
      </c>
      <c r="K1601" s="13">
        <f>Orders[[#This Row],[Quantity]]*Orders[[#This Row],[Cost Price]]</f>
        <v>41045.565000000002</v>
      </c>
      <c r="L1601" s="13">
        <f>Orders[[#This Row],[Revenue]]-Orders[[#This Row],[Expenses]]</f>
        <v>7243.3349999999991</v>
      </c>
      <c r="M1601" t="s">
        <v>2212</v>
      </c>
      <c r="N1601" t="str">
        <f>_xlfn.XLOOKUP(Orders[[#This Row],[CustomerID]],Customers[CustomerID],Customers[CustomerName])</f>
        <v>Abiola Adeyemi</v>
      </c>
      <c r="O1601" t="str">
        <f>_xlfn.XLOOKUP(Orders[[#This Row],[CustomerID]],Customers[CustomerID],Customers[City])</f>
        <v>Washington</v>
      </c>
      <c r="P1601" t="str">
        <f>_xlfn.XLOOKUP(Orders[[#This Row],[CustomerID]],Customers[CustomerID],Customers[Gender])</f>
        <v>Male</v>
      </c>
      <c r="Q1601">
        <f>_xlfn.XLOOKUP(Orders[[#This Row],[CustomerID]],Customers[CustomerID],Customers[CustomerAge])</f>
        <v>53</v>
      </c>
      <c r="R1601" t="str">
        <f>IF(Orders[[#This Row],[CustomerAge]]&gt;=35, "Older", "Young")</f>
        <v>Older</v>
      </c>
      <c r="S1601" t="str">
        <f>_xlfn.XLOOKUP(Orders[[#This Row],[ProductID]],Products[ProductID],Products[ProductName])</f>
        <v>Sneakers</v>
      </c>
      <c r="T1601" t="str">
        <f>_xlfn.XLOOKUP(Orders[[#This Row],[ProductID]],Products[ProductID],Products[Category])</f>
        <v>Sports</v>
      </c>
    </row>
    <row r="1602" spans="1:20" x14ac:dyDescent="0.25">
      <c r="A1602" s="4" t="s">
        <v>1791</v>
      </c>
      <c r="B1602" s="5">
        <v>45953</v>
      </c>
      <c r="C1602" s="15">
        <f>WEEKNUM(Orders[[#This Row],[OrderDate]])</f>
        <v>43</v>
      </c>
      <c r="D1602" s="15" t="str">
        <f>TEXT(Orders[[#This Row],[OrderDate]],"mmmm")</f>
        <v>October</v>
      </c>
      <c r="E1602" s="4" t="s">
        <v>154</v>
      </c>
      <c r="F1602" s="4" t="s">
        <v>111</v>
      </c>
      <c r="G1602" s="4">
        <v>6</v>
      </c>
      <c r="H1602" s="12">
        <v>5024.3</v>
      </c>
      <c r="I1602" s="13">
        <v>4270.6550000000007</v>
      </c>
      <c r="J1602" s="13">
        <f>Orders[[#This Row],[Quantity]]*Orders[[#This Row],[Selling Price]]</f>
        <v>30145.800000000003</v>
      </c>
      <c r="K1602" s="13">
        <f>Orders[[#This Row],[Quantity]]*Orders[[#This Row],[Cost Price]]</f>
        <v>25623.930000000004</v>
      </c>
      <c r="L1602" s="13">
        <f>Orders[[#This Row],[Revenue]]-Orders[[#This Row],[Expenses]]</f>
        <v>4521.869999999999</v>
      </c>
      <c r="M1602" t="s">
        <v>2195</v>
      </c>
      <c r="N1602" t="str">
        <f>_xlfn.XLOOKUP(Orders[[#This Row],[CustomerID]],Customers[CustomerID],Customers[CustomerName])</f>
        <v>Ronke Danladi</v>
      </c>
      <c r="O1602" t="str">
        <f>_xlfn.XLOOKUP(Orders[[#This Row],[CustomerID]],Customers[CustomerID],Customers[City])</f>
        <v>Illinois</v>
      </c>
      <c r="P1602" t="str">
        <f>_xlfn.XLOOKUP(Orders[[#This Row],[CustomerID]],Customers[CustomerID],Customers[Gender])</f>
        <v>Female</v>
      </c>
      <c r="Q1602">
        <f>_xlfn.XLOOKUP(Orders[[#This Row],[CustomerID]],Customers[CustomerID],Customers[CustomerAge])</f>
        <v>46</v>
      </c>
      <c r="R1602" t="str">
        <f>IF(Orders[[#This Row],[CustomerAge]]&gt;=35, "Older", "Young")</f>
        <v>Older</v>
      </c>
      <c r="S1602" t="str">
        <f>_xlfn.XLOOKUP(Orders[[#This Row],[ProductID]],Products[ProductID],Products[ProductName])</f>
        <v>Refrigerator</v>
      </c>
      <c r="T1602" t="str">
        <f>_xlfn.XLOOKUP(Orders[[#This Row],[ProductID]],Products[ProductID],Products[Category])</f>
        <v>Electronics</v>
      </c>
    </row>
    <row r="1603" spans="1:20" x14ac:dyDescent="0.25">
      <c r="A1603" s="4" t="s">
        <v>1792</v>
      </c>
      <c r="B1603" s="5">
        <v>45986</v>
      </c>
      <c r="C1603" s="15">
        <f>WEEKNUM(Orders[[#This Row],[OrderDate]])</f>
        <v>48</v>
      </c>
      <c r="D1603" s="15" t="str">
        <f>TEXT(Orders[[#This Row],[OrderDate]],"mmmm")</f>
        <v>November</v>
      </c>
      <c r="E1603" s="4" t="s">
        <v>186</v>
      </c>
      <c r="F1603" s="4" t="s">
        <v>208</v>
      </c>
      <c r="G1603" s="4">
        <v>1</v>
      </c>
      <c r="H1603" s="12">
        <v>18589.5</v>
      </c>
      <c r="I1603" s="13">
        <v>15801.075000000001</v>
      </c>
      <c r="J1603" s="13">
        <f>Orders[[#This Row],[Quantity]]*Orders[[#This Row],[Selling Price]]</f>
        <v>18589.5</v>
      </c>
      <c r="K1603" s="13">
        <f>Orders[[#This Row],[Quantity]]*Orders[[#This Row],[Cost Price]]</f>
        <v>15801.075000000001</v>
      </c>
      <c r="L1603" s="13">
        <f>Orders[[#This Row],[Revenue]]-Orders[[#This Row],[Expenses]]</f>
        <v>2788.4249999999993</v>
      </c>
      <c r="M1603" t="s">
        <v>2211</v>
      </c>
      <c r="N1603" t="str">
        <f>_xlfn.XLOOKUP(Orders[[#This Row],[CustomerID]],Customers[CustomerID],Customers[CustomerName])</f>
        <v>Ronke Eze</v>
      </c>
      <c r="O1603" t="str">
        <f>_xlfn.XLOOKUP(Orders[[#This Row],[CustomerID]],Customers[CustomerID],Customers[City])</f>
        <v>Texas</v>
      </c>
      <c r="P1603" t="str">
        <f>_xlfn.XLOOKUP(Orders[[#This Row],[CustomerID]],Customers[CustomerID],Customers[Gender])</f>
        <v>Female</v>
      </c>
      <c r="Q1603">
        <f>_xlfn.XLOOKUP(Orders[[#This Row],[CustomerID]],Customers[CustomerID],Customers[CustomerAge])</f>
        <v>37</v>
      </c>
      <c r="R1603" t="str">
        <f>IF(Orders[[#This Row],[CustomerAge]]&gt;=35, "Older", "Young")</f>
        <v>Older</v>
      </c>
      <c r="S1603" t="str">
        <f>_xlfn.XLOOKUP(Orders[[#This Row],[ProductID]],Products[ProductID],Products[ProductName])</f>
        <v>Skipping Rope</v>
      </c>
      <c r="T1603" t="str">
        <f>_xlfn.XLOOKUP(Orders[[#This Row],[ProductID]],Products[ProductID],Products[Category])</f>
        <v>Sports</v>
      </c>
    </row>
    <row r="1604" spans="1:20" x14ac:dyDescent="0.25">
      <c r="A1604" s="4" t="s">
        <v>1793</v>
      </c>
      <c r="B1604" s="5">
        <v>45994</v>
      </c>
      <c r="C1604" s="15">
        <f>WEEKNUM(Orders[[#This Row],[OrderDate]])</f>
        <v>49</v>
      </c>
      <c r="D1604" s="15" t="str">
        <f>TEXT(Orders[[#This Row],[OrderDate]],"mmmm")</f>
        <v>December</v>
      </c>
      <c r="E1604" s="4" t="s">
        <v>311</v>
      </c>
      <c r="F1604" s="4" t="s">
        <v>125</v>
      </c>
      <c r="G1604" s="4">
        <v>8</v>
      </c>
      <c r="H1604" s="12">
        <v>4104.3</v>
      </c>
      <c r="I1604" s="13">
        <v>3488.6550000000002</v>
      </c>
      <c r="J1604" s="13">
        <f>Orders[[#This Row],[Quantity]]*Orders[[#This Row],[Selling Price]]</f>
        <v>32834.400000000001</v>
      </c>
      <c r="K1604" s="13">
        <f>Orders[[#This Row],[Quantity]]*Orders[[#This Row],[Cost Price]]</f>
        <v>27909.24</v>
      </c>
      <c r="L1604" s="13">
        <f>Orders[[#This Row],[Revenue]]-Orders[[#This Row],[Expenses]]</f>
        <v>4925.16</v>
      </c>
      <c r="M1604" t="s">
        <v>2199</v>
      </c>
      <c r="N1604" t="str">
        <f>_xlfn.XLOOKUP(Orders[[#This Row],[CustomerID]],Customers[CustomerID],Customers[CustomerName])</f>
        <v>Bisi Bello</v>
      </c>
      <c r="O1604" t="str">
        <f>_xlfn.XLOOKUP(Orders[[#This Row],[CustomerID]],Customers[CustomerID],Customers[City])</f>
        <v>Georgia</v>
      </c>
      <c r="P1604" t="str">
        <f>_xlfn.XLOOKUP(Orders[[#This Row],[CustomerID]],Customers[CustomerID],Customers[Gender])</f>
        <v>Female</v>
      </c>
      <c r="Q1604">
        <f>_xlfn.XLOOKUP(Orders[[#This Row],[CustomerID]],Customers[CustomerID],Customers[CustomerAge])</f>
        <v>31</v>
      </c>
      <c r="R1604" t="str">
        <f>IF(Orders[[#This Row],[CustomerAge]]&gt;=35, "Older", "Young")</f>
        <v>Young</v>
      </c>
      <c r="S1604" t="str">
        <f>_xlfn.XLOOKUP(Orders[[#This Row],[ProductID]],Products[ProductID],Products[ProductName])</f>
        <v>Earrings</v>
      </c>
      <c r="T1604" t="str">
        <f>_xlfn.XLOOKUP(Orders[[#This Row],[ProductID]],Products[ProductID],Products[Category])</f>
        <v>Accessories</v>
      </c>
    </row>
    <row r="1605" spans="1:20" x14ac:dyDescent="0.25">
      <c r="A1605" s="4" t="s">
        <v>1794</v>
      </c>
      <c r="B1605" s="5">
        <v>46007</v>
      </c>
      <c r="C1605" s="15">
        <f>WEEKNUM(Orders[[#This Row],[OrderDate]])</f>
        <v>51</v>
      </c>
      <c r="D1605" s="15" t="str">
        <f>TEXT(Orders[[#This Row],[OrderDate]],"mmmm")</f>
        <v>December</v>
      </c>
      <c r="E1605" s="4" t="s">
        <v>94</v>
      </c>
      <c r="F1605" s="4" t="s">
        <v>84</v>
      </c>
      <c r="G1605" s="4">
        <v>2</v>
      </c>
      <c r="H1605" s="12">
        <v>5003.3999999999996</v>
      </c>
      <c r="I1605" s="13">
        <v>4252.8899999999994</v>
      </c>
      <c r="J1605" s="13">
        <f>Orders[[#This Row],[Quantity]]*Orders[[#This Row],[Selling Price]]</f>
        <v>10006.799999999999</v>
      </c>
      <c r="K1605" s="13">
        <f>Orders[[#This Row],[Quantity]]*Orders[[#This Row],[Cost Price]]</f>
        <v>8505.7799999999988</v>
      </c>
      <c r="L1605" s="13">
        <f>Orders[[#This Row],[Revenue]]-Orders[[#This Row],[Expenses]]</f>
        <v>1501.0200000000004</v>
      </c>
      <c r="M1605" t="s">
        <v>2193</v>
      </c>
      <c r="N1605" t="str">
        <f>_xlfn.XLOOKUP(Orders[[#This Row],[CustomerID]],Customers[CustomerID],Customers[CustomerName])</f>
        <v>Uche Abubakar</v>
      </c>
      <c r="O1605" t="str">
        <f>_xlfn.XLOOKUP(Orders[[#This Row],[CustomerID]],Customers[CustomerID],Customers[City])</f>
        <v>Texas</v>
      </c>
      <c r="P1605" t="str">
        <f>_xlfn.XLOOKUP(Orders[[#This Row],[CustomerID]],Customers[CustomerID],Customers[Gender])</f>
        <v>Male</v>
      </c>
      <c r="Q1605">
        <f>_xlfn.XLOOKUP(Orders[[#This Row],[CustomerID]],Customers[CustomerID],Customers[CustomerAge])</f>
        <v>26</v>
      </c>
      <c r="R1605" t="str">
        <f>IF(Orders[[#This Row],[CustomerAge]]&gt;=35, "Older", "Young")</f>
        <v>Young</v>
      </c>
      <c r="S1605" t="str">
        <f>_xlfn.XLOOKUP(Orders[[#This Row],[ProductID]],Products[ProductID],Products[ProductName])</f>
        <v>Gym Wears</v>
      </c>
      <c r="T1605" t="str">
        <f>_xlfn.XLOOKUP(Orders[[#This Row],[ProductID]],Products[ProductID],Products[Category])</f>
        <v>Clothing</v>
      </c>
    </row>
    <row r="1606" spans="1:20" x14ac:dyDescent="0.25">
      <c r="A1606" s="4" t="s">
        <v>1795</v>
      </c>
      <c r="B1606" s="5">
        <v>46010</v>
      </c>
      <c r="C1606" s="15">
        <f>WEEKNUM(Orders[[#This Row],[OrderDate]])</f>
        <v>51</v>
      </c>
      <c r="D1606" s="15" t="str">
        <f>TEXT(Orders[[#This Row],[OrderDate]],"mmmm")</f>
        <v>December</v>
      </c>
      <c r="E1606" s="4" t="s">
        <v>59</v>
      </c>
      <c r="F1606" s="4" t="s">
        <v>127</v>
      </c>
      <c r="G1606" s="4">
        <v>8</v>
      </c>
      <c r="H1606" s="12">
        <v>18249</v>
      </c>
      <c r="I1606" s="13">
        <v>15511.65</v>
      </c>
      <c r="J1606" s="13">
        <f>Orders[[#This Row],[Quantity]]*Orders[[#This Row],[Selling Price]]</f>
        <v>145992</v>
      </c>
      <c r="K1606" s="13">
        <f>Orders[[#This Row],[Quantity]]*Orders[[#This Row],[Cost Price]]</f>
        <v>124093.2</v>
      </c>
      <c r="L1606" s="13">
        <f>Orders[[#This Row],[Revenue]]-Orders[[#This Row],[Expenses]]</f>
        <v>21898.800000000003</v>
      </c>
      <c r="M1606" t="s">
        <v>2209</v>
      </c>
      <c r="N1606" t="str">
        <f>_xlfn.XLOOKUP(Orders[[#This Row],[CustomerID]],Customers[CustomerID],Customers[CustomerName])</f>
        <v>Adanma Danladi</v>
      </c>
      <c r="O1606" t="str">
        <f>_xlfn.XLOOKUP(Orders[[#This Row],[CustomerID]],Customers[CustomerID],Customers[City])</f>
        <v>Texas</v>
      </c>
      <c r="P1606" t="str">
        <f>_xlfn.XLOOKUP(Orders[[#This Row],[CustomerID]],Customers[CustomerID],Customers[Gender])</f>
        <v>Female</v>
      </c>
      <c r="Q1606">
        <f>_xlfn.XLOOKUP(Orders[[#This Row],[CustomerID]],Customers[CustomerID],Customers[CustomerAge])</f>
        <v>24</v>
      </c>
      <c r="R1606" t="str">
        <f>IF(Orders[[#This Row],[CustomerAge]]&gt;=35, "Older", "Young")</f>
        <v>Young</v>
      </c>
      <c r="S1606" t="str">
        <f>_xlfn.XLOOKUP(Orders[[#This Row],[ProductID]],Products[ProductID],Products[ProductName])</f>
        <v>Tops</v>
      </c>
      <c r="T1606" t="str">
        <f>_xlfn.XLOOKUP(Orders[[#This Row],[ProductID]],Products[ProductID],Products[Category])</f>
        <v>Clothing</v>
      </c>
    </row>
    <row r="1607" spans="1:20" x14ac:dyDescent="0.25">
      <c r="A1607" s="4" t="s">
        <v>1796</v>
      </c>
      <c r="B1607" s="5">
        <v>46002</v>
      </c>
      <c r="C1607" s="15">
        <f>WEEKNUM(Orders[[#This Row],[OrderDate]])</f>
        <v>50</v>
      </c>
      <c r="D1607" s="15" t="str">
        <f>TEXT(Orders[[#This Row],[OrderDate]],"mmmm")</f>
        <v>December</v>
      </c>
      <c r="E1607" s="4" t="s">
        <v>68</v>
      </c>
      <c r="F1607" s="4" t="s">
        <v>66</v>
      </c>
      <c r="G1607" s="4">
        <v>9</v>
      </c>
      <c r="H1607" s="12">
        <v>7236.9000000000005</v>
      </c>
      <c r="I1607" s="13">
        <v>6151.3650000000007</v>
      </c>
      <c r="J1607" s="13">
        <f>Orders[[#This Row],[Quantity]]*Orders[[#This Row],[Selling Price]]</f>
        <v>65132.100000000006</v>
      </c>
      <c r="K1607" s="13">
        <f>Orders[[#This Row],[Quantity]]*Orders[[#This Row],[Cost Price]]</f>
        <v>55362.285000000003</v>
      </c>
      <c r="L1607" s="13">
        <f>Orders[[#This Row],[Revenue]]-Orders[[#This Row],[Expenses]]</f>
        <v>9769.8150000000023</v>
      </c>
      <c r="M1607" t="s">
        <v>2199</v>
      </c>
      <c r="N1607" t="str">
        <f>_xlfn.XLOOKUP(Orders[[#This Row],[CustomerID]],Customers[CustomerID],Customers[CustomerName])</f>
        <v>Abiola Balogun</v>
      </c>
      <c r="O1607" t="str">
        <f>_xlfn.XLOOKUP(Orders[[#This Row],[CustomerID]],Customers[CustomerID],Customers[City])</f>
        <v>Texas</v>
      </c>
      <c r="P1607" t="str">
        <f>_xlfn.XLOOKUP(Orders[[#This Row],[CustomerID]],Customers[CustomerID],Customers[Gender])</f>
        <v>Male</v>
      </c>
      <c r="Q1607">
        <f>_xlfn.XLOOKUP(Orders[[#This Row],[CustomerID]],Customers[CustomerID],Customers[CustomerAge])</f>
        <v>29</v>
      </c>
      <c r="R1607" t="str">
        <f>IF(Orders[[#This Row],[CustomerAge]]&gt;=35, "Older", "Young")</f>
        <v>Young</v>
      </c>
      <c r="S1607" t="str">
        <f>_xlfn.XLOOKUP(Orders[[#This Row],[ProductID]],Products[ProductID],Products[ProductName])</f>
        <v>Microwave</v>
      </c>
      <c r="T1607" t="str">
        <f>_xlfn.XLOOKUP(Orders[[#This Row],[ProductID]],Products[ProductID],Products[Category])</f>
        <v>Electronics</v>
      </c>
    </row>
    <row r="1608" spans="1:20" x14ac:dyDescent="0.25">
      <c r="A1608" s="4" t="s">
        <v>1797</v>
      </c>
      <c r="B1608" s="5">
        <v>45943</v>
      </c>
      <c r="C1608" s="15">
        <f>WEEKNUM(Orders[[#This Row],[OrderDate]])</f>
        <v>42</v>
      </c>
      <c r="D1608" s="15" t="str">
        <f>TEXT(Orders[[#This Row],[OrderDate]],"mmmm")</f>
        <v>October</v>
      </c>
      <c r="E1608" s="4" t="s">
        <v>940</v>
      </c>
      <c r="F1608" s="4" t="s">
        <v>189</v>
      </c>
      <c r="G1608" s="4">
        <v>6</v>
      </c>
      <c r="H1608" s="12">
        <v>11455.599999999999</v>
      </c>
      <c r="I1608" s="13">
        <v>9737.2599999999984</v>
      </c>
      <c r="J1608" s="13">
        <f>Orders[[#This Row],[Quantity]]*Orders[[#This Row],[Selling Price]]</f>
        <v>68733.599999999991</v>
      </c>
      <c r="K1608" s="13">
        <f>Orders[[#This Row],[Quantity]]*Orders[[#This Row],[Cost Price]]</f>
        <v>58423.55999999999</v>
      </c>
      <c r="L1608" s="13">
        <f>Orders[[#This Row],[Revenue]]-Orders[[#This Row],[Expenses]]</f>
        <v>10310.040000000001</v>
      </c>
      <c r="M1608" t="s">
        <v>2204</v>
      </c>
      <c r="N1608" t="str">
        <f>_xlfn.XLOOKUP(Orders[[#This Row],[CustomerID]],Customers[CustomerID],Customers[CustomerName])</f>
        <v>Okon Ojo</v>
      </c>
      <c r="O1608" t="str">
        <f>_xlfn.XLOOKUP(Orders[[#This Row],[CustomerID]],Customers[CustomerID],Customers[City])</f>
        <v>Texas</v>
      </c>
      <c r="P1608" t="str">
        <f>_xlfn.XLOOKUP(Orders[[#This Row],[CustomerID]],Customers[CustomerID],Customers[Gender])</f>
        <v>Male</v>
      </c>
      <c r="Q1608">
        <f>_xlfn.XLOOKUP(Orders[[#This Row],[CustomerID]],Customers[CustomerID],Customers[CustomerAge])</f>
        <v>25</v>
      </c>
      <c r="R1608" t="str">
        <f>IF(Orders[[#This Row],[CustomerAge]]&gt;=35, "Older", "Young")</f>
        <v>Young</v>
      </c>
      <c r="S1608" t="str">
        <f>_xlfn.XLOOKUP(Orders[[#This Row],[ProductID]],Products[ProductID],Products[ProductName])</f>
        <v>Scrabble</v>
      </c>
      <c r="T1608" t="str">
        <f>_xlfn.XLOOKUP(Orders[[#This Row],[ProductID]],Products[ProductID],Products[Category])</f>
        <v>Games</v>
      </c>
    </row>
    <row r="1609" spans="1:20" x14ac:dyDescent="0.25">
      <c r="A1609" s="4" t="s">
        <v>1798</v>
      </c>
      <c r="B1609" s="5">
        <v>46002</v>
      </c>
      <c r="C1609" s="15">
        <f>WEEKNUM(Orders[[#This Row],[OrderDate]])</f>
        <v>50</v>
      </c>
      <c r="D1609" s="15" t="str">
        <f>TEXT(Orders[[#This Row],[OrderDate]],"mmmm")</f>
        <v>December</v>
      </c>
      <c r="E1609" s="4" t="s">
        <v>514</v>
      </c>
      <c r="F1609" s="4" t="s">
        <v>34</v>
      </c>
      <c r="G1609" s="4">
        <v>10</v>
      </c>
      <c r="H1609" s="12">
        <v>16297</v>
      </c>
      <c r="I1609" s="13">
        <v>13852.45</v>
      </c>
      <c r="J1609" s="13">
        <f>Orders[[#This Row],[Quantity]]*Orders[[#This Row],[Selling Price]]</f>
        <v>162970</v>
      </c>
      <c r="K1609" s="13">
        <f>Orders[[#This Row],[Quantity]]*Orders[[#This Row],[Cost Price]]</f>
        <v>138524.5</v>
      </c>
      <c r="L1609" s="13">
        <f>Orders[[#This Row],[Revenue]]-Orders[[#This Row],[Expenses]]</f>
        <v>24445.5</v>
      </c>
      <c r="M1609" t="s">
        <v>2195</v>
      </c>
      <c r="N1609" t="str">
        <f>_xlfn.XLOOKUP(Orders[[#This Row],[CustomerID]],Customers[CustomerID],Customers[CustomerName])</f>
        <v>Ibrahim Okonkwo</v>
      </c>
      <c r="O1609" t="str">
        <f>_xlfn.XLOOKUP(Orders[[#This Row],[CustomerID]],Customers[CustomerID],Customers[City])</f>
        <v>Florida</v>
      </c>
      <c r="P1609" t="str">
        <f>_xlfn.XLOOKUP(Orders[[#This Row],[CustomerID]],Customers[CustomerID],Customers[Gender])</f>
        <v>Male</v>
      </c>
      <c r="Q1609">
        <f>_xlfn.XLOOKUP(Orders[[#This Row],[CustomerID]],Customers[CustomerID],Customers[CustomerAge])</f>
        <v>28</v>
      </c>
      <c r="R1609" t="str">
        <f>IF(Orders[[#This Row],[CustomerAge]]&gt;=35, "Older", "Young")</f>
        <v>Young</v>
      </c>
      <c r="S1609" t="str">
        <f>_xlfn.XLOOKUP(Orders[[#This Row],[ProductID]],Products[ProductID],Products[ProductName])</f>
        <v>Gold Bracelets</v>
      </c>
      <c r="T1609" t="str">
        <f>_xlfn.XLOOKUP(Orders[[#This Row],[ProductID]],Products[ProductID],Products[Category])</f>
        <v>Accessories</v>
      </c>
    </row>
    <row r="1610" spans="1:20" x14ac:dyDescent="0.25">
      <c r="A1610" s="4" t="s">
        <v>1799</v>
      </c>
      <c r="B1610" s="5">
        <v>45933</v>
      </c>
      <c r="C1610" s="15">
        <f>WEEKNUM(Orders[[#This Row],[OrderDate]])</f>
        <v>40</v>
      </c>
      <c r="D1610" s="15" t="str">
        <f>TEXT(Orders[[#This Row],[OrderDate]],"mmmm")</f>
        <v>October</v>
      </c>
      <c r="E1610" s="4" t="s">
        <v>163</v>
      </c>
      <c r="F1610" s="4" t="s">
        <v>189</v>
      </c>
      <c r="G1610" s="4">
        <v>4</v>
      </c>
      <c r="H1610" s="12">
        <v>6366.7999999999993</v>
      </c>
      <c r="I1610" s="13">
        <v>5411.78</v>
      </c>
      <c r="J1610" s="13">
        <f>Orders[[#This Row],[Quantity]]*Orders[[#This Row],[Selling Price]]</f>
        <v>25467.199999999997</v>
      </c>
      <c r="K1610" s="13">
        <f>Orders[[#This Row],[Quantity]]*Orders[[#This Row],[Cost Price]]</f>
        <v>21647.119999999999</v>
      </c>
      <c r="L1610" s="13">
        <f>Orders[[#This Row],[Revenue]]-Orders[[#This Row],[Expenses]]</f>
        <v>3820.0799999999981</v>
      </c>
      <c r="M1610" t="s">
        <v>2218</v>
      </c>
      <c r="N1610" t="str">
        <f>_xlfn.XLOOKUP(Orders[[#This Row],[CustomerID]],Customers[CustomerID],Customers[CustomerName])</f>
        <v>Folasade Danladi</v>
      </c>
      <c r="O1610" t="str">
        <f>_xlfn.XLOOKUP(Orders[[#This Row],[CustomerID]],Customers[CustomerID],Customers[City])</f>
        <v>Texas</v>
      </c>
      <c r="P1610" t="str">
        <f>_xlfn.XLOOKUP(Orders[[#This Row],[CustomerID]],Customers[CustomerID],Customers[Gender])</f>
        <v>Female</v>
      </c>
      <c r="Q1610">
        <f>_xlfn.XLOOKUP(Orders[[#This Row],[CustomerID]],Customers[CustomerID],Customers[CustomerAge])</f>
        <v>32</v>
      </c>
      <c r="R1610" t="str">
        <f>IF(Orders[[#This Row],[CustomerAge]]&gt;=35, "Older", "Young")</f>
        <v>Young</v>
      </c>
      <c r="S1610" t="str">
        <f>_xlfn.XLOOKUP(Orders[[#This Row],[ProductID]],Products[ProductID],Products[ProductName])</f>
        <v>Scrabble</v>
      </c>
      <c r="T1610" t="str">
        <f>_xlfn.XLOOKUP(Orders[[#This Row],[ProductID]],Products[ProductID],Products[Category])</f>
        <v>Games</v>
      </c>
    </row>
    <row r="1611" spans="1:20" x14ac:dyDescent="0.25">
      <c r="A1611" s="4" t="s">
        <v>1800</v>
      </c>
      <c r="B1611" s="5">
        <v>46001</v>
      </c>
      <c r="C1611" s="15">
        <f>WEEKNUM(Orders[[#This Row],[OrderDate]])</f>
        <v>50</v>
      </c>
      <c r="D1611" s="15" t="str">
        <f>TEXT(Orders[[#This Row],[OrderDate]],"mmmm")</f>
        <v>December</v>
      </c>
      <c r="E1611" s="4" t="s">
        <v>184</v>
      </c>
      <c r="F1611" s="4" t="s">
        <v>353</v>
      </c>
      <c r="G1611" s="4">
        <v>1</v>
      </c>
      <c r="H1611" s="12">
        <v>10508.199999999999</v>
      </c>
      <c r="I1611" s="13">
        <v>8931.9699999999993</v>
      </c>
      <c r="J1611" s="13">
        <f>Orders[[#This Row],[Quantity]]*Orders[[#This Row],[Selling Price]]</f>
        <v>10508.199999999999</v>
      </c>
      <c r="K1611" s="13">
        <f>Orders[[#This Row],[Quantity]]*Orders[[#This Row],[Cost Price]]</f>
        <v>8931.9699999999993</v>
      </c>
      <c r="L1611" s="13">
        <f>Orders[[#This Row],[Revenue]]-Orders[[#This Row],[Expenses]]</f>
        <v>1576.2299999999996</v>
      </c>
      <c r="M1611" t="s">
        <v>2205</v>
      </c>
      <c r="N1611" t="str">
        <f>_xlfn.XLOOKUP(Orders[[#This Row],[CustomerID]],Customers[CustomerID],Customers[CustomerName])</f>
        <v>Ngozi Obi</v>
      </c>
      <c r="O1611" t="str">
        <f>_xlfn.XLOOKUP(Orders[[#This Row],[CustomerID]],Customers[CustomerID],Customers[City])</f>
        <v>Washington</v>
      </c>
      <c r="P1611" t="str">
        <f>_xlfn.XLOOKUP(Orders[[#This Row],[CustomerID]],Customers[CustomerID],Customers[Gender])</f>
        <v>Female</v>
      </c>
      <c r="Q1611">
        <f>_xlfn.XLOOKUP(Orders[[#This Row],[CustomerID]],Customers[CustomerID],Customers[CustomerAge])</f>
        <v>32</v>
      </c>
      <c r="R1611" t="str">
        <f>IF(Orders[[#This Row],[CustomerAge]]&gt;=35, "Older", "Young")</f>
        <v>Young</v>
      </c>
      <c r="S1611" t="str">
        <f>_xlfn.XLOOKUP(Orders[[#This Row],[ProductID]],Products[ProductID],Products[ProductName])</f>
        <v>Silver Earrings And Necklaces</v>
      </c>
      <c r="T1611" t="str">
        <f>_xlfn.XLOOKUP(Orders[[#This Row],[ProductID]],Products[ProductID],Products[Category])</f>
        <v>Accessories</v>
      </c>
    </row>
    <row r="1612" spans="1:20" x14ac:dyDescent="0.25">
      <c r="A1612" s="4" t="s">
        <v>1801</v>
      </c>
      <c r="B1612" s="5">
        <v>45953</v>
      </c>
      <c r="C1612" s="15">
        <f>WEEKNUM(Orders[[#This Row],[OrderDate]])</f>
        <v>43</v>
      </c>
      <c r="D1612" s="15" t="str">
        <f>TEXT(Orders[[#This Row],[OrderDate]],"mmmm")</f>
        <v>October</v>
      </c>
      <c r="E1612" s="4" t="s">
        <v>223</v>
      </c>
      <c r="F1612" s="4" t="s">
        <v>28</v>
      </c>
      <c r="G1612" s="4">
        <v>4</v>
      </c>
      <c r="H1612" s="12">
        <v>2102.1</v>
      </c>
      <c r="I1612" s="13">
        <v>1786.7849999999999</v>
      </c>
      <c r="J1612" s="13">
        <f>Orders[[#This Row],[Quantity]]*Orders[[#This Row],[Selling Price]]</f>
        <v>8408.4</v>
      </c>
      <c r="K1612" s="13">
        <f>Orders[[#This Row],[Quantity]]*Orders[[#This Row],[Cost Price]]</f>
        <v>7147.1399999999994</v>
      </c>
      <c r="L1612" s="13">
        <f>Orders[[#This Row],[Revenue]]-Orders[[#This Row],[Expenses]]</f>
        <v>1261.2600000000002</v>
      </c>
      <c r="M1612" t="s">
        <v>2197</v>
      </c>
      <c r="N1612" t="str">
        <f>_xlfn.XLOOKUP(Orders[[#This Row],[CustomerID]],Customers[CustomerID],Customers[CustomerName])</f>
        <v>Blessing Danladi</v>
      </c>
      <c r="O1612" t="str">
        <f>_xlfn.XLOOKUP(Orders[[#This Row],[CustomerID]],Customers[CustomerID],Customers[City])</f>
        <v>Washington</v>
      </c>
      <c r="P1612" t="str">
        <f>_xlfn.XLOOKUP(Orders[[#This Row],[CustomerID]],Customers[CustomerID],Customers[Gender])</f>
        <v>Female</v>
      </c>
      <c r="Q1612">
        <f>_xlfn.XLOOKUP(Orders[[#This Row],[CustomerID]],Customers[CustomerID],Customers[CustomerAge])</f>
        <v>20</v>
      </c>
      <c r="R1612" t="str">
        <f>IF(Orders[[#This Row],[CustomerAge]]&gt;=35, "Older", "Young")</f>
        <v>Young</v>
      </c>
      <c r="S1612" t="str">
        <f>_xlfn.XLOOKUP(Orders[[#This Row],[ProductID]],Products[ProductID],Products[ProductName])</f>
        <v>Sneakers</v>
      </c>
      <c r="T1612" t="str">
        <f>_xlfn.XLOOKUP(Orders[[#This Row],[ProductID]],Products[ProductID],Products[Category])</f>
        <v>Sports</v>
      </c>
    </row>
    <row r="1613" spans="1:20" x14ac:dyDescent="0.25">
      <c r="A1613" s="4" t="s">
        <v>1802</v>
      </c>
      <c r="B1613" s="5">
        <v>45962</v>
      </c>
      <c r="C1613" s="15">
        <f>WEEKNUM(Orders[[#This Row],[OrderDate]])</f>
        <v>44</v>
      </c>
      <c r="D1613" s="15" t="str">
        <f>TEXT(Orders[[#This Row],[OrderDate]],"mmmm")</f>
        <v>November</v>
      </c>
      <c r="E1613" s="4" t="s">
        <v>19</v>
      </c>
      <c r="F1613" s="4" t="s">
        <v>168</v>
      </c>
      <c r="G1613" s="4">
        <v>7</v>
      </c>
      <c r="H1613" s="12">
        <v>9157.4</v>
      </c>
      <c r="I1613" s="13">
        <v>7783.79</v>
      </c>
      <c r="J1613" s="13">
        <f>Orders[[#This Row],[Quantity]]*Orders[[#This Row],[Selling Price]]</f>
        <v>64101.799999999996</v>
      </c>
      <c r="K1613" s="13">
        <f>Orders[[#This Row],[Quantity]]*Orders[[#This Row],[Cost Price]]</f>
        <v>54486.53</v>
      </c>
      <c r="L1613" s="13">
        <f>Orders[[#This Row],[Revenue]]-Orders[[#This Row],[Expenses]]</f>
        <v>9615.2699999999968</v>
      </c>
      <c r="M1613" t="s">
        <v>2210</v>
      </c>
      <c r="N1613" t="str">
        <f>_xlfn.XLOOKUP(Orders[[#This Row],[CustomerID]],Customers[CustomerID],Customers[CustomerName])</f>
        <v>Obi Adeyemi</v>
      </c>
      <c r="O1613" t="str">
        <f>_xlfn.XLOOKUP(Orders[[#This Row],[CustomerID]],Customers[CustomerID],Customers[City])</f>
        <v>California</v>
      </c>
      <c r="P1613" t="str">
        <f>_xlfn.XLOOKUP(Orders[[#This Row],[CustomerID]],Customers[CustomerID],Customers[Gender])</f>
        <v>Male</v>
      </c>
      <c r="Q1613">
        <f>_xlfn.XLOOKUP(Orders[[#This Row],[CustomerID]],Customers[CustomerID],Customers[CustomerAge])</f>
        <v>24</v>
      </c>
      <c r="R1613" t="str">
        <f>IF(Orders[[#This Row],[CustomerAge]]&gt;=35, "Older", "Young")</f>
        <v>Young</v>
      </c>
      <c r="S1613" t="str">
        <f>_xlfn.XLOOKUP(Orders[[#This Row],[ProductID]],Products[ProductID],Products[ProductName])</f>
        <v>Dumb Bells</v>
      </c>
      <c r="T1613" t="str">
        <f>_xlfn.XLOOKUP(Orders[[#This Row],[ProductID]],Products[ProductID],Products[Category])</f>
        <v>Gym</v>
      </c>
    </row>
    <row r="1614" spans="1:20" x14ac:dyDescent="0.25">
      <c r="A1614" s="4" t="s">
        <v>1803</v>
      </c>
      <c r="B1614" s="5">
        <v>45987</v>
      </c>
      <c r="C1614" s="15">
        <f>WEEKNUM(Orders[[#This Row],[OrderDate]])</f>
        <v>48</v>
      </c>
      <c r="D1614" s="15" t="str">
        <f>TEXT(Orders[[#This Row],[OrderDate]],"mmmm")</f>
        <v>November</v>
      </c>
      <c r="E1614" s="4" t="s">
        <v>36</v>
      </c>
      <c r="F1614" s="4" t="s">
        <v>31</v>
      </c>
      <c r="G1614" s="4">
        <v>7</v>
      </c>
      <c r="H1614" s="12">
        <v>14922.4</v>
      </c>
      <c r="I1614" s="13">
        <v>12684.04</v>
      </c>
      <c r="J1614" s="13">
        <f>Orders[[#This Row],[Quantity]]*Orders[[#This Row],[Selling Price]]</f>
        <v>104456.8</v>
      </c>
      <c r="K1614" s="13">
        <f>Orders[[#This Row],[Quantity]]*Orders[[#This Row],[Cost Price]]</f>
        <v>88788.28</v>
      </c>
      <c r="L1614" s="13">
        <f>Orders[[#This Row],[Revenue]]-Orders[[#This Row],[Expenses]]</f>
        <v>15668.520000000004</v>
      </c>
      <c r="M1614" t="s">
        <v>2219</v>
      </c>
      <c r="N1614" t="str">
        <f>_xlfn.XLOOKUP(Orders[[#This Row],[CustomerID]],Customers[CustomerID],Customers[CustomerName])</f>
        <v>Jide Eze</v>
      </c>
      <c r="O1614" t="str">
        <f>_xlfn.XLOOKUP(Orders[[#This Row],[CustomerID]],Customers[CustomerID],Customers[City])</f>
        <v>California</v>
      </c>
      <c r="P1614" t="str">
        <f>_xlfn.XLOOKUP(Orders[[#This Row],[CustomerID]],Customers[CustomerID],Customers[Gender])</f>
        <v>Male</v>
      </c>
      <c r="Q1614">
        <f>_xlfn.XLOOKUP(Orders[[#This Row],[CustomerID]],Customers[CustomerID],Customers[CustomerAge])</f>
        <v>21</v>
      </c>
      <c r="R1614" t="str">
        <f>IF(Orders[[#This Row],[CustomerAge]]&gt;=35, "Older", "Young")</f>
        <v>Young</v>
      </c>
      <c r="S1614" t="str">
        <f>_xlfn.XLOOKUP(Orders[[#This Row],[ProductID]],Products[ProductID],Products[ProductName])</f>
        <v>Kids Games</v>
      </c>
      <c r="T1614" t="str">
        <f>_xlfn.XLOOKUP(Orders[[#This Row],[ProductID]],Products[ProductID],Products[Category])</f>
        <v>Games</v>
      </c>
    </row>
    <row r="1615" spans="1:20" x14ac:dyDescent="0.25">
      <c r="A1615" s="4" t="s">
        <v>1804</v>
      </c>
      <c r="B1615" s="5">
        <v>45952</v>
      </c>
      <c r="C1615" s="15">
        <f>WEEKNUM(Orders[[#This Row],[OrderDate]])</f>
        <v>43</v>
      </c>
      <c r="D1615" s="15" t="str">
        <f>TEXT(Orders[[#This Row],[OrderDate]],"mmmm")</f>
        <v>October</v>
      </c>
      <c r="E1615" s="4" t="s">
        <v>311</v>
      </c>
      <c r="F1615" s="4" t="s">
        <v>31</v>
      </c>
      <c r="G1615" s="4">
        <v>4</v>
      </c>
      <c r="H1615" s="12">
        <v>4492.6000000000004</v>
      </c>
      <c r="I1615" s="13">
        <v>3818.7100000000005</v>
      </c>
      <c r="J1615" s="13">
        <f>Orders[[#This Row],[Quantity]]*Orders[[#This Row],[Selling Price]]</f>
        <v>17970.400000000001</v>
      </c>
      <c r="K1615" s="13">
        <f>Orders[[#This Row],[Quantity]]*Orders[[#This Row],[Cost Price]]</f>
        <v>15274.840000000002</v>
      </c>
      <c r="L1615" s="13">
        <f>Orders[[#This Row],[Revenue]]-Orders[[#This Row],[Expenses]]</f>
        <v>2695.5599999999995</v>
      </c>
      <c r="M1615" t="s">
        <v>2200</v>
      </c>
      <c r="N1615" t="str">
        <f>_xlfn.XLOOKUP(Orders[[#This Row],[CustomerID]],Customers[CustomerID],Customers[CustomerName])</f>
        <v>Bisi Bello</v>
      </c>
      <c r="O1615" t="str">
        <f>_xlfn.XLOOKUP(Orders[[#This Row],[CustomerID]],Customers[CustomerID],Customers[City])</f>
        <v>Georgia</v>
      </c>
      <c r="P1615" t="str">
        <f>_xlfn.XLOOKUP(Orders[[#This Row],[CustomerID]],Customers[CustomerID],Customers[Gender])</f>
        <v>Female</v>
      </c>
      <c r="Q1615">
        <f>_xlfn.XLOOKUP(Orders[[#This Row],[CustomerID]],Customers[CustomerID],Customers[CustomerAge])</f>
        <v>31</v>
      </c>
      <c r="R1615" t="str">
        <f>IF(Orders[[#This Row],[CustomerAge]]&gt;=35, "Older", "Young")</f>
        <v>Young</v>
      </c>
      <c r="S1615" t="str">
        <f>_xlfn.XLOOKUP(Orders[[#This Row],[ProductID]],Products[ProductID],Products[ProductName])</f>
        <v>Kids Games</v>
      </c>
      <c r="T1615" t="str">
        <f>_xlfn.XLOOKUP(Orders[[#This Row],[ProductID]],Products[ProductID],Products[Category])</f>
        <v>Games</v>
      </c>
    </row>
    <row r="1616" spans="1:20" x14ac:dyDescent="0.25">
      <c r="A1616" s="4" t="s">
        <v>1805</v>
      </c>
      <c r="B1616" s="5">
        <v>45940</v>
      </c>
      <c r="C1616" s="15">
        <f>WEEKNUM(Orders[[#This Row],[OrderDate]])</f>
        <v>41</v>
      </c>
      <c r="D1616" s="15" t="str">
        <f>TEXT(Orders[[#This Row],[OrderDate]],"mmmm")</f>
        <v>October</v>
      </c>
      <c r="E1616" s="4" t="s">
        <v>198</v>
      </c>
      <c r="F1616" s="4" t="s">
        <v>46</v>
      </c>
      <c r="G1616" s="4">
        <v>7</v>
      </c>
      <c r="H1616" s="12">
        <v>16557.599999999999</v>
      </c>
      <c r="I1616" s="13">
        <v>14073.96</v>
      </c>
      <c r="J1616" s="13">
        <f>Orders[[#This Row],[Quantity]]*Orders[[#This Row],[Selling Price]]</f>
        <v>115903.19999999998</v>
      </c>
      <c r="K1616" s="13">
        <f>Orders[[#This Row],[Quantity]]*Orders[[#This Row],[Cost Price]]</f>
        <v>98517.72</v>
      </c>
      <c r="L1616" s="13">
        <f>Orders[[#This Row],[Revenue]]-Orders[[#This Row],[Expenses]]</f>
        <v>17385.479999999981</v>
      </c>
      <c r="M1616" t="s">
        <v>2192</v>
      </c>
      <c r="N1616" t="str">
        <f>_xlfn.XLOOKUP(Orders[[#This Row],[CustomerID]],Customers[CustomerID],Customers[CustomerName])</f>
        <v>Blessing Danladi</v>
      </c>
      <c r="O1616" t="str">
        <f>_xlfn.XLOOKUP(Orders[[#This Row],[CustomerID]],Customers[CustomerID],Customers[City])</f>
        <v>Texas</v>
      </c>
      <c r="P1616" t="str">
        <f>_xlfn.XLOOKUP(Orders[[#This Row],[CustomerID]],Customers[CustomerID],Customers[Gender])</f>
        <v>Female</v>
      </c>
      <c r="Q1616">
        <f>_xlfn.XLOOKUP(Orders[[#This Row],[CustomerID]],Customers[CustomerID],Customers[CustomerAge])</f>
        <v>19</v>
      </c>
      <c r="R1616" t="str">
        <f>IF(Orders[[#This Row],[CustomerAge]]&gt;=35, "Older", "Young")</f>
        <v>Young</v>
      </c>
      <c r="S1616" t="str">
        <f>_xlfn.XLOOKUP(Orders[[#This Row],[ProductID]],Products[ProductID],Products[ProductName])</f>
        <v>Turtle Neck</v>
      </c>
      <c r="T1616" t="str">
        <f>_xlfn.XLOOKUP(Orders[[#This Row],[ProductID]],Products[ProductID],Products[Category])</f>
        <v>Clothing</v>
      </c>
    </row>
    <row r="1617" spans="1:20" x14ac:dyDescent="0.25">
      <c r="A1617" s="4" t="s">
        <v>1806</v>
      </c>
      <c r="B1617" s="5">
        <v>46022</v>
      </c>
      <c r="C1617" s="15">
        <f>WEEKNUM(Orders[[#This Row],[OrderDate]])</f>
        <v>53</v>
      </c>
      <c r="D1617" s="15" t="str">
        <f>TEXT(Orders[[#This Row],[OrderDate]],"mmmm")</f>
        <v>December</v>
      </c>
      <c r="E1617" s="4" t="s">
        <v>514</v>
      </c>
      <c r="F1617" s="4" t="s">
        <v>37</v>
      </c>
      <c r="G1617" s="4">
        <v>4</v>
      </c>
      <c r="H1617" s="12">
        <v>12520.4</v>
      </c>
      <c r="I1617" s="13">
        <v>10642.34</v>
      </c>
      <c r="J1617" s="13">
        <f>Orders[[#This Row],[Quantity]]*Orders[[#This Row],[Selling Price]]</f>
        <v>50081.599999999999</v>
      </c>
      <c r="K1617" s="13">
        <f>Orders[[#This Row],[Quantity]]*Orders[[#This Row],[Cost Price]]</f>
        <v>42569.36</v>
      </c>
      <c r="L1617" s="13">
        <f>Orders[[#This Row],[Revenue]]-Orders[[#This Row],[Expenses]]</f>
        <v>7512.239999999998</v>
      </c>
      <c r="M1617" t="s">
        <v>2194</v>
      </c>
      <c r="N1617" t="str">
        <f>_xlfn.XLOOKUP(Orders[[#This Row],[CustomerID]],Customers[CustomerID],Customers[CustomerName])</f>
        <v>Ibrahim Okonkwo</v>
      </c>
      <c r="O1617" t="str">
        <f>_xlfn.XLOOKUP(Orders[[#This Row],[CustomerID]],Customers[CustomerID],Customers[City])</f>
        <v>Florida</v>
      </c>
      <c r="P1617" t="str">
        <f>_xlfn.XLOOKUP(Orders[[#This Row],[CustomerID]],Customers[CustomerID],Customers[Gender])</f>
        <v>Male</v>
      </c>
      <c r="Q1617">
        <f>_xlfn.XLOOKUP(Orders[[#This Row],[CustomerID]],Customers[CustomerID],Customers[CustomerAge])</f>
        <v>28</v>
      </c>
      <c r="R1617" t="str">
        <f>IF(Orders[[#This Row],[CustomerAge]]&gt;=35, "Older", "Young")</f>
        <v>Young</v>
      </c>
      <c r="S1617" t="str">
        <f>_xlfn.XLOOKUP(Orders[[#This Row],[ProductID]],Products[ProductID],Products[ProductName])</f>
        <v>Iron</v>
      </c>
      <c r="T1617" t="str">
        <f>_xlfn.XLOOKUP(Orders[[#This Row],[ProductID]],Products[ProductID],Products[Category])</f>
        <v>Electronics</v>
      </c>
    </row>
    <row r="1618" spans="1:20" x14ac:dyDescent="0.25">
      <c r="A1618" s="4" t="s">
        <v>1807</v>
      </c>
      <c r="B1618" s="5">
        <v>45968</v>
      </c>
      <c r="C1618" s="15">
        <f>WEEKNUM(Orders[[#This Row],[OrderDate]])</f>
        <v>45</v>
      </c>
      <c r="D1618" s="15" t="str">
        <f>TEXT(Orders[[#This Row],[OrderDate]],"mmmm")</f>
        <v>November</v>
      </c>
      <c r="E1618" s="4" t="s">
        <v>96</v>
      </c>
      <c r="F1618" s="4" t="s">
        <v>15</v>
      </c>
      <c r="G1618" s="4">
        <v>10</v>
      </c>
      <c r="H1618" s="12">
        <v>13887.5</v>
      </c>
      <c r="I1618" s="13">
        <v>11804.375</v>
      </c>
      <c r="J1618" s="13">
        <f>Orders[[#This Row],[Quantity]]*Orders[[#This Row],[Selling Price]]</f>
        <v>138875</v>
      </c>
      <c r="K1618" s="13">
        <f>Orders[[#This Row],[Quantity]]*Orders[[#This Row],[Cost Price]]</f>
        <v>118043.75</v>
      </c>
      <c r="L1618" s="13">
        <f>Orders[[#This Row],[Revenue]]-Orders[[#This Row],[Expenses]]</f>
        <v>20831.25</v>
      </c>
      <c r="M1618" t="s">
        <v>2201</v>
      </c>
      <c r="N1618" t="str">
        <f>_xlfn.XLOOKUP(Orders[[#This Row],[CustomerID]],Customers[CustomerID],Customers[CustomerName])</f>
        <v>Amina Abubakar</v>
      </c>
      <c r="O1618" t="str">
        <f>_xlfn.XLOOKUP(Orders[[#This Row],[CustomerID]],Customers[CustomerID],Customers[City])</f>
        <v>Texas</v>
      </c>
      <c r="P1618" t="str">
        <f>_xlfn.XLOOKUP(Orders[[#This Row],[CustomerID]],Customers[CustomerID],Customers[Gender])</f>
        <v>Female</v>
      </c>
      <c r="Q1618">
        <f>_xlfn.XLOOKUP(Orders[[#This Row],[CustomerID]],Customers[CustomerID],Customers[CustomerAge])</f>
        <v>35</v>
      </c>
      <c r="R1618" t="str">
        <f>IF(Orders[[#This Row],[CustomerAge]]&gt;=35, "Older", "Young")</f>
        <v>Older</v>
      </c>
      <c r="S1618" t="str">
        <f>_xlfn.XLOOKUP(Orders[[#This Row],[ProductID]],Products[ProductID],Products[ProductName])</f>
        <v>Monopoly</v>
      </c>
      <c r="T1618" t="str">
        <f>_xlfn.XLOOKUP(Orders[[#This Row],[ProductID]],Products[ProductID],Products[Category])</f>
        <v>Games</v>
      </c>
    </row>
    <row r="1619" spans="1:20" x14ac:dyDescent="0.25">
      <c r="A1619" s="4" t="s">
        <v>1808</v>
      </c>
      <c r="B1619" s="5">
        <v>46014</v>
      </c>
      <c r="C1619" s="15">
        <f>WEEKNUM(Orders[[#This Row],[OrderDate]])</f>
        <v>52</v>
      </c>
      <c r="D1619" s="15" t="str">
        <f>TEXT(Orders[[#This Row],[OrderDate]],"mmmm")</f>
        <v>December</v>
      </c>
      <c r="E1619" s="4" t="s">
        <v>444</v>
      </c>
      <c r="F1619" s="4" t="s">
        <v>25</v>
      </c>
      <c r="G1619" s="4">
        <v>2</v>
      </c>
      <c r="H1619" s="12">
        <v>15737.3</v>
      </c>
      <c r="I1619" s="13">
        <v>13376.705</v>
      </c>
      <c r="J1619" s="13">
        <f>Orders[[#This Row],[Quantity]]*Orders[[#This Row],[Selling Price]]</f>
        <v>31474.6</v>
      </c>
      <c r="K1619" s="13">
        <f>Orders[[#This Row],[Quantity]]*Orders[[#This Row],[Cost Price]]</f>
        <v>26753.41</v>
      </c>
      <c r="L1619" s="13">
        <f>Orders[[#This Row],[Revenue]]-Orders[[#This Row],[Expenses]]</f>
        <v>4721.1899999999987</v>
      </c>
      <c r="M1619" t="s">
        <v>2209</v>
      </c>
      <c r="N1619" t="str">
        <f>_xlfn.XLOOKUP(Orders[[#This Row],[CustomerID]],Customers[CustomerID],Customers[CustomerName])</f>
        <v>Blessing Eze</v>
      </c>
      <c r="O1619" t="str">
        <f>_xlfn.XLOOKUP(Orders[[#This Row],[CustomerID]],Customers[CustomerID],Customers[City])</f>
        <v>Texas</v>
      </c>
      <c r="P1619" t="str">
        <f>_xlfn.XLOOKUP(Orders[[#This Row],[CustomerID]],Customers[CustomerID],Customers[Gender])</f>
        <v>Female</v>
      </c>
      <c r="Q1619">
        <f>_xlfn.XLOOKUP(Orders[[#This Row],[CustomerID]],Customers[CustomerID],Customers[CustomerAge])</f>
        <v>24</v>
      </c>
      <c r="R1619" t="str">
        <f>IF(Orders[[#This Row],[CustomerAge]]&gt;=35, "Older", "Young")</f>
        <v>Young</v>
      </c>
      <c r="S1619" t="str">
        <f>_xlfn.XLOOKUP(Orders[[#This Row],[ProductID]],Products[ProductID],Products[ProductName])</f>
        <v>Gold Rings</v>
      </c>
      <c r="T1619" t="str">
        <f>_xlfn.XLOOKUP(Orders[[#This Row],[ProductID]],Products[ProductID],Products[Category])</f>
        <v>Accessories</v>
      </c>
    </row>
    <row r="1620" spans="1:20" x14ac:dyDescent="0.25">
      <c r="A1620" s="4" t="s">
        <v>1809</v>
      </c>
      <c r="B1620" s="5">
        <v>45954</v>
      </c>
      <c r="C1620" s="15">
        <f>WEEKNUM(Orders[[#This Row],[OrderDate]])</f>
        <v>43</v>
      </c>
      <c r="D1620" s="15" t="str">
        <f>TEXT(Orders[[#This Row],[OrderDate]],"mmmm")</f>
        <v>October</v>
      </c>
      <c r="E1620" s="4" t="s">
        <v>43</v>
      </c>
      <c r="F1620" s="4" t="s">
        <v>168</v>
      </c>
      <c r="G1620" s="4">
        <v>4</v>
      </c>
      <c r="H1620" s="12">
        <v>17682.8</v>
      </c>
      <c r="I1620" s="13">
        <v>15030.38</v>
      </c>
      <c r="J1620" s="13">
        <f>Orders[[#This Row],[Quantity]]*Orders[[#This Row],[Selling Price]]</f>
        <v>70731.199999999997</v>
      </c>
      <c r="K1620" s="13">
        <f>Orders[[#This Row],[Quantity]]*Orders[[#This Row],[Cost Price]]</f>
        <v>60121.52</v>
      </c>
      <c r="L1620" s="13">
        <f>Orders[[#This Row],[Revenue]]-Orders[[#This Row],[Expenses]]</f>
        <v>10609.68</v>
      </c>
      <c r="M1620" t="s">
        <v>2203</v>
      </c>
      <c r="N1620" t="str">
        <f>_xlfn.XLOOKUP(Orders[[#This Row],[CustomerID]],Customers[CustomerID],Customers[CustomerName])</f>
        <v>Mustafa Danladi</v>
      </c>
      <c r="O1620" t="str">
        <f>_xlfn.XLOOKUP(Orders[[#This Row],[CustomerID]],Customers[CustomerID],Customers[City])</f>
        <v>Georgia</v>
      </c>
      <c r="P1620" t="str">
        <f>_xlfn.XLOOKUP(Orders[[#This Row],[CustomerID]],Customers[CustomerID],Customers[Gender])</f>
        <v>Male</v>
      </c>
      <c r="Q1620">
        <f>_xlfn.XLOOKUP(Orders[[#This Row],[CustomerID]],Customers[CustomerID],Customers[CustomerAge])</f>
        <v>49</v>
      </c>
      <c r="R1620" t="str">
        <f>IF(Orders[[#This Row],[CustomerAge]]&gt;=35, "Older", "Young")</f>
        <v>Older</v>
      </c>
      <c r="S1620" t="str">
        <f>_xlfn.XLOOKUP(Orders[[#This Row],[ProductID]],Products[ProductID],Products[ProductName])</f>
        <v>Dumb Bells</v>
      </c>
      <c r="T1620" t="str">
        <f>_xlfn.XLOOKUP(Orders[[#This Row],[ProductID]],Products[ProductID],Products[Category])</f>
        <v>Gym</v>
      </c>
    </row>
    <row r="1621" spans="1:20" x14ac:dyDescent="0.25">
      <c r="A1621" s="4" t="s">
        <v>1810</v>
      </c>
      <c r="B1621" s="5">
        <v>46014</v>
      </c>
      <c r="C1621" s="15">
        <f>WEEKNUM(Orders[[#This Row],[OrderDate]])</f>
        <v>52</v>
      </c>
      <c r="D1621" s="15" t="str">
        <f>TEXT(Orders[[#This Row],[OrderDate]],"mmmm")</f>
        <v>December</v>
      </c>
      <c r="E1621" s="4" t="s">
        <v>14</v>
      </c>
      <c r="F1621" s="4" t="s">
        <v>23</v>
      </c>
      <c r="G1621" s="4">
        <v>7</v>
      </c>
      <c r="H1621" s="12">
        <v>17460.599999999999</v>
      </c>
      <c r="I1621" s="13">
        <v>14841.509999999998</v>
      </c>
      <c r="J1621" s="13">
        <f>Orders[[#This Row],[Quantity]]*Orders[[#This Row],[Selling Price]]</f>
        <v>122224.19999999998</v>
      </c>
      <c r="K1621" s="13">
        <f>Orders[[#This Row],[Quantity]]*Orders[[#This Row],[Cost Price]]</f>
        <v>103890.56999999999</v>
      </c>
      <c r="L1621" s="13">
        <f>Orders[[#This Row],[Revenue]]-Orders[[#This Row],[Expenses]]</f>
        <v>18333.62999999999</v>
      </c>
      <c r="M1621" t="s">
        <v>2207</v>
      </c>
      <c r="N1621" t="str">
        <f>_xlfn.XLOOKUP(Orders[[#This Row],[CustomerID]],Customers[CustomerID],Customers[CustomerName])</f>
        <v>Abiola Igwe</v>
      </c>
      <c r="O1621" t="str">
        <f>_xlfn.XLOOKUP(Orders[[#This Row],[CustomerID]],Customers[CustomerID],Customers[City])</f>
        <v>Texas</v>
      </c>
      <c r="P1621" t="str">
        <f>_xlfn.XLOOKUP(Orders[[#This Row],[CustomerID]],Customers[CustomerID],Customers[Gender])</f>
        <v>Male</v>
      </c>
      <c r="Q1621">
        <f>_xlfn.XLOOKUP(Orders[[#This Row],[CustomerID]],Customers[CustomerID],Customers[CustomerAge])</f>
        <v>39</v>
      </c>
      <c r="R1621" t="str">
        <f>IF(Orders[[#This Row],[CustomerAge]]&gt;=35, "Older", "Young")</f>
        <v>Older</v>
      </c>
      <c r="S1621" t="str">
        <f>_xlfn.XLOOKUP(Orders[[#This Row],[ProductID]],Products[ProductID],Products[ProductName])</f>
        <v>Gym Gloves</v>
      </c>
      <c r="T1621" t="str">
        <f>_xlfn.XLOOKUP(Orders[[#This Row],[ProductID]],Products[ProductID],Products[Category])</f>
        <v>Gym</v>
      </c>
    </row>
    <row r="1622" spans="1:20" x14ac:dyDescent="0.25">
      <c r="A1622" s="4" t="s">
        <v>1811</v>
      </c>
      <c r="B1622" s="5">
        <v>45931</v>
      </c>
      <c r="C1622" s="15">
        <f>WEEKNUM(Orders[[#This Row],[OrderDate]])</f>
        <v>40</v>
      </c>
      <c r="D1622" s="15" t="str">
        <f>TEXT(Orders[[#This Row],[OrderDate]],"mmmm")</f>
        <v>October</v>
      </c>
      <c r="E1622" s="4" t="s">
        <v>225</v>
      </c>
      <c r="F1622" s="4" t="s">
        <v>60</v>
      </c>
      <c r="G1622" s="4">
        <v>7</v>
      </c>
      <c r="H1622" s="12">
        <v>8163.5</v>
      </c>
      <c r="I1622" s="13">
        <v>6938.9750000000004</v>
      </c>
      <c r="J1622" s="13">
        <f>Orders[[#This Row],[Quantity]]*Orders[[#This Row],[Selling Price]]</f>
        <v>57144.5</v>
      </c>
      <c r="K1622" s="13">
        <f>Orders[[#This Row],[Quantity]]*Orders[[#This Row],[Cost Price]]</f>
        <v>48572.825000000004</v>
      </c>
      <c r="L1622" s="13">
        <f>Orders[[#This Row],[Revenue]]-Orders[[#This Row],[Expenses]]</f>
        <v>8571.6749999999956</v>
      </c>
      <c r="M1622" t="s">
        <v>2194</v>
      </c>
      <c r="N1622" t="str">
        <f>_xlfn.XLOOKUP(Orders[[#This Row],[CustomerID]],Customers[CustomerID],Customers[CustomerName])</f>
        <v>Uche Danladi</v>
      </c>
      <c r="O1622" t="str">
        <f>_xlfn.XLOOKUP(Orders[[#This Row],[CustomerID]],Customers[CustomerID],Customers[City])</f>
        <v>Texas</v>
      </c>
      <c r="P1622" t="str">
        <f>_xlfn.XLOOKUP(Orders[[#This Row],[CustomerID]],Customers[CustomerID],Customers[Gender])</f>
        <v>Male</v>
      </c>
      <c r="Q1622">
        <f>_xlfn.XLOOKUP(Orders[[#This Row],[CustomerID]],Customers[CustomerID],Customers[CustomerAge])</f>
        <v>45</v>
      </c>
      <c r="R1622" t="str">
        <f>IF(Orders[[#This Row],[CustomerAge]]&gt;=35, "Older", "Young")</f>
        <v>Older</v>
      </c>
      <c r="S1622" t="str">
        <f>_xlfn.XLOOKUP(Orders[[#This Row],[ProductID]],Products[ProductID],Products[ProductName])</f>
        <v>Silver Rings</v>
      </c>
      <c r="T1622" t="str">
        <f>_xlfn.XLOOKUP(Orders[[#This Row],[ProductID]],Products[ProductID],Products[Category])</f>
        <v>Accessories</v>
      </c>
    </row>
    <row r="1623" spans="1:20" x14ac:dyDescent="0.25">
      <c r="A1623" s="4" t="s">
        <v>1812</v>
      </c>
      <c r="B1623" s="5">
        <v>46000</v>
      </c>
      <c r="C1623" s="15">
        <f>WEEKNUM(Orders[[#This Row],[OrderDate]])</f>
        <v>50</v>
      </c>
      <c r="D1623" s="15" t="str">
        <f>TEXT(Orders[[#This Row],[OrderDate]],"mmmm")</f>
        <v>December</v>
      </c>
      <c r="E1623" s="4" t="s">
        <v>201</v>
      </c>
      <c r="F1623" s="4" t="s">
        <v>120</v>
      </c>
      <c r="G1623" s="4">
        <v>3</v>
      </c>
      <c r="H1623" s="12">
        <v>16476.400000000001</v>
      </c>
      <c r="I1623" s="13">
        <v>14004.940000000002</v>
      </c>
      <c r="J1623" s="13">
        <f>Orders[[#This Row],[Quantity]]*Orders[[#This Row],[Selling Price]]</f>
        <v>49429.200000000004</v>
      </c>
      <c r="K1623" s="13">
        <f>Orders[[#This Row],[Quantity]]*Orders[[#This Row],[Cost Price]]</f>
        <v>42014.820000000007</v>
      </c>
      <c r="L1623" s="13">
        <f>Orders[[#This Row],[Revenue]]-Orders[[#This Row],[Expenses]]</f>
        <v>7414.3799999999974</v>
      </c>
      <c r="M1623" t="s">
        <v>2212</v>
      </c>
      <c r="N1623" t="str">
        <f>_xlfn.XLOOKUP(Orders[[#This Row],[CustomerID]],Customers[CustomerID],Customers[CustomerName])</f>
        <v>Sani Igwe</v>
      </c>
      <c r="O1623" t="str">
        <f>_xlfn.XLOOKUP(Orders[[#This Row],[CustomerID]],Customers[CustomerID],Customers[City])</f>
        <v>Georgia</v>
      </c>
      <c r="P1623" t="str">
        <f>_xlfn.XLOOKUP(Orders[[#This Row],[CustomerID]],Customers[CustomerID],Customers[Gender])</f>
        <v>Male</v>
      </c>
      <c r="Q1623">
        <f>_xlfn.XLOOKUP(Orders[[#This Row],[CustomerID]],Customers[CustomerID],Customers[CustomerAge])</f>
        <v>20</v>
      </c>
      <c r="R1623" t="str">
        <f>IF(Orders[[#This Row],[CustomerAge]]&gt;=35, "Older", "Young")</f>
        <v>Young</v>
      </c>
      <c r="S1623" t="str">
        <f>_xlfn.XLOOKUP(Orders[[#This Row],[ProductID]],Products[ProductID],Products[ProductName])</f>
        <v>Chess</v>
      </c>
      <c r="T1623" t="str">
        <f>_xlfn.XLOOKUP(Orders[[#This Row],[ProductID]],Products[ProductID],Products[Category])</f>
        <v>Games</v>
      </c>
    </row>
    <row r="1624" spans="1:20" x14ac:dyDescent="0.25">
      <c r="A1624" s="4" t="s">
        <v>1813</v>
      </c>
      <c r="B1624" s="5">
        <v>45991</v>
      </c>
      <c r="C1624" s="15">
        <f>WEEKNUM(Orders[[#This Row],[OrderDate]])</f>
        <v>49</v>
      </c>
      <c r="D1624" s="15" t="str">
        <f>TEXT(Orders[[#This Row],[OrderDate]],"mmmm")</f>
        <v>November</v>
      </c>
      <c r="E1624" s="4" t="s">
        <v>418</v>
      </c>
      <c r="F1624" s="4" t="s">
        <v>232</v>
      </c>
      <c r="G1624" s="4">
        <v>4</v>
      </c>
      <c r="H1624" s="12">
        <v>8378.4</v>
      </c>
      <c r="I1624" s="13">
        <v>7121.6399999999994</v>
      </c>
      <c r="J1624" s="13">
        <f>Orders[[#This Row],[Quantity]]*Orders[[#This Row],[Selling Price]]</f>
        <v>33513.599999999999</v>
      </c>
      <c r="K1624" s="13">
        <f>Orders[[#This Row],[Quantity]]*Orders[[#This Row],[Cost Price]]</f>
        <v>28486.559999999998</v>
      </c>
      <c r="L1624" s="13">
        <f>Orders[[#This Row],[Revenue]]-Orders[[#This Row],[Expenses]]</f>
        <v>5027.0400000000009</v>
      </c>
      <c r="M1624" t="s">
        <v>2220</v>
      </c>
      <c r="N1624" t="str">
        <f>_xlfn.XLOOKUP(Orders[[#This Row],[CustomerID]],Customers[CustomerID],Customers[CustomerName])</f>
        <v>Amina Danladi</v>
      </c>
      <c r="O1624" t="str">
        <f>_xlfn.XLOOKUP(Orders[[#This Row],[CustomerID]],Customers[CustomerID],Customers[City])</f>
        <v>Illinois</v>
      </c>
      <c r="P1624" t="str">
        <f>_xlfn.XLOOKUP(Orders[[#This Row],[CustomerID]],Customers[CustomerID],Customers[Gender])</f>
        <v>Female</v>
      </c>
      <c r="Q1624">
        <f>_xlfn.XLOOKUP(Orders[[#This Row],[CustomerID]],Customers[CustomerID],Customers[CustomerAge])</f>
        <v>20</v>
      </c>
      <c r="R1624" t="str">
        <f>IF(Orders[[#This Row],[CustomerAge]]&gt;=35, "Older", "Young")</f>
        <v>Young</v>
      </c>
      <c r="S1624" t="str">
        <f>_xlfn.XLOOKUP(Orders[[#This Row],[ProductID]],Products[ProductID],Products[ProductName])</f>
        <v>Ankara</v>
      </c>
      <c r="T1624" t="str">
        <f>_xlfn.XLOOKUP(Orders[[#This Row],[ProductID]],Products[ProductID],Products[Category])</f>
        <v>Clothing</v>
      </c>
    </row>
    <row r="1625" spans="1:20" x14ac:dyDescent="0.25">
      <c r="A1625" s="4" t="s">
        <v>1814</v>
      </c>
      <c r="B1625" s="5">
        <v>45951</v>
      </c>
      <c r="C1625" s="15">
        <f>WEEKNUM(Orders[[#This Row],[OrderDate]])</f>
        <v>43</v>
      </c>
      <c r="D1625" s="15" t="str">
        <f>TEXT(Orders[[#This Row],[OrderDate]],"mmmm")</f>
        <v>October</v>
      </c>
      <c r="E1625" s="4" t="s">
        <v>212</v>
      </c>
      <c r="F1625" s="4" t="s">
        <v>34</v>
      </c>
      <c r="G1625" s="4">
        <v>4</v>
      </c>
      <c r="H1625" s="12">
        <v>11698.900000000001</v>
      </c>
      <c r="I1625" s="13">
        <v>9944.0650000000005</v>
      </c>
      <c r="J1625" s="13">
        <f>Orders[[#This Row],[Quantity]]*Orders[[#This Row],[Selling Price]]</f>
        <v>46795.600000000006</v>
      </c>
      <c r="K1625" s="13">
        <f>Orders[[#This Row],[Quantity]]*Orders[[#This Row],[Cost Price]]</f>
        <v>39776.26</v>
      </c>
      <c r="L1625" s="13">
        <f>Orders[[#This Row],[Revenue]]-Orders[[#This Row],[Expenses]]</f>
        <v>7019.3400000000038</v>
      </c>
      <c r="M1625" t="s">
        <v>2217</v>
      </c>
      <c r="N1625" t="str">
        <f>_xlfn.XLOOKUP(Orders[[#This Row],[CustomerID]],Customers[CustomerID],Customers[CustomerName])</f>
        <v>Ngozi Ojo</v>
      </c>
      <c r="O1625" t="str">
        <f>_xlfn.XLOOKUP(Orders[[#This Row],[CustomerID]],Customers[CustomerID],Customers[City])</f>
        <v>Illinois</v>
      </c>
      <c r="P1625" t="str">
        <f>_xlfn.XLOOKUP(Orders[[#This Row],[CustomerID]],Customers[CustomerID],Customers[Gender])</f>
        <v>Female</v>
      </c>
      <c r="Q1625">
        <f>_xlfn.XLOOKUP(Orders[[#This Row],[CustomerID]],Customers[CustomerID],Customers[CustomerAge])</f>
        <v>53</v>
      </c>
      <c r="R1625" t="str">
        <f>IF(Orders[[#This Row],[CustomerAge]]&gt;=35, "Older", "Young")</f>
        <v>Older</v>
      </c>
      <c r="S1625" t="str">
        <f>_xlfn.XLOOKUP(Orders[[#This Row],[ProductID]],Products[ProductID],Products[ProductName])</f>
        <v>Gold Bracelets</v>
      </c>
      <c r="T1625" t="str">
        <f>_xlfn.XLOOKUP(Orders[[#This Row],[ProductID]],Products[ProductID],Products[Category])</f>
        <v>Accessories</v>
      </c>
    </row>
    <row r="1626" spans="1:20" x14ac:dyDescent="0.25">
      <c r="A1626" s="4" t="s">
        <v>1815</v>
      </c>
      <c r="B1626" s="5">
        <v>46021</v>
      </c>
      <c r="C1626" s="15">
        <f>WEEKNUM(Orders[[#This Row],[OrderDate]])</f>
        <v>53</v>
      </c>
      <c r="D1626" s="15" t="str">
        <f>TEXT(Orders[[#This Row],[OrderDate]],"mmmm")</f>
        <v>December</v>
      </c>
      <c r="E1626" s="4" t="s">
        <v>107</v>
      </c>
      <c r="F1626" s="4" t="s">
        <v>34</v>
      </c>
      <c r="G1626" s="4">
        <v>2</v>
      </c>
      <c r="H1626" s="12">
        <v>12608.599999999999</v>
      </c>
      <c r="I1626" s="13">
        <v>10717.31</v>
      </c>
      <c r="J1626" s="13">
        <f>Orders[[#This Row],[Quantity]]*Orders[[#This Row],[Selling Price]]</f>
        <v>25217.199999999997</v>
      </c>
      <c r="K1626" s="13">
        <f>Orders[[#This Row],[Quantity]]*Orders[[#This Row],[Cost Price]]</f>
        <v>21434.62</v>
      </c>
      <c r="L1626" s="13">
        <f>Orders[[#This Row],[Revenue]]-Orders[[#This Row],[Expenses]]</f>
        <v>3782.5799999999981</v>
      </c>
      <c r="M1626" t="s">
        <v>2192</v>
      </c>
      <c r="N1626" t="str">
        <f>_xlfn.XLOOKUP(Orders[[#This Row],[CustomerID]],Customers[CustomerID],Customers[CustomerName])</f>
        <v>Blessing Eze</v>
      </c>
      <c r="O1626" t="str">
        <f>_xlfn.XLOOKUP(Orders[[#This Row],[CustomerID]],Customers[CustomerID],Customers[City])</f>
        <v>Texas</v>
      </c>
      <c r="P1626" t="str">
        <f>_xlfn.XLOOKUP(Orders[[#This Row],[CustomerID]],Customers[CustomerID],Customers[Gender])</f>
        <v>Female</v>
      </c>
      <c r="Q1626">
        <f>_xlfn.XLOOKUP(Orders[[#This Row],[CustomerID]],Customers[CustomerID],Customers[CustomerAge])</f>
        <v>44</v>
      </c>
      <c r="R1626" t="str">
        <f>IF(Orders[[#This Row],[CustomerAge]]&gt;=35, "Older", "Young")</f>
        <v>Older</v>
      </c>
      <c r="S1626" t="str">
        <f>_xlfn.XLOOKUP(Orders[[#This Row],[ProductID]],Products[ProductID],Products[ProductName])</f>
        <v>Gold Bracelets</v>
      </c>
      <c r="T1626" t="str">
        <f>_xlfn.XLOOKUP(Orders[[#This Row],[ProductID]],Products[ProductID],Products[Category])</f>
        <v>Accessories</v>
      </c>
    </row>
    <row r="1627" spans="1:20" x14ac:dyDescent="0.25">
      <c r="A1627" s="4" t="s">
        <v>1816</v>
      </c>
      <c r="B1627" s="5">
        <v>45965</v>
      </c>
      <c r="C1627" s="15">
        <f>WEEKNUM(Orders[[#This Row],[OrderDate]])</f>
        <v>45</v>
      </c>
      <c r="D1627" s="15" t="str">
        <f>TEXT(Orders[[#This Row],[OrderDate]],"mmmm")</f>
        <v>November</v>
      </c>
      <c r="E1627" s="4" t="s">
        <v>33</v>
      </c>
      <c r="F1627" s="4" t="s">
        <v>31</v>
      </c>
      <c r="G1627" s="4">
        <v>6</v>
      </c>
      <c r="H1627" s="12">
        <v>10593.900000000001</v>
      </c>
      <c r="I1627" s="13">
        <v>9004.8150000000005</v>
      </c>
      <c r="J1627" s="13">
        <f>Orders[[#This Row],[Quantity]]*Orders[[#This Row],[Selling Price]]</f>
        <v>63563.400000000009</v>
      </c>
      <c r="K1627" s="13">
        <f>Orders[[#This Row],[Quantity]]*Orders[[#This Row],[Cost Price]]</f>
        <v>54028.89</v>
      </c>
      <c r="L1627" s="13">
        <f>Orders[[#This Row],[Revenue]]-Orders[[#This Row],[Expenses]]</f>
        <v>9534.5100000000093</v>
      </c>
      <c r="M1627" t="s">
        <v>2207</v>
      </c>
      <c r="N1627" t="str">
        <f>_xlfn.XLOOKUP(Orders[[#This Row],[CustomerID]],Customers[CustomerID],Customers[CustomerName])</f>
        <v>Okon Balogun</v>
      </c>
      <c r="O1627" t="str">
        <f>_xlfn.XLOOKUP(Orders[[#This Row],[CustomerID]],Customers[CustomerID],Customers[City])</f>
        <v>Texas</v>
      </c>
      <c r="P1627" t="str">
        <f>_xlfn.XLOOKUP(Orders[[#This Row],[CustomerID]],Customers[CustomerID],Customers[Gender])</f>
        <v>Male</v>
      </c>
      <c r="Q1627">
        <f>_xlfn.XLOOKUP(Orders[[#This Row],[CustomerID]],Customers[CustomerID],Customers[CustomerAge])</f>
        <v>28</v>
      </c>
      <c r="R1627" t="str">
        <f>IF(Orders[[#This Row],[CustomerAge]]&gt;=35, "Older", "Young")</f>
        <v>Young</v>
      </c>
      <c r="S1627" t="str">
        <f>_xlfn.XLOOKUP(Orders[[#This Row],[ProductID]],Products[ProductID],Products[ProductName])</f>
        <v>Kids Games</v>
      </c>
      <c r="T1627" t="str">
        <f>_xlfn.XLOOKUP(Orders[[#This Row],[ProductID]],Products[ProductID],Products[Category])</f>
        <v>Games</v>
      </c>
    </row>
    <row r="1628" spans="1:20" x14ac:dyDescent="0.25">
      <c r="A1628" s="4" t="s">
        <v>1817</v>
      </c>
      <c r="B1628" s="5">
        <v>46011</v>
      </c>
      <c r="C1628" s="15">
        <f>WEEKNUM(Orders[[#This Row],[OrderDate]])</f>
        <v>51</v>
      </c>
      <c r="D1628" s="15" t="str">
        <f>TEXT(Orders[[#This Row],[OrderDate]],"mmmm")</f>
        <v>December</v>
      </c>
      <c r="E1628" s="4" t="s">
        <v>607</v>
      </c>
      <c r="F1628" s="4" t="s">
        <v>34</v>
      </c>
      <c r="G1628" s="4">
        <v>7</v>
      </c>
      <c r="H1628" s="12">
        <v>8807.7000000000007</v>
      </c>
      <c r="I1628" s="13">
        <v>7486.545000000001</v>
      </c>
      <c r="J1628" s="13">
        <f>Orders[[#This Row],[Quantity]]*Orders[[#This Row],[Selling Price]]</f>
        <v>61653.900000000009</v>
      </c>
      <c r="K1628" s="13">
        <f>Orders[[#This Row],[Quantity]]*Orders[[#This Row],[Cost Price]]</f>
        <v>52405.81500000001</v>
      </c>
      <c r="L1628" s="13">
        <f>Orders[[#This Row],[Revenue]]-Orders[[#This Row],[Expenses]]</f>
        <v>9248.0849999999991</v>
      </c>
      <c r="M1628" t="s">
        <v>2218</v>
      </c>
      <c r="N1628" t="str">
        <f>_xlfn.XLOOKUP(Orders[[#This Row],[CustomerID]],Customers[CustomerID],Customers[CustomerName])</f>
        <v>Folasade Ojo</v>
      </c>
      <c r="O1628" t="str">
        <f>_xlfn.XLOOKUP(Orders[[#This Row],[CustomerID]],Customers[CustomerID],Customers[City])</f>
        <v>Texas</v>
      </c>
      <c r="P1628" t="str">
        <f>_xlfn.XLOOKUP(Orders[[#This Row],[CustomerID]],Customers[CustomerID],Customers[Gender])</f>
        <v>Female</v>
      </c>
      <c r="Q1628">
        <f>_xlfn.XLOOKUP(Orders[[#This Row],[CustomerID]],Customers[CustomerID],Customers[CustomerAge])</f>
        <v>19</v>
      </c>
      <c r="R1628" t="str">
        <f>IF(Orders[[#This Row],[CustomerAge]]&gt;=35, "Older", "Young")</f>
        <v>Young</v>
      </c>
      <c r="S1628" t="str">
        <f>_xlfn.XLOOKUP(Orders[[#This Row],[ProductID]],Products[ProductID],Products[ProductName])</f>
        <v>Gold Bracelets</v>
      </c>
      <c r="T1628" t="str">
        <f>_xlfn.XLOOKUP(Orders[[#This Row],[ProductID]],Products[ProductID],Products[Category])</f>
        <v>Accessories</v>
      </c>
    </row>
    <row r="1629" spans="1:20" x14ac:dyDescent="0.25">
      <c r="A1629" s="4" t="s">
        <v>1818</v>
      </c>
      <c r="B1629" s="5">
        <v>45957</v>
      </c>
      <c r="C1629" s="15">
        <f>WEEKNUM(Orders[[#This Row],[OrderDate]])</f>
        <v>44</v>
      </c>
      <c r="D1629" s="15" t="str">
        <f>TEXT(Orders[[#This Row],[OrderDate]],"mmmm")</f>
        <v>October</v>
      </c>
      <c r="E1629" s="4" t="s">
        <v>502</v>
      </c>
      <c r="F1629" s="4" t="s">
        <v>168</v>
      </c>
      <c r="G1629" s="4">
        <v>7</v>
      </c>
      <c r="H1629" s="12">
        <v>10564.9</v>
      </c>
      <c r="I1629" s="13">
        <v>8980.1649999999991</v>
      </c>
      <c r="J1629" s="13">
        <f>Orders[[#This Row],[Quantity]]*Orders[[#This Row],[Selling Price]]</f>
        <v>73954.3</v>
      </c>
      <c r="K1629" s="13">
        <f>Orders[[#This Row],[Quantity]]*Orders[[#This Row],[Cost Price]]</f>
        <v>62861.154999999992</v>
      </c>
      <c r="L1629" s="13">
        <f>Orders[[#This Row],[Revenue]]-Orders[[#This Row],[Expenses]]</f>
        <v>11093.145000000011</v>
      </c>
      <c r="M1629" t="s">
        <v>2208</v>
      </c>
      <c r="N1629" t="str">
        <f>_xlfn.XLOOKUP(Orders[[#This Row],[CustomerID]],Customers[CustomerID],Customers[CustomerName])</f>
        <v>Obi Eze</v>
      </c>
      <c r="O1629" t="str">
        <f>_xlfn.XLOOKUP(Orders[[#This Row],[CustomerID]],Customers[CustomerID],Customers[City])</f>
        <v>Texas</v>
      </c>
      <c r="P1629" t="str">
        <f>_xlfn.XLOOKUP(Orders[[#This Row],[CustomerID]],Customers[CustomerID],Customers[Gender])</f>
        <v>Male</v>
      </c>
      <c r="Q1629">
        <f>_xlfn.XLOOKUP(Orders[[#This Row],[CustomerID]],Customers[CustomerID],Customers[CustomerAge])</f>
        <v>24</v>
      </c>
      <c r="R1629" t="str">
        <f>IF(Orders[[#This Row],[CustomerAge]]&gt;=35, "Older", "Young")</f>
        <v>Young</v>
      </c>
      <c r="S1629" t="str">
        <f>_xlfn.XLOOKUP(Orders[[#This Row],[ProductID]],Products[ProductID],Products[ProductName])</f>
        <v>Dumb Bells</v>
      </c>
      <c r="T1629" t="str">
        <f>_xlfn.XLOOKUP(Orders[[#This Row],[ProductID]],Products[ProductID],Products[Category])</f>
        <v>Gym</v>
      </c>
    </row>
    <row r="1630" spans="1:20" x14ac:dyDescent="0.25">
      <c r="A1630" s="4" t="s">
        <v>1819</v>
      </c>
      <c r="B1630" s="5">
        <v>45966</v>
      </c>
      <c r="C1630" s="15">
        <f>WEEKNUM(Orders[[#This Row],[OrderDate]])</f>
        <v>45</v>
      </c>
      <c r="D1630" s="15" t="str">
        <f>TEXT(Orders[[#This Row],[OrderDate]],"mmmm")</f>
        <v>November</v>
      </c>
      <c r="E1630" s="4" t="s">
        <v>107</v>
      </c>
      <c r="F1630" s="4" t="s">
        <v>15</v>
      </c>
      <c r="G1630" s="4">
        <v>9</v>
      </c>
      <c r="H1630" s="12">
        <v>11162.6</v>
      </c>
      <c r="I1630" s="13">
        <v>9488.2100000000009</v>
      </c>
      <c r="J1630" s="13">
        <f>Orders[[#This Row],[Quantity]]*Orders[[#This Row],[Selling Price]]</f>
        <v>100463.40000000001</v>
      </c>
      <c r="K1630" s="13">
        <f>Orders[[#This Row],[Quantity]]*Orders[[#This Row],[Cost Price]]</f>
        <v>85393.890000000014</v>
      </c>
      <c r="L1630" s="13">
        <f>Orders[[#This Row],[Revenue]]-Orders[[#This Row],[Expenses]]</f>
        <v>15069.509999999995</v>
      </c>
      <c r="M1630" t="s">
        <v>2219</v>
      </c>
      <c r="N1630" t="str">
        <f>_xlfn.XLOOKUP(Orders[[#This Row],[CustomerID]],Customers[CustomerID],Customers[CustomerName])</f>
        <v>Blessing Eze</v>
      </c>
      <c r="O1630" t="str">
        <f>_xlfn.XLOOKUP(Orders[[#This Row],[CustomerID]],Customers[CustomerID],Customers[City])</f>
        <v>Texas</v>
      </c>
      <c r="P1630" t="str">
        <f>_xlfn.XLOOKUP(Orders[[#This Row],[CustomerID]],Customers[CustomerID],Customers[Gender])</f>
        <v>Female</v>
      </c>
      <c r="Q1630">
        <f>_xlfn.XLOOKUP(Orders[[#This Row],[CustomerID]],Customers[CustomerID],Customers[CustomerAge])</f>
        <v>44</v>
      </c>
      <c r="R1630" t="str">
        <f>IF(Orders[[#This Row],[CustomerAge]]&gt;=35, "Older", "Young")</f>
        <v>Older</v>
      </c>
      <c r="S1630" t="str">
        <f>_xlfn.XLOOKUP(Orders[[#This Row],[ProductID]],Products[ProductID],Products[ProductName])</f>
        <v>Monopoly</v>
      </c>
      <c r="T1630" t="str">
        <f>_xlfn.XLOOKUP(Orders[[#This Row],[ProductID]],Products[ProductID],Products[Category])</f>
        <v>Games</v>
      </c>
    </row>
    <row r="1631" spans="1:20" x14ac:dyDescent="0.25">
      <c r="A1631" s="4" t="s">
        <v>1820</v>
      </c>
      <c r="B1631" s="5">
        <v>45987</v>
      </c>
      <c r="C1631" s="15">
        <f>WEEKNUM(Orders[[#This Row],[OrderDate]])</f>
        <v>48</v>
      </c>
      <c r="D1631" s="15" t="str">
        <f>TEXT(Orders[[#This Row],[OrderDate]],"mmmm")</f>
        <v>November</v>
      </c>
      <c r="E1631" s="4" t="s">
        <v>43</v>
      </c>
      <c r="F1631" s="4" t="s">
        <v>57</v>
      </c>
      <c r="G1631" s="4">
        <v>6</v>
      </c>
      <c r="H1631" s="12">
        <v>8802.2999999999993</v>
      </c>
      <c r="I1631" s="13">
        <v>7481.9549999999999</v>
      </c>
      <c r="J1631" s="13">
        <f>Orders[[#This Row],[Quantity]]*Orders[[#This Row],[Selling Price]]</f>
        <v>52813.799999999996</v>
      </c>
      <c r="K1631" s="13">
        <f>Orders[[#This Row],[Quantity]]*Orders[[#This Row],[Cost Price]]</f>
        <v>44891.729999999996</v>
      </c>
      <c r="L1631" s="13">
        <f>Orders[[#This Row],[Revenue]]-Orders[[#This Row],[Expenses]]</f>
        <v>7922.07</v>
      </c>
      <c r="M1631" t="s">
        <v>2208</v>
      </c>
      <c r="N1631" t="str">
        <f>_xlfn.XLOOKUP(Orders[[#This Row],[CustomerID]],Customers[CustomerID],Customers[CustomerName])</f>
        <v>Mustafa Danladi</v>
      </c>
      <c r="O1631" t="str">
        <f>_xlfn.XLOOKUP(Orders[[#This Row],[CustomerID]],Customers[CustomerID],Customers[City])</f>
        <v>Georgia</v>
      </c>
      <c r="P1631" t="str">
        <f>_xlfn.XLOOKUP(Orders[[#This Row],[CustomerID]],Customers[CustomerID],Customers[Gender])</f>
        <v>Male</v>
      </c>
      <c r="Q1631">
        <f>_xlfn.XLOOKUP(Orders[[#This Row],[CustomerID]],Customers[CustomerID],Customers[CustomerAge])</f>
        <v>49</v>
      </c>
      <c r="R1631" t="str">
        <f>IF(Orders[[#This Row],[CustomerAge]]&gt;=35, "Older", "Young")</f>
        <v>Older</v>
      </c>
      <c r="S1631" t="str">
        <f>_xlfn.XLOOKUP(Orders[[#This Row],[ProductID]],Products[ProductID],Products[ProductName])</f>
        <v>Badminton Racket</v>
      </c>
      <c r="T1631" t="str">
        <f>_xlfn.XLOOKUP(Orders[[#This Row],[ProductID]],Products[ProductID],Products[Category])</f>
        <v>Sports</v>
      </c>
    </row>
    <row r="1632" spans="1:20" x14ac:dyDescent="0.25">
      <c r="A1632" s="4" t="s">
        <v>1821</v>
      </c>
      <c r="B1632" s="5">
        <v>45931</v>
      </c>
      <c r="C1632" s="15">
        <f>WEEKNUM(Orders[[#This Row],[OrderDate]])</f>
        <v>40</v>
      </c>
      <c r="D1632" s="15" t="str">
        <f>TEXT(Orders[[#This Row],[OrderDate]],"mmmm")</f>
        <v>October</v>
      </c>
      <c r="E1632" s="4" t="s">
        <v>39</v>
      </c>
      <c r="F1632" s="4" t="s">
        <v>34</v>
      </c>
      <c r="G1632" s="4">
        <v>10</v>
      </c>
      <c r="H1632" s="12">
        <v>19341.199999999997</v>
      </c>
      <c r="I1632" s="13">
        <v>16440.019999999997</v>
      </c>
      <c r="J1632" s="13">
        <f>Orders[[#This Row],[Quantity]]*Orders[[#This Row],[Selling Price]]</f>
        <v>193411.99999999997</v>
      </c>
      <c r="K1632" s="13">
        <f>Orders[[#This Row],[Quantity]]*Orders[[#This Row],[Cost Price]]</f>
        <v>164400.19999999995</v>
      </c>
      <c r="L1632" s="13">
        <f>Orders[[#This Row],[Revenue]]-Orders[[#This Row],[Expenses]]</f>
        <v>29011.800000000017</v>
      </c>
      <c r="M1632" t="s">
        <v>2199</v>
      </c>
      <c r="N1632" t="str">
        <f>_xlfn.XLOOKUP(Orders[[#This Row],[CustomerID]],Customers[CustomerID],Customers[CustomerName])</f>
        <v>Efe Adeyemi</v>
      </c>
      <c r="O1632" t="str">
        <f>_xlfn.XLOOKUP(Orders[[#This Row],[CustomerID]],Customers[CustomerID],Customers[City])</f>
        <v>Florida</v>
      </c>
      <c r="P1632" t="str">
        <f>_xlfn.XLOOKUP(Orders[[#This Row],[CustomerID]],Customers[CustomerID],Customers[Gender])</f>
        <v>Female</v>
      </c>
      <c r="Q1632">
        <f>_xlfn.XLOOKUP(Orders[[#This Row],[CustomerID]],Customers[CustomerID],Customers[CustomerAge])</f>
        <v>20</v>
      </c>
      <c r="R1632" t="str">
        <f>IF(Orders[[#This Row],[CustomerAge]]&gt;=35, "Older", "Young")</f>
        <v>Young</v>
      </c>
      <c r="S1632" t="str">
        <f>_xlfn.XLOOKUP(Orders[[#This Row],[ProductID]],Products[ProductID],Products[ProductName])</f>
        <v>Gold Bracelets</v>
      </c>
      <c r="T1632" t="str">
        <f>_xlfn.XLOOKUP(Orders[[#This Row],[ProductID]],Products[ProductID],Products[Category])</f>
        <v>Accessories</v>
      </c>
    </row>
    <row r="1633" spans="1:20" x14ac:dyDescent="0.25">
      <c r="A1633" s="4" t="s">
        <v>1822</v>
      </c>
      <c r="B1633" s="5">
        <v>45973</v>
      </c>
      <c r="C1633" s="15">
        <f>WEEKNUM(Orders[[#This Row],[OrderDate]])</f>
        <v>46</v>
      </c>
      <c r="D1633" s="15" t="str">
        <f>TEXT(Orders[[#This Row],[OrderDate]],"mmmm")</f>
        <v>November</v>
      </c>
      <c r="E1633" s="4" t="s">
        <v>174</v>
      </c>
      <c r="F1633" s="4" t="s">
        <v>253</v>
      </c>
      <c r="G1633" s="4">
        <v>3</v>
      </c>
      <c r="H1633" s="12">
        <v>9814.2999999999993</v>
      </c>
      <c r="I1633" s="13">
        <v>8342.1549999999988</v>
      </c>
      <c r="J1633" s="13">
        <f>Orders[[#This Row],[Quantity]]*Orders[[#This Row],[Selling Price]]</f>
        <v>29442.899999999998</v>
      </c>
      <c r="K1633" s="13">
        <f>Orders[[#This Row],[Quantity]]*Orders[[#This Row],[Cost Price]]</f>
        <v>25026.464999999997</v>
      </c>
      <c r="L1633" s="13">
        <f>Orders[[#This Row],[Revenue]]-Orders[[#This Row],[Expenses]]</f>
        <v>4416.4350000000013</v>
      </c>
      <c r="M1633" t="s">
        <v>2196</v>
      </c>
      <c r="N1633" t="str">
        <f>_xlfn.XLOOKUP(Orders[[#This Row],[CustomerID]],Customers[CustomerID],Customers[CustomerName])</f>
        <v>Zainab Obi</v>
      </c>
      <c r="O1633" t="str">
        <f>_xlfn.XLOOKUP(Orders[[#This Row],[CustomerID]],Customers[CustomerID],Customers[City])</f>
        <v>California</v>
      </c>
      <c r="P1633" t="str">
        <f>_xlfn.XLOOKUP(Orders[[#This Row],[CustomerID]],Customers[CustomerID],Customers[Gender])</f>
        <v>Female</v>
      </c>
      <c r="Q1633">
        <f>_xlfn.XLOOKUP(Orders[[#This Row],[CustomerID]],Customers[CustomerID],Customers[CustomerAge])</f>
        <v>18</v>
      </c>
      <c r="R1633" t="str">
        <f>IF(Orders[[#This Row],[CustomerAge]]&gt;=35, "Older", "Young")</f>
        <v>Young</v>
      </c>
      <c r="S1633" t="str">
        <f>_xlfn.XLOOKUP(Orders[[#This Row],[ProductID]],Products[ProductID],Products[ProductName])</f>
        <v>Nose Rings</v>
      </c>
      <c r="T1633" t="str">
        <f>_xlfn.XLOOKUP(Orders[[#This Row],[ProductID]],Products[ProductID],Products[Category])</f>
        <v>Accessories</v>
      </c>
    </row>
    <row r="1634" spans="1:20" x14ac:dyDescent="0.25">
      <c r="A1634" s="4" t="s">
        <v>1823</v>
      </c>
      <c r="B1634" s="5">
        <v>45991</v>
      </c>
      <c r="C1634" s="15">
        <f>WEEKNUM(Orders[[#This Row],[OrderDate]])</f>
        <v>49</v>
      </c>
      <c r="D1634" s="15" t="str">
        <f>TEXT(Orders[[#This Row],[OrderDate]],"mmmm")</f>
        <v>November</v>
      </c>
      <c r="E1634" s="4" t="s">
        <v>55</v>
      </c>
      <c r="F1634" s="4" t="s">
        <v>9</v>
      </c>
      <c r="G1634" s="4">
        <v>5</v>
      </c>
      <c r="H1634" s="12">
        <v>924.2</v>
      </c>
      <c r="I1634" s="13">
        <v>785.57</v>
      </c>
      <c r="J1634" s="13">
        <f>Orders[[#This Row],[Quantity]]*Orders[[#This Row],[Selling Price]]</f>
        <v>4621</v>
      </c>
      <c r="K1634" s="13">
        <f>Orders[[#This Row],[Quantity]]*Orders[[#This Row],[Cost Price]]</f>
        <v>3927.8500000000004</v>
      </c>
      <c r="L1634" s="13">
        <f>Orders[[#This Row],[Revenue]]-Orders[[#This Row],[Expenses]]</f>
        <v>693.14999999999964</v>
      </c>
      <c r="M1634" t="s">
        <v>2212</v>
      </c>
      <c r="N1634" t="str">
        <f>_xlfn.XLOOKUP(Orders[[#This Row],[CustomerID]],Customers[CustomerID],Customers[CustomerName])</f>
        <v>Adanma Ojo</v>
      </c>
      <c r="O1634" t="str">
        <f>_xlfn.XLOOKUP(Orders[[#This Row],[CustomerID]],Customers[CustomerID],Customers[City])</f>
        <v>California</v>
      </c>
      <c r="P1634" t="str">
        <f>_xlfn.XLOOKUP(Orders[[#This Row],[CustomerID]],Customers[CustomerID],Customers[Gender])</f>
        <v>Female</v>
      </c>
      <c r="Q1634">
        <f>_xlfn.XLOOKUP(Orders[[#This Row],[CustomerID]],Customers[CustomerID],Customers[CustomerAge])</f>
        <v>48</v>
      </c>
      <c r="R1634" t="str">
        <f>IF(Orders[[#This Row],[CustomerAge]]&gt;=35, "Older", "Young")</f>
        <v>Older</v>
      </c>
      <c r="S1634" t="str">
        <f>_xlfn.XLOOKUP(Orders[[#This Row],[ProductID]],Products[ProductID],Products[ProductName])</f>
        <v>Beaded Earrings And Necklaces</v>
      </c>
      <c r="T1634" t="str">
        <f>_xlfn.XLOOKUP(Orders[[#This Row],[ProductID]],Products[ProductID],Products[Category])</f>
        <v>Accessories</v>
      </c>
    </row>
    <row r="1635" spans="1:20" x14ac:dyDescent="0.25">
      <c r="A1635" s="4" t="s">
        <v>1824</v>
      </c>
      <c r="B1635" s="5">
        <v>45977</v>
      </c>
      <c r="C1635" s="15">
        <f>WEEKNUM(Orders[[#This Row],[OrderDate]])</f>
        <v>47</v>
      </c>
      <c r="D1635" s="15" t="str">
        <f>TEXT(Orders[[#This Row],[OrderDate]],"mmmm")</f>
        <v>November</v>
      </c>
      <c r="E1635" s="4" t="s">
        <v>98</v>
      </c>
      <c r="F1635" s="4" t="s">
        <v>125</v>
      </c>
      <c r="G1635" s="4">
        <v>9</v>
      </c>
      <c r="H1635" s="12">
        <v>13720</v>
      </c>
      <c r="I1635" s="13">
        <v>11662</v>
      </c>
      <c r="J1635" s="13">
        <f>Orders[[#This Row],[Quantity]]*Orders[[#This Row],[Selling Price]]</f>
        <v>123480</v>
      </c>
      <c r="K1635" s="13">
        <f>Orders[[#This Row],[Quantity]]*Orders[[#This Row],[Cost Price]]</f>
        <v>104958</v>
      </c>
      <c r="L1635" s="13">
        <f>Orders[[#This Row],[Revenue]]-Orders[[#This Row],[Expenses]]</f>
        <v>18522</v>
      </c>
      <c r="M1635" t="s">
        <v>2205</v>
      </c>
      <c r="N1635" t="str">
        <f>_xlfn.XLOOKUP(Orders[[#This Row],[CustomerID]],Customers[CustomerID],Customers[CustomerName])</f>
        <v>Chioma Adeyemi</v>
      </c>
      <c r="O1635" t="str">
        <f>_xlfn.XLOOKUP(Orders[[#This Row],[CustomerID]],Customers[CustomerID],Customers[City])</f>
        <v>Illinois</v>
      </c>
      <c r="P1635" t="str">
        <f>_xlfn.XLOOKUP(Orders[[#This Row],[CustomerID]],Customers[CustomerID],Customers[Gender])</f>
        <v>Female</v>
      </c>
      <c r="Q1635">
        <f>_xlfn.XLOOKUP(Orders[[#This Row],[CustomerID]],Customers[CustomerID],Customers[CustomerAge])</f>
        <v>23</v>
      </c>
      <c r="R1635" t="str">
        <f>IF(Orders[[#This Row],[CustomerAge]]&gt;=35, "Older", "Young")</f>
        <v>Young</v>
      </c>
      <c r="S1635" t="str">
        <f>_xlfn.XLOOKUP(Orders[[#This Row],[ProductID]],Products[ProductID],Products[ProductName])</f>
        <v>Earrings</v>
      </c>
      <c r="T1635" t="str">
        <f>_xlfn.XLOOKUP(Orders[[#This Row],[ProductID]],Products[ProductID],Products[Category])</f>
        <v>Accessories</v>
      </c>
    </row>
    <row r="1636" spans="1:20" x14ac:dyDescent="0.25">
      <c r="A1636" s="4" t="s">
        <v>1825</v>
      </c>
      <c r="B1636" s="5">
        <v>45936</v>
      </c>
      <c r="C1636" s="15">
        <f>WEEKNUM(Orders[[#This Row],[OrderDate]])</f>
        <v>41</v>
      </c>
      <c r="D1636" s="15" t="str">
        <f>TEXT(Orders[[#This Row],[OrderDate]],"mmmm")</f>
        <v>October</v>
      </c>
      <c r="E1636" s="4" t="s">
        <v>138</v>
      </c>
      <c r="F1636" s="4" t="s">
        <v>46</v>
      </c>
      <c r="G1636" s="4">
        <v>7</v>
      </c>
      <c r="H1636" s="12">
        <v>5721.9000000000005</v>
      </c>
      <c r="I1636" s="13">
        <v>4863.6150000000007</v>
      </c>
      <c r="J1636" s="13">
        <f>Orders[[#This Row],[Quantity]]*Orders[[#This Row],[Selling Price]]</f>
        <v>40053.300000000003</v>
      </c>
      <c r="K1636" s="13">
        <f>Orders[[#This Row],[Quantity]]*Orders[[#This Row],[Cost Price]]</f>
        <v>34045.305000000008</v>
      </c>
      <c r="L1636" s="13">
        <f>Orders[[#This Row],[Revenue]]-Orders[[#This Row],[Expenses]]</f>
        <v>6007.9949999999953</v>
      </c>
      <c r="M1636" t="s">
        <v>2218</v>
      </c>
      <c r="N1636" t="str">
        <f>_xlfn.XLOOKUP(Orders[[#This Row],[CustomerID]],Customers[CustomerID],Customers[CustomerName])</f>
        <v>Efe Adeyemi</v>
      </c>
      <c r="O1636" t="str">
        <f>_xlfn.XLOOKUP(Orders[[#This Row],[CustomerID]],Customers[CustomerID],Customers[City])</f>
        <v>Washington</v>
      </c>
      <c r="P1636" t="str">
        <f>_xlfn.XLOOKUP(Orders[[#This Row],[CustomerID]],Customers[CustomerID],Customers[Gender])</f>
        <v>Female</v>
      </c>
      <c r="Q1636">
        <f>_xlfn.XLOOKUP(Orders[[#This Row],[CustomerID]],Customers[CustomerID],Customers[CustomerAge])</f>
        <v>22</v>
      </c>
      <c r="R1636" t="str">
        <f>IF(Orders[[#This Row],[CustomerAge]]&gt;=35, "Older", "Young")</f>
        <v>Young</v>
      </c>
      <c r="S1636" t="str">
        <f>_xlfn.XLOOKUP(Orders[[#This Row],[ProductID]],Products[ProductID],Products[ProductName])</f>
        <v>Turtle Neck</v>
      </c>
      <c r="T1636" t="str">
        <f>_xlfn.XLOOKUP(Orders[[#This Row],[ProductID]],Products[ProductID],Products[Category])</f>
        <v>Clothing</v>
      </c>
    </row>
    <row r="1637" spans="1:20" x14ac:dyDescent="0.25">
      <c r="A1637" s="4" t="s">
        <v>1826</v>
      </c>
      <c r="B1637" s="5">
        <v>46001</v>
      </c>
      <c r="C1637" s="15">
        <f>WEEKNUM(Orders[[#This Row],[OrderDate]])</f>
        <v>50</v>
      </c>
      <c r="D1637" s="15" t="str">
        <f>TEXT(Orders[[#This Row],[OrderDate]],"mmmm")</f>
        <v>December</v>
      </c>
      <c r="E1637" s="4" t="s">
        <v>352</v>
      </c>
      <c r="F1637" s="4" t="s">
        <v>111</v>
      </c>
      <c r="G1637" s="4">
        <v>5</v>
      </c>
      <c r="H1637" s="12">
        <v>6749</v>
      </c>
      <c r="I1637" s="13">
        <v>5736.65</v>
      </c>
      <c r="J1637" s="13">
        <f>Orders[[#This Row],[Quantity]]*Orders[[#This Row],[Selling Price]]</f>
        <v>33745</v>
      </c>
      <c r="K1637" s="13">
        <f>Orders[[#This Row],[Quantity]]*Orders[[#This Row],[Cost Price]]</f>
        <v>28683.25</v>
      </c>
      <c r="L1637" s="13">
        <f>Orders[[#This Row],[Revenue]]-Orders[[#This Row],[Expenses]]</f>
        <v>5061.75</v>
      </c>
      <c r="M1637" t="s">
        <v>2204</v>
      </c>
      <c r="N1637" t="str">
        <f>_xlfn.XLOOKUP(Orders[[#This Row],[CustomerID]],Customers[CustomerID],Customers[CustomerName])</f>
        <v>Zainab Eze</v>
      </c>
      <c r="O1637" t="str">
        <f>_xlfn.XLOOKUP(Orders[[#This Row],[CustomerID]],Customers[CustomerID],Customers[City])</f>
        <v>Texas</v>
      </c>
      <c r="P1637" t="str">
        <f>_xlfn.XLOOKUP(Orders[[#This Row],[CustomerID]],Customers[CustomerID],Customers[Gender])</f>
        <v>Female</v>
      </c>
      <c r="Q1637">
        <f>_xlfn.XLOOKUP(Orders[[#This Row],[CustomerID]],Customers[CustomerID],Customers[CustomerAge])</f>
        <v>40</v>
      </c>
      <c r="R1637" t="str">
        <f>IF(Orders[[#This Row],[CustomerAge]]&gt;=35, "Older", "Young")</f>
        <v>Older</v>
      </c>
      <c r="S1637" t="str">
        <f>_xlfn.XLOOKUP(Orders[[#This Row],[ProductID]],Products[ProductID],Products[ProductName])</f>
        <v>Refrigerator</v>
      </c>
      <c r="T1637" t="str">
        <f>_xlfn.XLOOKUP(Orders[[#This Row],[ProductID]],Products[ProductID],Products[Category])</f>
        <v>Electronics</v>
      </c>
    </row>
    <row r="1638" spans="1:20" x14ac:dyDescent="0.25">
      <c r="A1638" s="4" t="s">
        <v>1827</v>
      </c>
      <c r="B1638" s="5">
        <v>45993</v>
      </c>
      <c r="C1638" s="15">
        <f>WEEKNUM(Orders[[#This Row],[OrderDate]])</f>
        <v>49</v>
      </c>
      <c r="D1638" s="15" t="str">
        <f>TEXT(Orders[[#This Row],[OrderDate]],"mmmm")</f>
        <v>December</v>
      </c>
      <c r="E1638" s="4" t="s">
        <v>124</v>
      </c>
      <c r="F1638" s="4" t="s">
        <v>66</v>
      </c>
      <c r="G1638" s="4">
        <v>3</v>
      </c>
      <c r="H1638" s="12">
        <v>18297.400000000001</v>
      </c>
      <c r="I1638" s="13">
        <v>15552.79</v>
      </c>
      <c r="J1638" s="13">
        <f>Orders[[#This Row],[Quantity]]*Orders[[#This Row],[Selling Price]]</f>
        <v>54892.200000000004</v>
      </c>
      <c r="K1638" s="13">
        <f>Orders[[#This Row],[Quantity]]*Orders[[#This Row],[Cost Price]]</f>
        <v>46658.37</v>
      </c>
      <c r="L1638" s="13">
        <f>Orders[[#This Row],[Revenue]]-Orders[[#This Row],[Expenses]]</f>
        <v>8233.8300000000017</v>
      </c>
      <c r="M1638" t="s">
        <v>2201</v>
      </c>
      <c r="N1638" t="str">
        <f>_xlfn.XLOOKUP(Orders[[#This Row],[CustomerID]],Customers[CustomerID],Customers[CustomerName])</f>
        <v>Ngozi Ojo</v>
      </c>
      <c r="O1638" t="str">
        <f>_xlfn.XLOOKUP(Orders[[#This Row],[CustomerID]],Customers[CustomerID],Customers[City])</f>
        <v>Texas</v>
      </c>
      <c r="P1638" t="str">
        <f>_xlfn.XLOOKUP(Orders[[#This Row],[CustomerID]],Customers[CustomerID],Customers[Gender])</f>
        <v>Female</v>
      </c>
      <c r="Q1638">
        <f>_xlfn.XLOOKUP(Orders[[#This Row],[CustomerID]],Customers[CustomerID],Customers[CustomerAge])</f>
        <v>22</v>
      </c>
      <c r="R1638" t="str">
        <f>IF(Orders[[#This Row],[CustomerAge]]&gt;=35, "Older", "Young")</f>
        <v>Young</v>
      </c>
      <c r="S1638" t="str">
        <f>_xlfn.XLOOKUP(Orders[[#This Row],[ProductID]],Products[ProductID],Products[ProductName])</f>
        <v>Microwave</v>
      </c>
      <c r="T1638" t="str">
        <f>_xlfn.XLOOKUP(Orders[[#This Row],[ProductID]],Products[ProductID],Products[Category])</f>
        <v>Electronics</v>
      </c>
    </row>
    <row r="1639" spans="1:20" x14ac:dyDescent="0.25">
      <c r="A1639" s="4" t="s">
        <v>1828</v>
      </c>
      <c r="B1639" s="5">
        <v>45995</v>
      </c>
      <c r="C1639" s="15">
        <f>WEEKNUM(Orders[[#This Row],[OrderDate]])</f>
        <v>49</v>
      </c>
      <c r="D1639" s="15" t="str">
        <f>TEXT(Orders[[#This Row],[OrderDate]],"mmmm")</f>
        <v>December</v>
      </c>
      <c r="E1639" s="4" t="s">
        <v>439</v>
      </c>
      <c r="F1639" s="4" t="s">
        <v>120</v>
      </c>
      <c r="G1639" s="4">
        <v>9</v>
      </c>
      <c r="H1639" s="12">
        <v>750.3</v>
      </c>
      <c r="I1639" s="13">
        <v>637.755</v>
      </c>
      <c r="J1639" s="13">
        <f>Orders[[#This Row],[Quantity]]*Orders[[#This Row],[Selling Price]]</f>
        <v>6752.7</v>
      </c>
      <c r="K1639" s="13">
        <f>Orders[[#This Row],[Quantity]]*Orders[[#This Row],[Cost Price]]</f>
        <v>5739.7950000000001</v>
      </c>
      <c r="L1639" s="13">
        <f>Orders[[#This Row],[Revenue]]-Orders[[#This Row],[Expenses]]</f>
        <v>1012.9049999999997</v>
      </c>
      <c r="M1639" t="s">
        <v>2212</v>
      </c>
      <c r="N1639" t="str">
        <f>_xlfn.XLOOKUP(Orders[[#This Row],[CustomerID]],Customers[CustomerID],Customers[CustomerName])</f>
        <v>Efe Abubakar</v>
      </c>
      <c r="O1639" t="str">
        <f>_xlfn.XLOOKUP(Orders[[#This Row],[CustomerID]],Customers[CustomerID],Customers[City])</f>
        <v>Texas</v>
      </c>
      <c r="P1639" t="str">
        <f>_xlfn.XLOOKUP(Orders[[#This Row],[CustomerID]],Customers[CustomerID],Customers[Gender])</f>
        <v>Female</v>
      </c>
      <c r="Q1639">
        <f>_xlfn.XLOOKUP(Orders[[#This Row],[CustomerID]],Customers[CustomerID],Customers[CustomerAge])</f>
        <v>50</v>
      </c>
      <c r="R1639" t="str">
        <f>IF(Orders[[#This Row],[CustomerAge]]&gt;=35, "Older", "Young")</f>
        <v>Older</v>
      </c>
      <c r="S1639" t="str">
        <f>_xlfn.XLOOKUP(Orders[[#This Row],[ProductID]],Products[ProductID],Products[ProductName])</f>
        <v>Chess</v>
      </c>
      <c r="T1639" t="str">
        <f>_xlfn.XLOOKUP(Orders[[#This Row],[ProductID]],Products[ProductID],Products[Category])</f>
        <v>Games</v>
      </c>
    </row>
    <row r="1640" spans="1:20" x14ac:dyDescent="0.25">
      <c r="A1640" s="4" t="s">
        <v>1829</v>
      </c>
      <c r="B1640" s="5">
        <v>45973</v>
      </c>
      <c r="C1640" s="15">
        <f>WEEKNUM(Orders[[#This Row],[OrderDate]])</f>
        <v>46</v>
      </c>
      <c r="D1640" s="15" t="str">
        <f>TEXT(Orders[[#This Row],[OrderDate]],"mmmm")</f>
        <v>November</v>
      </c>
      <c r="E1640" s="4" t="s">
        <v>52</v>
      </c>
      <c r="F1640" s="4" t="s">
        <v>25</v>
      </c>
      <c r="G1640" s="4">
        <v>7</v>
      </c>
      <c r="H1640" s="12">
        <v>18620.3</v>
      </c>
      <c r="I1640" s="13">
        <v>15827.254999999999</v>
      </c>
      <c r="J1640" s="13">
        <f>Orders[[#This Row],[Quantity]]*Orders[[#This Row],[Selling Price]]</f>
        <v>130342.09999999999</v>
      </c>
      <c r="K1640" s="13">
        <f>Orders[[#This Row],[Quantity]]*Orders[[#This Row],[Cost Price]]</f>
        <v>110790.78499999999</v>
      </c>
      <c r="L1640" s="13">
        <f>Orders[[#This Row],[Revenue]]-Orders[[#This Row],[Expenses]]</f>
        <v>19551.315000000002</v>
      </c>
      <c r="M1640" t="s">
        <v>2220</v>
      </c>
      <c r="N1640" t="str">
        <f>_xlfn.XLOOKUP(Orders[[#This Row],[CustomerID]],Customers[CustomerID],Customers[CustomerName])</f>
        <v>Folasade Ojo</v>
      </c>
      <c r="O1640" t="str">
        <f>_xlfn.XLOOKUP(Orders[[#This Row],[CustomerID]],Customers[CustomerID],Customers[City])</f>
        <v>Texas</v>
      </c>
      <c r="P1640" t="str">
        <f>_xlfn.XLOOKUP(Orders[[#This Row],[CustomerID]],Customers[CustomerID],Customers[Gender])</f>
        <v>Female</v>
      </c>
      <c r="Q1640">
        <f>_xlfn.XLOOKUP(Orders[[#This Row],[CustomerID]],Customers[CustomerID],Customers[CustomerAge])</f>
        <v>29</v>
      </c>
      <c r="R1640" t="str">
        <f>IF(Orders[[#This Row],[CustomerAge]]&gt;=35, "Older", "Young")</f>
        <v>Young</v>
      </c>
      <c r="S1640" t="str">
        <f>_xlfn.XLOOKUP(Orders[[#This Row],[ProductID]],Products[ProductID],Products[ProductName])</f>
        <v>Gold Rings</v>
      </c>
      <c r="T1640" t="str">
        <f>_xlfn.XLOOKUP(Orders[[#This Row],[ProductID]],Products[ProductID],Products[Category])</f>
        <v>Accessories</v>
      </c>
    </row>
    <row r="1641" spans="1:20" x14ac:dyDescent="0.25">
      <c r="A1641" s="4" t="s">
        <v>1830</v>
      </c>
      <c r="B1641" s="5">
        <v>45932</v>
      </c>
      <c r="C1641" s="15">
        <f>WEEKNUM(Orders[[#This Row],[OrderDate]])</f>
        <v>40</v>
      </c>
      <c r="D1641" s="15" t="str">
        <f>TEXT(Orders[[#This Row],[OrderDate]],"mmmm")</f>
        <v>October</v>
      </c>
      <c r="E1641" s="4" t="s">
        <v>110</v>
      </c>
      <c r="F1641" s="4" t="s">
        <v>57</v>
      </c>
      <c r="G1641" s="4">
        <v>7</v>
      </c>
      <c r="H1641" s="12">
        <v>4019.4</v>
      </c>
      <c r="I1641" s="13">
        <v>3416.4900000000002</v>
      </c>
      <c r="J1641" s="13">
        <f>Orders[[#This Row],[Quantity]]*Orders[[#This Row],[Selling Price]]</f>
        <v>28135.8</v>
      </c>
      <c r="K1641" s="13">
        <f>Orders[[#This Row],[Quantity]]*Orders[[#This Row],[Cost Price]]</f>
        <v>23915.43</v>
      </c>
      <c r="L1641" s="13">
        <f>Orders[[#This Row],[Revenue]]-Orders[[#This Row],[Expenses]]</f>
        <v>4220.369999999999</v>
      </c>
      <c r="M1641" t="s">
        <v>2209</v>
      </c>
      <c r="N1641" t="str">
        <f>_xlfn.XLOOKUP(Orders[[#This Row],[CustomerID]],Customers[CustomerID],Customers[CustomerName])</f>
        <v>Ngozi Danladi</v>
      </c>
      <c r="O1641" t="str">
        <f>_xlfn.XLOOKUP(Orders[[#This Row],[CustomerID]],Customers[CustomerID],Customers[City])</f>
        <v>Washington</v>
      </c>
      <c r="P1641" t="str">
        <f>_xlfn.XLOOKUP(Orders[[#This Row],[CustomerID]],Customers[CustomerID],Customers[Gender])</f>
        <v>Female</v>
      </c>
      <c r="Q1641">
        <f>_xlfn.XLOOKUP(Orders[[#This Row],[CustomerID]],Customers[CustomerID],Customers[CustomerAge])</f>
        <v>28</v>
      </c>
      <c r="R1641" t="str">
        <f>IF(Orders[[#This Row],[CustomerAge]]&gt;=35, "Older", "Young")</f>
        <v>Young</v>
      </c>
      <c r="S1641" t="str">
        <f>_xlfn.XLOOKUP(Orders[[#This Row],[ProductID]],Products[ProductID],Products[ProductName])</f>
        <v>Badminton Racket</v>
      </c>
      <c r="T1641" t="str">
        <f>_xlfn.XLOOKUP(Orders[[#This Row],[ProductID]],Products[ProductID],Products[Category])</f>
        <v>Sports</v>
      </c>
    </row>
    <row r="1642" spans="1:20" x14ac:dyDescent="0.25">
      <c r="A1642" s="4" t="s">
        <v>1831</v>
      </c>
      <c r="B1642" s="5">
        <v>45939</v>
      </c>
      <c r="C1642" s="15">
        <f>WEEKNUM(Orders[[#This Row],[OrderDate]])</f>
        <v>41</v>
      </c>
      <c r="D1642" s="15" t="str">
        <f>TEXT(Orders[[#This Row],[OrderDate]],"mmmm")</f>
        <v>October</v>
      </c>
      <c r="E1642" s="4" t="s">
        <v>369</v>
      </c>
      <c r="F1642" s="4" t="s">
        <v>57</v>
      </c>
      <c r="G1642" s="4">
        <v>8</v>
      </c>
      <c r="H1642" s="12">
        <v>6430.8</v>
      </c>
      <c r="I1642" s="13">
        <v>5466.18</v>
      </c>
      <c r="J1642" s="13">
        <f>Orders[[#This Row],[Quantity]]*Orders[[#This Row],[Selling Price]]</f>
        <v>51446.400000000001</v>
      </c>
      <c r="K1642" s="13">
        <f>Orders[[#This Row],[Quantity]]*Orders[[#This Row],[Cost Price]]</f>
        <v>43729.440000000002</v>
      </c>
      <c r="L1642" s="13">
        <f>Orders[[#This Row],[Revenue]]-Orders[[#This Row],[Expenses]]</f>
        <v>7716.9599999999991</v>
      </c>
      <c r="M1642" t="s">
        <v>2195</v>
      </c>
      <c r="N1642" t="str">
        <f>_xlfn.XLOOKUP(Orders[[#This Row],[CustomerID]],Customers[CustomerID],Customers[CustomerName])</f>
        <v>Ibrahim Bello</v>
      </c>
      <c r="O1642" t="str">
        <f>_xlfn.XLOOKUP(Orders[[#This Row],[CustomerID]],Customers[CustomerID],Customers[City])</f>
        <v>Washington</v>
      </c>
      <c r="P1642" t="str">
        <f>_xlfn.XLOOKUP(Orders[[#This Row],[CustomerID]],Customers[CustomerID],Customers[Gender])</f>
        <v>Male</v>
      </c>
      <c r="Q1642">
        <f>_xlfn.XLOOKUP(Orders[[#This Row],[CustomerID]],Customers[CustomerID],Customers[CustomerAge])</f>
        <v>40</v>
      </c>
      <c r="R1642" t="str">
        <f>IF(Orders[[#This Row],[CustomerAge]]&gt;=35, "Older", "Young")</f>
        <v>Older</v>
      </c>
      <c r="S1642" t="str">
        <f>_xlfn.XLOOKUP(Orders[[#This Row],[ProductID]],Products[ProductID],Products[ProductName])</f>
        <v>Badminton Racket</v>
      </c>
      <c r="T1642" t="str">
        <f>_xlfn.XLOOKUP(Orders[[#This Row],[ProductID]],Products[ProductID],Products[Category])</f>
        <v>Sports</v>
      </c>
    </row>
    <row r="1643" spans="1:20" x14ac:dyDescent="0.25">
      <c r="A1643" s="4" t="s">
        <v>1832</v>
      </c>
      <c r="B1643" s="5">
        <v>45947</v>
      </c>
      <c r="C1643" s="15">
        <f>WEEKNUM(Orders[[#This Row],[OrderDate]])</f>
        <v>42</v>
      </c>
      <c r="D1643" s="15" t="str">
        <f>TEXT(Orders[[#This Row],[OrderDate]],"mmmm")</f>
        <v>October</v>
      </c>
      <c r="E1643" s="4" t="s">
        <v>940</v>
      </c>
      <c r="F1643" s="4" t="s">
        <v>76</v>
      </c>
      <c r="G1643" s="4">
        <v>10</v>
      </c>
      <c r="H1643" s="12">
        <v>3378.1</v>
      </c>
      <c r="I1643" s="13">
        <v>2871.3849999999998</v>
      </c>
      <c r="J1643" s="13">
        <f>Orders[[#This Row],[Quantity]]*Orders[[#This Row],[Selling Price]]</f>
        <v>33781</v>
      </c>
      <c r="K1643" s="13">
        <f>Orders[[#This Row],[Quantity]]*Orders[[#This Row],[Cost Price]]</f>
        <v>28713.85</v>
      </c>
      <c r="L1643" s="13">
        <f>Orders[[#This Row],[Revenue]]-Orders[[#This Row],[Expenses]]</f>
        <v>5067.1500000000015</v>
      </c>
      <c r="M1643" t="s">
        <v>2215</v>
      </c>
      <c r="N1643" t="str">
        <f>_xlfn.XLOOKUP(Orders[[#This Row],[CustomerID]],Customers[CustomerID],Customers[CustomerName])</f>
        <v>Okon Ojo</v>
      </c>
      <c r="O1643" t="str">
        <f>_xlfn.XLOOKUP(Orders[[#This Row],[CustomerID]],Customers[CustomerID],Customers[City])</f>
        <v>Texas</v>
      </c>
      <c r="P1643" t="str">
        <f>_xlfn.XLOOKUP(Orders[[#This Row],[CustomerID]],Customers[CustomerID],Customers[Gender])</f>
        <v>Male</v>
      </c>
      <c r="Q1643">
        <f>_xlfn.XLOOKUP(Orders[[#This Row],[CustomerID]],Customers[CustomerID],Customers[CustomerAge])</f>
        <v>25</v>
      </c>
      <c r="R1643" t="str">
        <f>IF(Orders[[#This Row],[CustomerAge]]&gt;=35, "Older", "Young")</f>
        <v>Young</v>
      </c>
      <c r="S1643" t="str">
        <f>_xlfn.XLOOKUP(Orders[[#This Row],[ProductID]],Products[ProductID],Products[ProductName])</f>
        <v>Blender</v>
      </c>
      <c r="T1643" t="str">
        <f>_xlfn.XLOOKUP(Orders[[#This Row],[ProductID]],Products[ProductID],Products[Category])</f>
        <v>Electronics</v>
      </c>
    </row>
    <row r="1644" spans="1:20" x14ac:dyDescent="0.25">
      <c r="A1644" s="4" t="s">
        <v>1833</v>
      </c>
      <c r="B1644" s="5">
        <v>46021</v>
      </c>
      <c r="C1644" s="15">
        <f>WEEKNUM(Orders[[#This Row],[OrderDate]])</f>
        <v>53</v>
      </c>
      <c r="D1644" s="15" t="str">
        <f>TEXT(Orders[[#This Row],[OrderDate]],"mmmm")</f>
        <v>December</v>
      </c>
      <c r="E1644" s="4" t="s">
        <v>435</v>
      </c>
      <c r="F1644" s="4" t="s">
        <v>15</v>
      </c>
      <c r="G1644" s="4">
        <v>8</v>
      </c>
      <c r="H1644" s="12">
        <v>9708.2000000000007</v>
      </c>
      <c r="I1644" s="13">
        <v>8251.9700000000012</v>
      </c>
      <c r="J1644" s="13">
        <f>Orders[[#This Row],[Quantity]]*Orders[[#This Row],[Selling Price]]</f>
        <v>77665.600000000006</v>
      </c>
      <c r="K1644" s="13">
        <f>Orders[[#This Row],[Quantity]]*Orders[[#This Row],[Cost Price]]</f>
        <v>66015.760000000009</v>
      </c>
      <c r="L1644" s="13">
        <f>Orders[[#This Row],[Revenue]]-Orders[[#This Row],[Expenses]]</f>
        <v>11649.839999999997</v>
      </c>
      <c r="M1644" t="s">
        <v>2194</v>
      </c>
      <c r="N1644" t="str">
        <f>_xlfn.XLOOKUP(Orders[[#This Row],[CustomerID]],Customers[CustomerID],Customers[CustomerName])</f>
        <v>Amina Balogun</v>
      </c>
      <c r="O1644" t="str">
        <f>_xlfn.XLOOKUP(Orders[[#This Row],[CustomerID]],Customers[CustomerID],Customers[City])</f>
        <v>Texas</v>
      </c>
      <c r="P1644" t="str">
        <f>_xlfn.XLOOKUP(Orders[[#This Row],[CustomerID]],Customers[CustomerID],Customers[Gender])</f>
        <v>Female</v>
      </c>
      <c r="Q1644">
        <f>_xlfn.XLOOKUP(Orders[[#This Row],[CustomerID]],Customers[CustomerID],Customers[CustomerAge])</f>
        <v>32</v>
      </c>
      <c r="R1644" t="str">
        <f>IF(Orders[[#This Row],[CustomerAge]]&gt;=35, "Older", "Young")</f>
        <v>Young</v>
      </c>
      <c r="S1644" t="str">
        <f>_xlfn.XLOOKUP(Orders[[#This Row],[ProductID]],Products[ProductID],Products[ProductName])</f>
        <v>Monopoly</v>
      </c>
      <c r="T1644" t="str">
        <f>_xlfn.XLOOKUP(Orders[[#This Row],[ProductID]],Products[ProductID],Products[Category])</f>
        <v>Games</v>
      </c>
    </row>
    <row r="1645" spans="1:20" x14ac:dyDescent="0.25">
      <c r="A1645" s="4" t="s">
        <v>1834</v>
      </c>
      <c r="B1645" s="5">
        <v>46005</v>
      </c>
      <c r="C1645" s="15">
        <f>WEEKNUM(Orders[[#This Row],[OrderDate]])</f>
        <v>51</v>
      </c>
      <c r="D1645" s="15" t="str">
        <f>TEXT(Orders[[#This Row],[OrderDate]],"mmmm")</f>
        <v>December</v>
      </c>
      <c r="E1645" s="4" t="s">
        <v>94</v>
      </c>
      <c r="F1645" s="4" t="s">
        <v>20</v>
      </c>
      <c r="G1645" s="4">
        <v>10</v>
      </c>
      <c r="H1645" s="12">
        <v>4984.2</v>
      </c>
      <c r="I1645" s="13">
        <v>4236.57</v>
      </c>
      <c r="J1645" s="13">
        <f>Orders[[#This Row],[Quantity]]*Orders[[#This Row],[Selling Price]]</f>
        <v>49842</v>
      </c>
      <c r="K1645" s="13">
        <f>Orders[[#This Row],[Quantity]]*Orders[[#This Row],[Cost Price]]</f>
        <v>42365.7</v>
      </c>
      <c r="L1645" s="13">
        <f>Orders[[#This Row],[Revenue]]-Orders[[#This Row],[Expenses]]</f>
        <v>7476.3000000000029</v>
      </c>
      <c r="M1645" t="s">
        <v>2212</v>
      </c>
      <c r="N1645" t="str">
        <f>_xlfn.XLOOKUP(Orders[[#This Row],[CustomerID]],Customers[CustomerID],Customers[CustomerName])</f>
        <v>Uche Abubakar</v>
      </c>
      <c r="O1645" t="str">
        <f>_xlfn.XLOOKUP(Orders[[#This Row],[CustomerID]],Customers[CustomerID],Customers[City])</f>
        <v>Texas</v>
      </c>
      <c r="P1645" t="str">
        <f>_xlfn.XLOOKUP(Orders[[#This Row],[CustomerID]],Customers[CustomerID],Customers[Gender])</f>
        <v>Male</v>
      </c>
      <c r="Q1645">
        <f>_xlfn.XLOOKUP(Orders[[#This Row],[CustomerID]],Customers[CustomerID],Customers[CustomerAge])</f>
        <v>26</v>
      </c>
      <c r="R1645" t="str">
        <f>IF(Orders[[#This Row],[CustomerAge]]&gt;=35, "Older", "Young")</f>
        <v>Young</v>
      </c>
      <c r="S1645" t="str">
        <f>_xlfn.XLOOKUP(Orders[[#This Row],[ProductID]],Products[ProductID],Products[ProductName])</f>
        <v>Gym Bag</v>
      </c>
      <c r="T1645" t="str">
        <f>_xlfn.XLOOKUP(Orders[[#This Row],[ProductID]],Products[ProductID],Products[Category])</f>
        <v>Gym</v>
      </c>
    </row>
    <row r="1646" spans="1:20" x14ac:dyDescent="0.25">
      <c r="A1646" s="4" t="s">
        <v>1835</v>
      </c>
      <c r="B1646" s="5">
        <v>45989</v>
      </c>
      <c r="C1646" s="15">
        <f>WEEKNUM(Orders[[#This Row],[OrderDate]])</f>
        <v>48</v>
      </c>
      <c r="D1646" s="15" t="str">
        <f>TEXT(Orders[[#This Row],[OrderDate]],"mmmm")</f>
        <v>November</v>
      </c>
      <c r="E1646" s="4" t="s">
        <v>138</v>
      </c>
      <c r="F1646" s="4" t="s">
        <v>232</v>
      </c>
      <c r="G1646" s="4">
        <v>9</v>
      </c>
      <c r="H1646" s="12">
        <v>19248.599999999999</v>
      </c>
      <c r="I1646" s="13">
        <v>16361.31</v>
      </c>
      <c r="J1646" s="13">
        <f>Orders[[#This Row],[Quantity]]*Orders[[#This Row],[Selling Price]]</f>
        <v>173237.4</v>
      </c>
      <c r="K1646" s="13">
        <f>Orders[[#This Row],[Quantity]]*Orders[[#This Row],[Cost Price]]</f>
        <v>147251.79</v>
      </c>
      <c r="L1646" s="13">
        <f>Orders[[#This Row],[Revenue]]-Orders[[#This Row],[Expenses]]</f>
        <v>25985.609999999986</v>
      </c>
      <c r="M1646" t="s">
        <v>2199</v>
      </c>
      <c r="N1646" t="str">
        <f>_xlfn.XLOOKUP(Orders[[#This Row],[CustomerID]],Customers[CustomerID],Customers[CustomerName])</f>
        <v>Efe Adeyemi</v>
      </c>
      <c r="O1646" t="str">
        <f>_xlfn.XLOOKUP(Orders[[#This Row],[CustomerID]],Customers[CustomerID],Customers[City])</f>
        <v>Washington</v>
      </c>
      <c r="P1646" t="str">
        <f>_xlfn.XLOOKUP(Orders[[#This Row],[CustomerID]],Customers[CustomerID],Customers[Gender])</f>
        <v>Female</v>
      </c>
      <c r="Q1646">
        <f>_xlfn.XLOOKUP(Orders[[#This Row],[CustomerID]],Customers[CustomerID],Customers[CustomerAge])</f>
        <v>22</v>
      </c>
      <c r="R1646" t="str">
        <f>IF(Orders[[#This Row],[CustomerAge]]&gt;=35, "Older", "Young")</f>
        <v>Young</v>
      </c>
      <c r="S1646" t="str">
        <f>_xlfn.XLOOKUP(Orders[[#This Row],[ProductID]],Products[ProductID],Products[ProductName])</f>
        <v>Ankara</v>
      </c>
      <c r="T1646" t="str">
        <f>_xlfn.XLOOKUP(Orders[[#This Row],[ProductID]],Products[ProductID],Products[Category])</f>
        <v>Clothing</v>
      </c>
    </row>
    <row r="1647" spans="1:20" x14ac:dyDescent="0.25">
      <c r="A1647" s="4" t="s">
        <v>1836</v>
      </c>
      <c r="B1647" s="5">
        <v>45961</v>
      </c>
      <c r="C1647" s="15">
        <f>WEEKNUM(Orders[[#This Row],[OrderDate]])</f>
        <v>44</v>
      </c>
      <c r="D1647" s="15" t="str">
        <f>TEXT(Orders[[#This Row],[OrderDate]],"mmmm")</f>
        <v>October</v>
      </c>
      <c r="E1647" s="4" t="s">
        <v>124</v>
      </c>
      <c r="F1647" s="4" t="s">
        <v>151</v>
      </c>
      <c r="G1647" s="4">
        <v>2</v>
      </c>
      <c r="H1647" s="12">
        <v>7434.6</v>
      </c>
      <c r="I1647" s="13">
        <v>6319.41</v>
      </c>
      <c r="J1647" s="13">
        <f>Orders[[#This Row],[Quantity]]*Orders[[#This Row],[Selling Price]]</f>
        <v>14869.2</v>
      </c>
      <c r="K1647" s="13">
        <f>Orders[[#This Row],[Quantity]]*Orders[[#This Row],[Cost Price]]</f>
        <v>12638.82</v>
      </c>
      <c r="L1647" s="13">
        <f>Orders[[#This Row],[Revenue]]-Orders[[#This Row],[Expenses]]</f>
        <v>2230.380000000001</v>
      </c>
      <c r="M1647" t="s">
        <v>2206</v>
      </c>
      <c r="N1647" t="str">
        <f>_xlfn.XLOOKUP(Orders[[#This Row],[CustomerID]],Customers[CustomerID],Customers[CustomerName])</f>
        <v>Ngozi Ojo</v>
      </c>
      <c r="O1647" t="str">
        <f>_xlfn.XLOOKUP(Orders[[#This Row],[CustomerID]],Customers[CustomerID],Customers[City])</f>
        <v>Texas</v>
      </c>
      <c r="P1647" t="str">
        <f>_xlfn.XLOOKUP(Orders[[#This Row],[CustomerID]],Customers[CustomerID],Customers[Gender])</f>
        <v>Female</v>
      </c>
      <c r="Q1647">
        <f>_xlfn.XLOOKUP(Orders[[#This Row],[CustomerID]],Customers[CustomerID],Customers[CustomerAge])</f>
        <v>22</v>
      </c>
      <c r="R1647" t="str">
        <f>IF(Orders[[#This Row],[CustomerAge]]&gt;=35, "Older", "Young")</f>
        <v>Young</v>
      </c>
      <c r="S1647" t="str">
        <f>_xlfn.XLOOKUP(Orders[[#This Row],[ProductID]],Products[ProductID],Products[ProductName])</f>
        <v>Checkers</v>
      </c>
      <c r="T1647" t="str">
        <f>_xlfn.XLOOKUP(Orders[[#This Row],[ProductID]],Products[ProductID],Products[Category])</f>
        <v>Games</v>
      </c>
    </row>
    <row r="1648" spans="1:20" x14ac:dyDescent="0.25">
      <c r="A1648" s="4" t="s">
        <v>1837</v>
      </c>
      <c r="B1648" s="5">
        <v>45993</v>
      </c>
      <c r="C1648" s="15">
        <f>WEEKNUM(Orders[[#This Row],[OrderDate]])</f>
        <v>49</v>
      </c>
      <c r="D1648" s="15" t="str">
        <f>TEXT(Orders[[#This Row],[OrderDate]],"mmmm")</f>
        <v>December</v>
      </c>
      <c r="E1648" s="4" t="s">
        <v>264</v>
      </c>
      <c r="F1648" s="4" t="s">
        <v>66</v>
      </c>
      <c r="G1648" s="4">
        <v>9</v>
      </c>
      <c r="H1648" s="12">
        <v>9245.9</v>
      </c>
      <c r="I1648" s="13">
        <v>7859.0149999999994</v>
      </c>
      <c r="J1648" s="13">
        <f>Orders[[#This Row],[Quantity]]*Orders[[#This Row],[Selling Price]]</f>
        <v>83213.099999999991</v>
      </c>
      <c r="K1648" s="13">
        <f>Orders[[#This Row],[Quantity]]*Orders[[#This Row],[Cost Price]]</f>
        <v>70731.134999999995</v>
      </c>
      <c r="L1648" s="13">
        <f>Orders[[#This Row],[Revenue]]-Orders[[#This Row],[Expenses]]</f>
        <v>12481.964999999997</v>
      </c>
      <c r="M1648" t="s">
        <v>2200</v>
      </c>
      <c r="N1648" t="str">
        <f>_xlfn.XLOOKUP(Orders[[#This Row],[CustomerID]],Customers[CustomerID],Customers[CustomerName])</f>
        <v>Ronke Adeyemi</v>
      </c>
      <c r="O1648" t="str">
        <f>_xlfn.XLOOKUP(Orders[[#This Row],[CustomerID]],Customers[CustomerID],Customers[City])</f>
        <v>Georgia</v>
      </c>
      <c r="P1648" t="str">
        <f>_xlfn.XLOOKUP(Orders[[#This Row],[CustomerID]],Customers[CustomerID],Customers[Gender])</f>
        <v>Female</v>
      </c>
      <c r="Q1648">
        <f>_xlfn.XLOOKUP(Orders[[#This Row],[CustomerID]],Customers[CustomerID],Customers[CustomerAge])</f>
        <v>19</v>
      </c>
      <c r="R1648" t="str">
        <f>IF(Orders[[#This Row],[CustomerAge]]&gt;=35, "Older", "Young")</f>
        <v>Young</v>
      </c>
      <c r="S1648" t="str">
        <f>_xlfn.XLOOKUP(Orders[[#This Row],[ProductID]],Products[ProductID],Products[ProductName])</f>
        <v>Microwave</v>
      </c>
      <c r="T1648" t="str">
        <f>_xlfn.XLOOKUP(Orders[[#This Row],[ProductID]],Products[ProductID],Products[Category])</f>
        <v>Electronics</v>
      </c>
    </row>
    <row r="1649" spans="1:20" x14ac:dyDescent="0.25">
      <c r="A1649" s="4" t="s">
        <v>1838</v>
      </c>
      <c r="B1649" s="5">
        <v>45962</v>
      </c>
      <c r="C1649" s="15">
        <f>WEEKNUM(Orders[[#This Row],[OrderDate]])</f>
        <v>44</v>
      </c>
      <c r="D1649" s="15" t="str">
        <f>TEXT(Orders[[#This Row],[OrderDate]],"mmmm")</f>
        <v>November</v>
      </c>
      <c r="E1649" s="4" t="s">
        <v>14</v>
      </c>
      <c r="F1649" s="4" t="s">
        <v>28</v>
      </c>
      <c r="G1649" s="4">
        <v>9</v>
      </c>
      <c r="H1649" s="12">
        <v>11389</v>
      </c>
      <c r="I1649" s="13">
        <v>9680.65</v>
      </c>
      <c r="J1649" s="13">
        <f>Orders[[#This Row],[Quantity]]*Orders[[#This Row],[Selling Price]]</f>
        <v>102501</v>
      </c>
      <c r="K1649" s="13">
        <f>Orders[[#This Row],[Quantity]]*Orders[[#This Row],[Cost Price]]</f>
        <v>87125.849999999991</v>
      </c>
      <c r="L1649" s="13">
        <f>Orders[[#This Row],[Revenue]]-Orders[[#This Row],[Expenses]]</f>
        <v>15375.150000000009</v>
      </c>
      <c r="M1649" t="s">
        <v>2204</v>
      </c>
      <c r="N1649" t="str">
        <f>_xlfn.XLOOKUP(Orders[[#This Row],[CustomerID]],Customers[CustomerID],Customers[CustomerName])</f>
        <v>Abiola Igwe</v>
      </c>
      <c r="O1649" t="str">
        <f>_xlfn.XLOOKUP(Orders[[#This Row],[CustomerID]],Customers[CustomerID],Customers[City])</f>
        <v>Texas</v>
      </c>
      <c r="P1649" t="str">
        <f>_xlfn.XLOOKUP(Orders[[#This Row],[CustomerID]],Customers[CustomerID],Customers[Gender])</f>
        <v>Male</v>
      </c>
      <c r="Q1649">
        <f>_xlfn.XLOOKUP(Orders[[#This Row],[CustomerID]],Customers[CustomerID],Customers[CustomerAge])</f>
        <v>39</v>
      </c>
      <c r="R1649" t="str">
        <f>IF(Orders[[#This Row],[CustomerAge]]&gt;=35, "Older", "Young")</f>
        <v>Older</v>
      </c>
      <c r="S1649" t="str">
        <f>_xlfn.XLOOKUP(Orders[[#This Row],[ProductID]],Products[ProductID],Products[ProductName])</f>
        <v>Sneakers</v>
      </c>
      <c r="T1649" t="str">
        <f>_xlfn.XLOOKUP(Orders[[#This Row],[ProductID]],Products[ProductID],Products[Category])</f>
        <v>Sports</v>
      </c>
    </row>
    <row r="1650" spans="1:20" x14ac:dyDescent="0.25">
      <c r="A1650" s="4" t="s">
        <v>1839</v>
      </c>
      <c r="B1650" s="5">
        <v>45946</v>
      </c>
      <c r="C1650" s="15">
        <f>WEEKNUM(Orders[[#This Row],[OrderDate]])</f>
        <v>42</v>
      </c>
      <c r="D1650" s="15" t="str">
        <f>TEXT(Orders[[#This Row],[OrderDate]],"mmmm")</f>
        <v>October</v>
      </c>
      <c r="E1650" s="4" t="s">
        <v>212</v>
      </c>
      <c r="F1650" s="4" t="s">
        <v>46</v>
      </c>
      <c r="G1650" s="4">
        <v>4</v>
      </c>
      <c r="H1650" s="12">
        <v>11200.699999999999</v>
      </c>
      <c r="I1650" s="13">
        <v>9520.5949999999993</v>
      </c>
      <c r="J1650" s="13">
        <f>Orders[[#This Row],[Quantity]]*Orders[[#This Row],[Selling Price]]</f>
        <v>44802.799999999996</v>
      </c>
      <c r="K1650" s="13">
        <f>Orders[[#This Row],[Quantity]]*Orders[[#This Row],[Cost Price]]</f>
        <v>38082.379999999997</v>
      </c>
      <c r="L1650" s="13">
        <f>Orders[[#This Row],[Revenue]]-Orders[[#This Row],[Expenses]]</f>
        <v>6720.4199999999983</v>
      </c>
      <c r="M1650" t="s">
        <v>2195</v>
      </c>
      <c r="N1650" t="str">
        <f>_xlfn.XLOOKUP(Orders[[#This Row],[CustomerID]],Customers[CustomerID],Customers[CustomerName])</f>
        <v>Ngozi Ojo</v>
      </c>
      <c r="O1650" t="str">
        <f>_xlfn.XLOOKUP(Orders[[#This Row],[CustomerID]],Customers[CustomerID],Customers[City])</f>
        <v>Illinois</v>
      </c>
      <c r="P1650" t="str">
        <f>_xlfn.XLOOKUP(Orders[[#This Row],[CustomerID]],Customers[CustomerID],Customers[Gender])</f>
        <v>Female</v>
      </c>
      <c r="Q1650">
        <f>_xlfn.XLOOKUP(Orders[[#This Row],[CustomerID]],Customers[CustomerID],Customers[CustomerAge])</f>
        <v>53</v>
      </c>
      <c r="R1650" t="str">
        <f>IF(Orders[[#This Row],[CustomerAge]]&gt;=35, "Older", "Young")</f>
        <v>Older</v>
      </c>
      <c r="S1650" t="str">
        <f>_xlfn.XLOOKUP(Orders[[#This Row],[ProductID]],Products[ProductID],Products[ProductName])</f>
        <v>Turtle Neck</v>
      </c>
      <c r="T1650" t="str">
        <f>_xlfn.XLOOKUP(Orders[[#This Row],[ProductID]],Products[ProductID],Products[Category])</f>
        <v>Clothing</v>
      </c>
    </row>
    <row r="1651" spans="1:20" x14ac:dyDescent="0.25">
      <c r="A1651" s="4" t="s">
        <v>1840</v>
      </c>
      <c r="B1651" s="5">
        <v>45988</v>
      </c>
      <c r="C1651" s="15">
        <f>WEEKNUM(Orders[[#This Row],[OrderDate]])</f>
        <v>48</v>
      </c>
      <c r="D1651" s="15" t="str">
        <f>TEXT(Orders[[#This Row],[OrderDate]],"mmmm")</f>
        <v>November</v>
      </c>
      <c r="E1651" s="4" t="s">
        <v>574</v>
      </c>
      <c r="F1651" s="4" t="s">
        <v>25</v>
      </c>
      <c r="G1651" s="4">
        <v>1</v>
      </c>
      <c r="H1651" s="12">
        <v>17867.400000000001</v>
      </c>
      <c r="I1651" s="13">
        <v>15187.29</v>
      </c>
      <c r="J1651" s="13">
        <f>Orders[[#This Row],[Quantity]]*Orders[[#This Row],[Selling Price]]</f>
        <v>17867.400000000001</v>
      </c>
      <c r="K1651" s="13">
        <f>Orders[[#This Row],[Quantity]]*Orders[[#This Row],[Cost Price]]</f>
        <v>15187.29</v>
      </c>
      <c r="L1651" s="13">
        <f>Orders[[#This Row],[Revenue]]-Orders[[#This Row],[Expenses]]</f>
        <v>2680.1100000000006</v>
      </c>
      <c r="M1651" t="s">
        <v>2199</v>
      </c>
      <c r="N1651" t="str">
        <f>_xlfn.XLOOKUP(Orders[[#This Row],[CustomerID]],Customers[CustomerID],Customers[CustomerName])</f>
        <v>Adanma Obi</v>
      </c>
      <c r="O1651" t="str">
        <f>_xlfn.XLOOKUP(Orders[[#This Row],[CustomerID]],Customers[CustomerID],Customers[City])</f>
        <v>Texas</v>
      </c>
      <c r="P1651" t="str">
        <f>_xlfn.XLOOKUP(Orders[[#This Row],[CustomerID]],Customers[CustomerID],Customers[Gender])</f>
        <v>Female</v>
      </c>
      <c r="Q1651">
        <f>_xlfn.XLOOKUP(Orders[[#This Row],[CustomerID]],Customers[CustomerID],Customers[CustomerAge])</f>
        <v>23</v>
      </c>
      <c r="R1651" t="str">
        <f>IF(Orders[[#This Row],[CustomerAge]]&gt;=35, "Older", "Young")</f>
        <v>Young</v>
      </c>
      <c r="S1651" t="str">
        <f>_xlfn.XLOOKUP(Orders[[#This Row],[ProductID]],Products[ProductID],Products[ProductName])</f>
        <v>Gold Rings</v>
      </c>
      <c r="T1651" t="str">
        <f>_xlfn.XLOOKUP(Orders[[#This Row],[ProductID]],Products[ProductID],Products[Category])</f>
        <v>Accessories</v>
      </c>
    </row>
    <row r="1652" spans="1:20" x14ac:dyDescent="0.25">
      <c r="A1652" s="4" t="s">
        <v>1841</v>
      </c>
      <c r="B1652" s="5">
        <v>45976</v>
      </c>
      <c r="C1652" s="15">
        <f>WEEKNUM(Orders[[#This Row],[OrderDate]])</f>
        <v>46</v>
      </c>
      <c r="D1652" s="15" t="str">
        <f>TEXT(Orders[[#This Row],[OrderDate]],"mmmm")</f>
        <v>November</v>
      </c>
      <c r="E1652" s="4" t="s">
        <v>87</v>
      </c>
      <c r="F1652" s="4" t="s">
        <v>130</v>
      </c>
      <c r="G1652" s="4">
        <v>9</v>
      </c>
      <c r="H1652" s="12">
        <v>7057.2000000000007</v>
      </c>
      <c r="I1652" s="13">
        <v>5998.6200000000008</v>
      </c>
      <c r="J1652" s="13">
        <f>Orders[[#This Row],[Quantity]]*Orders[[#This Row],[Selling Price]]</f>
        <v>63514.8</v>
      </c>
      <c r="K1652" s="13">
        <f>Orders[[#This Row],[Quantity]]*Orders[[#This Row],[Cost Price]]</f>
        <v>53987.580000000009</v>
      </c>
      <c r="L1652" s="13">
        <f>Orders[[#This Row],[Revenue]]-Orders[[#This Row],[Expenses]]</f>
        <v>9527.2199999999939</v>
      </c>
      <c r="M1652" t="s">
        <v>2193</v>
      </c>
      <c r="N1652" t="str">
        <f>_xlfn.XLOOKUP(Orders[[#This Row],[CustomerID]],Customers[CustomerID],Customers[CustomerName])</f>
        <v>Efe Igwe</v>
      </c>
      <c r="O1652" t="str">
        <f>_xlfn.XLOOKUP(Orders[[#This Row],[CustomerID]],Customers[CustomerID],Customers[City])</f>
        <v>Illinois</v>
      </c>
      <c r="P1652" t="str">
        <f>_xlfn.XLOOKUP(Orders[[#This Row],[CustomerID]],Customers[CustomerID],Customers[Gender])</f>
        <v>Female</v>
      </c>
      <c r="Q1652">
        <f>_xlfn.XLOOKUP(Orders[[#This Row],[CustomerID]],Customers[CustomerID],Customers[CustomerAge])</f>
        <v>34</v>
      </c>
      <c r="R1652" t="str">
        <f>IF(Orders[[#This Row],[CustomerAge]]&gt;=35, "Older", "Young")</f>
        <v>Young</v>
      </c>
      <c r="S1652" t="str">
        <f>_xlfn.XLOOKUP(Orders[[#This Row],[ProductID]],Products[ProductID],Products[ProductName])</f>
        <v>Gold Earrings And Necklaces</v>
      </c>
      <c r="T1652" t="str">
        <f>_xlfn.XLOOKUP(Orders[[#This Row],[ProductID]],Products[ProductID],Products[Category])</f>
        <v>Accessories</v>
      </c>
    </row>
    <row r="1653" spans="1:20" x14ac:dyDescent="0.25">
      <c r="A1653" s="4" t="s">
        <v>1842</v>
      </c>
      <c r="B1653" s="5">
        <v>45953</v>
      </c>
      <c r="C1653" s="15">
        <f>WEEKNUM(Orders[[#This Row],[OrderDate]])</f>
        <v>43</v>
      </c>
      <c r="D1653" s="15" t="str">
        <f>TEXT(Orders[[#This Row],[OrderDate]],"mmmm")</f>
        <v>October</v>
      </c>
      <c r="E1653" s="4" t="s">
        <v>184</v>
      </c>
      <c r="F1653" s="4" t="s">
        <v>37</v>
      </c>
      <c r="G1653" s="4">
        <v>3</v>
      </c>
      <c r="H1653" s="12">
        <v>19644.5</v>
      </c>
      <c r="I1653" s="13">
        <v>16697.825000000001</v>
      </c>
      <c r="J1653" s="13">
        <f>Orders[[#This Row],[Quantity]]*Orders[[#This Row],[Selling Price]]</f>
        <v>58933.5</v>
      </c>
      <c r="K1653" s="13">
        <f>Orders[[#This Row],[Quantity]]*Orders[[#This Row],[Cost Price]]</f>
        <v>50093.475000000006</v>
      </c>
      <c r="L1653" s="13">
        <f>Orders[[#This Row],[Revenue]]-Orders[[#This Row],[Expenses]]</f>
        <v>8840.0249999999942</v>
      </c>
      <c r="M1653" t="s">
        <v>2201</v>
      </c>
      <c r="N1653" t="str">
        <f>_xlfn.XLOOKUP(Orders[[#This Row],[CustomerID]],Customers[CustomerID],Customers[CustomerName])</f>
        <v>Ngozi Obi</v>
      </c>
      <c r="O1653" t="str">
        <f>_xlfn.XLOOKUP(Orders[[#This Row],[CustomerID]],Customers[CustomerID],Customers[City])</f>
        <v>Washington</v>
      </c>
      <c r="P1653" t="str">
        <f>_xlfn.XLOOKUP(Orders[[#This Row],[CustomerID]],Customers[CustomerID],Customers[Gender])</f>
        <v>Female</v>
      </c>
      <c r="Q1653">
        <f>_xlfn.XLOOKUP(Orders[[#This Row],[CustomerID]],Customers[CustomerID],Customers[CustomerAge])</f>
        <v>32</v>
      </c>
      <c r="R1653" t="str">
        <f>IF(Orders[[#This Row],[CustomerAge]]&gt;=35, "Older", "Young")</f>
        <v>Young</v>
      </c>
      <c r="S1653" t="str">
        <f>_xlfn.XLOOKUP(Orders[[#This Row],[ProductID]],Products[ProductID],Products[ProductName])</f>
        <v>Iron</v>
      </c>
      <c r="T1653" t="str">
        <f>_xlfn.XLOOKUP(Orders[[#This Row],[ProductID]],Products[ProductID],Products[Category])</f>
        <v>Electronics</v>
      </c>
    </row>
    <row r="1654" spans="1:20" x14ac:dyDescent="0.25">
      <c r="A1654" s="4" t="s">
        <v>1843</v>
      </c>
      <c r="B1654" s="5">
        <v>45954</v>
      </c>
      <c r="C1654" s="15">
        <f>WEEKNUM(Orders[[#This Row],[OrderDate]])</f>
        <v>43</v>
      </c>
      <c r="D1654" s="15" t="str">
        <f>TEXT(Orders[[#This Row],[OrderDate]],"mmmm")</f>
        <v>October</v>
      </c>
      <c r="E1654" s="4" t="s">
        <v>291</v>
      </c>
      <c r="F1654" s="4" t="s">
        <v>111</v>
      </c>
      <c r="G1654" s="4">
        <v>7</v>
      </c>
      <c r="H1654" s="12">
        <v>10525</v>
      </c>
      <c r="I1654" s="13">
        <v>8946.25</v>
      </c>
      <c r="J1654" s="13">
        <f>Orders[[#This Row],[Quantity]]*Orders[[#This Row],[Selling Price]]</f>
        <v>73675</v>
      </c>
      <c r="K1654" s="13">
        <f>Orders[[#This Row],[Quantity]]*Orders[[#This Row],[Cost Price]]</f>
        <v>62623.75</v>
      </c>
      <c r="L1654" s="13">
        <f>Orders[[#This Row],[Revenue]]-Orders[[#This Row],[Expenses]]</f>
        <v>11051.25</v>
      </c>
      <c r="M1654" t="s">
        <v>2199</v>
      </c>
      <c r="N1654" t="str">
        <f>_xlfn.XLOOKUP(Orders[[#This Row],[CustomerID]],Customers[CustomerID],Customers[CustomerName])</f>
        <v>Okon Igwe</v>
      </c>
      <c r="O1654" t="str">
        <f>_xlfn.XLOOKUP(Orders[[#This Row],[CustomerID]],Customers[CustomerID],Customers[City])</f>
        <v>Texas</v>
      </c>
      <c r="P1654" t="str">
        <f>_xlfn.XLOOKUP(Orders[[#This Row],[CustomerID]],Customers[CustomerID],Customers[Gender])</f>
        <v>Male</v>
      </c>
      <c r="Q1654">
        <f>_xlfn.XLOOKUP(Orders[[#This Row],[CustomerID]],Customers[CustomerID],Customers[CustomerAge])</f>
        <v>33</v>
      </c>
      <c r="R1654" t="str">
        <f>IF(Orders[[#This Row],[CustomerAge]]&gt;=35, "Older", "Young")</f>
        <v>Young</v>
      </c>
      <c r="S1654" t="str">
        <f>_xlfn.XLOOKUP(Orders[[#This Row],[ProductID]],Products[ProductID],Products[ProductName])</f>
        <v>Refrigerator</v>
      </c>
      <c r="T1654" t="str">
        <f>_xlfn.XLOOKUP(Orders[[#This Row],[ProductID]],Products[ProductID],Products[Category])</f>
        <v>Electronics</v>
      </c>
    </row>
    <row r="1655" spans="1:20" x14ac:dyDescent="0.25">
      <c r="A1655" s="4" t="s">
        <v>1844</v>
      </c>
      <c r="B1655" s="5">
        <v>45957</v>
      </c>
      <c r="C1655" s="15">
        <f>WEEKNUM(Orders[[#This Row],[OrderDate]])</f>
        <v>44</v>
      </c>
      <c r="D1655" s="15" t="str">
        <f>TEXT(Orders[[#This Row],[OrderDate]],"mmmm")</f>
        <v>October</v>
      </c>
      <c r="E1655" s="4" t="s">
        <v>203</v>
      </c>
      <c r="F1655" s="4" t="s">
        <v>60</v>
      </c>
      <c r="G1655" s="4">
        <v>7</v>
      </c>
      <c r="H1655" s="12">
        <v>13701.6</v>
      </c>
      <c r="I1655" s="13">
        <v>11646.36</v>
      </c>
      <c r="J1655" s="13">
        <f>Orders[[#This Row],[Quantity]]*Orders[[#This Row],[Selling Price]]</f>
        <v>95911.2</v>
      </c>
      <c r="K1655" s="13">
        <f>Orders[[#This Row],[Quantity]]*Orders[[#This Row],[Cost Price]]</f>
        <v>81524.52</v>
      </c>
      <c r="L1655" s="13">
        <f>Orders[[#This Row],[Revenue]]-Orders[[#This Row],[Expenses]]</f>
        <v>14386.679999999993</v>
      </c>
      <c r="M1655" t="s">
        <v>2210</v>
      </c>
      <c r="N1655" t="str">
        <f>_xlfn.XLOOKUP(Orders[[#This Row],[CustomerID]],Customers[CustomerID],Customers[CustomerName])</f>
        <v>Okon Bello</v>
      </c>
      <c r="O1655" t="str">
        <f>_xlfn.XLOOKUP(Orders[[#This Row],[CustomerID]],Customers[CustomerID],Customers[City])</f>
        <v>Texas</v>
      </c>
      <c r="P1655" t="str">
        <f>_xlfn.XLOOKUP(Orders[[#This Row],[CustomerID]],Customers[CustomerID],Customers[Gender])</f>
        <v>Male</v>
      </c>
      <c r="Q1655">
        <f>_xlfn.XLOOKUP(Orders[[#This Row],[CustomerID]],Customers[CustomerID],Customers[CustomerAge])</f>
        <v>20</v>
      </c>
      <c r="R1655" t="str">
        <f>IF(Orders[[#This Row],[CustomerAge]]&gt;=35, "Older", "Young")</f>
        <v>Young</v>
      </c>
      <c r="S1655" t="str">
        <f>_xlfn.XLOOKUP(Orders[[#This Row],[ProductID]],Products[ProductID],Products[ProductName])</f>
        <v>Silver Rings</v>
      </c>
      <c r="T1655" t="str">
        <f>_xlfn.XLOOKUP(Orders[[#This Row],[ProductID]],Products[ProductID],Products[Category])</f>
        <v>Accessories</v>
      </c>
    </row>
    <row r="1656" spans="1:20" x14ac:dyDescent="0.25">
      <c r="A1656" s="4" t="s">
        <v>1845</v>
      </c>
      <c r="B1656" s="5">
        <v>45964</v>
      </c>
      <c r="C1656" s="15">
        <f>WEEKNUM(Orders[[#This Row],[OrderDate]])</f>
        <v>45</v>
      </c>
      <c r="D1656" s="15" t="str">
        <f>TEXT(Orders[[#This Row],[OrderDate]],"mmmm")</f>
        <v>November</v>
      </c>
      <c r="E1656" s="4" t="s">
        <v>163</v>
      </c>
      <c r="F1656" s="4" t="s">
        <v>34</v>
      </c>
      <c r="G1656" s="4">
        <v>8</v>
      </c>
      <c r="H1656" s="12">
        <v>4532.7999999999993</v>
      </c>
      <c r="I1656" s="13">
        <v>3852.8799999999992</v>
      </c>
      <c r="J1656" s="13">
        <f>Orders[[#This Row],[Quantity]]*Orders[[#This Row],[Selling Price]]</f>
        <v>36262.399999999994</v>
      </c>
      <c r="K1656" s="13">
        <f>Orders[[#This Row],[Quantity]]*Orders[[#This Row],[Cost Price]]</f>
        <v>30823.039999999994</v>
      </c>
      <c r="L1656" s="13">
        <f>Orders[[#This Row],[Revenue]]-Orders[[#This Row],[Expenses]]</f>
        <v>5439.3600000000006</v>
      </c>
      <c r="M1656" t="s">
        <v>2220</v>
      </c>
      <c r="N1656" t="str">
        <f>_xlfn.XLOOKUP(Orders[[#This Row],[CustomerID]],Customers[CustomerID],Customers[CustomerName])</f>
        <v>Folasade Danladi</v>
      </c>
      <c r="O1656" t="str">
        <f>_xlfn.XLOOKUP(Orders[[#This Row],[CustomerID]],Customers[CustomerID],Customers[City])</f>
        <v>Texas</v>
      </c>
      <c r="P1656" t="str">
        <f>_xlfn.XLOOKUP(Orders[[#This Row],[CustomerID]],Customers[CustomerID],Customers[Gender])</f>
        <v>Female</v>
      </c>
      <c r="Q1656">
        <f>_xlfn.XLOOKUP(Orders[[#This Row],[CustomerID]],Customers[CustomerID],Customers[CustomerAge])</f>
        <v>32</v>
      </c>
      <c r="R1656" t="str">
        <f>IF(Orders[[#This Row],[CustomerAge]]&gt;=35, "Older", "Young")</f>
        <v>Young</v>
      </c>
      <c r="S1656" t="str">
        <f>_xlfn.XLOOKUP(Orders[[#This Row],[ProductID]],Products[ProductID],Products[ProductName])</f>
        <v>Gold Bracelets</v>
      </c>
      <c r="T1656" t="str">
        <f>_xlfn.XLOOKUP(Orders[[#This Row],[ProductID]],Products[ProductID],Products[Category])</f>
        <v>Accessories</v>
      </c>
    </row>
    <row r="1657" spans="1:20" x14ac:dyDescent="0.25">
      <c r="A1657" s="4" t="s">
        <v>1846</v>
      </c>
      <c r="B1657" s="5">
        <v>45942</v>
      </c>
      <c r="C1657" s="15">
        <f>WEEKNUM(Orders[[#This Row],[OrderDate]])</f>
        <v>42</v>
      </c>
      <c r="D1657" s="15" t="str">
        <f>TEXT(Orders[[#This Row],[OrderDate]],"mmmm")</f>
        <v>October</v>
      </c>
      <c r="E1657" s="4" t="s">
        <v>17</v>
      </c>
      <c r="F1657" s="4" t="s">
        <v>9</v>
      </c>
      <c r="G1657" s="4">
        <v>9</v>
      </c>
      <c r="H1657" s="12">
        <v>7810</v>
      </c>
      <c r="I1657" s="13">
        <v>6638.5</v>
      </c>
      <c r="J1657" s="13">
        <f>Orders[[#This Row],[Quantity]]*Orders[[#This Row],[Selling Price]]</f>
        <v>70290</v>
      </c>
      <c r="K1657" s="13">
        <f>Orders[[#This Row],[Quantity]]*Orders[[#This Row],[Cost Price]]</f>
        <v>59746.5</v>
      </c>
      <c r="L1657" s="13">
        <f>Orders[[#This Row],[Revenue]]-Orders[[#This Row],[Expenses]]</f>
        <v>10543.5</v>
      </c>
      <c r="M1657" t="s">
        <v>2205</v>
      </c>
      <c r="N1657" t="str">
        <f>_xlfn.XLOOKUP(Orders[[#This Row],[CustomerID]],Customers[CustomerID],Customers[CustomerName])</f>
        <v>Bisi Adeyemi</v>
      </c>
      <c r="O1657" t="str">
        <f>_xlfn.XLOOKUP(Orders[[#This Row],[CustomerID]],Customers[CustomerID],Customers[City])</f>
        <v>Illinois</v>
      </c>
      <c r="P1657" t="str">
        <f>_xlfn.XLOOKUP(Orders[[#This Row],[CustomerID]],Customers[CustomerID],Customers[Gender])</f>
        <v>Female</v>
      </c>
      <c r="Q1657">
        <f>_xlfn.XLOOKUP(Orders[[#This Row],[CustomerID]],Customers[CustomerID],Customers[CustomerAge])</f>
        <v>48</v>
      </c>
      <c r="R1657" t="str">
        <f>IF(Orders[[#This Row],[CustomerAge]]&gt;=35, "Older", "Young")</f>
        <v>Older</v>
      </c>
      <c r="S1657" t="str">
        <f>_xlfn.XLOOKUP(Orders[[#This Row],[ProductID]],Products[ProductID],Products[ProductName])</f>
        <v>Beaded Earrings And Necklaces</v>
      </c>
      <c r="T1657" t="str">
        <f>_xlfn.XLOOKUP(Orders[[#This Row],[ProductID]],Products[ProductID],Products[Category])</f>
        <v>Accessories</v>
      </c>
    </row>
    <row r="1658" spans="1:20" x14ac:dyDescent="0.25">
      <c r="A1658" s="4" t="s">
        <v>1847</v>
      </c>
      <c r="B1658" s="5">
        <v>45965</v>
      </c>
      <c r="C1658" s="15">
        <f>WEEKNUM(Orders[[#This Row],[OrderDate]])</f>
        <v>45</v>
      </c>
      <c r="D1658" s="15" t="str">
        <f>TEXT(Orders[[#This Row],[OrderDate]],"mmmm")</f>
        <v>November</v>
      </c>
      <c r="E1658" s="4" t="s">
        <v>352</v>
      </c>
      <c r="F1658" s="4" t="s">
        <v>189</v>
      </c>
      <c r="G1658" s="4">
        <v>9</v>
      </c>
      <c r="H1658" s="12">
        <v>11970.9</v>
      </c>
      <c r="I1658" s="13">
        <v>10175.264999999999</v>
      </c>
      <c r="J1658" s="13">
        <f>Orders[[#This Row],[Quantity]]*Orders[[#This Row],[Selling Price]]</f>
        <v>107738.09999999999</v>
      </c>
      <c r="K1658" s="13">
        <f>Orders[[#This Row],[Quantity]]*Orders[[#This Row],[Cost Price]]</f>
        <v>91577.384999999995</v>
      </c>
      <c r="L1658" s="13">
        <f>Orders[[#This Row],[Revenue]]-Orders[[#This Row],[Expenses]]</f>
        <v>16160.714999999997</v>
      </c>
      <c r="M1658" t="s">
        <v>2202</v>
      </c>
      <c r="N1658" t="str">
        <f>_xlfn.XLOOKUP(Orders[[#This Row],[CustomerID]],Customers[CustomerID],Customers[CustomerName])</f>
        <v>Zainab Eze</v>
      </c>
      <c r="O1658" t="str">
        <f>_xlfn.XLOOKUP(Orders[[#This Row],[CustomerID]],Customers[CustomerID],Customers[City])</f>
        <v>Texas</v>
      </c>
      <c r="P1658" t="str">
        <f>_xlfn.XLOOKUP(Orders[[#This Row],[CustomerID]],Customers[CustomerID],Customers[Gender])</f>
        <v>Female</v>
      </c>
      <c r="Q1658">
        <f>_xlfn.XLOOKUP(Orders[[#This Row],[CustomerID]],Customers[CustomerID],Customers[CustomerAge])</f>
        <v>40</v>
      </c>
      <c r="R1658" t="str">
        <f>IF(Orders[[#This Row],[CustomerAge]]&gt;=35, "Older", "Young")</f>
        <v>Older</v>
      </c>
      <c r="S1658" t="str">
        <f>_xlfn.XLOOKUP(Orders[[#This Row],[ProductID]],Products[ProductID],Products[ProductName])</f>
        <v>Scrabble</v>
      </c>
      <c r="T1658" t="str">
        <f>_xlfn.XLOOKUP(Orders[[#This Row],[ProductID]],Products[ProductID],Products[Category])</f>
        <v>Games</v>
      </c>
    </row>
    <row r="1659" spans="1:20" x14ac:dyDescent="0.25">
      <c r="A1659" s="4" t="s">
        <v>1848</v>
      </c>
      <c r="B1659" s="5">
        <v>45946</v>
      </c>
      <c r="C1659" s="15">
        <f>WEEKNUM(Orders[[#This Row],[OrderDate]])</f>
        <v>42</v>
      </c>
      <c r="D1659" s="15" t="str">
        <f>TEXT(Orders[[#This Row],[OrderDate]],"mmmm")</f>
        <v>October</v>
      </c>
      <c r="E1659" s="4" t="s">
        <v>107</v>
      </c>
      <c r="F1659" s="4" t="s">
        <v>70</v>
      </c>
      <c r="G1659" s="4">
        <v>1</v>
      </c>
      <c r="H1659" s="12">
        <v>12970.4</v>
      </c>
      <c r="I1659" s="13">
        <v>11024.84</v>
      </c>
      <c r="J1659" s="13">
        <f>Orders[[#This Row],[Quantity]]*Orders[[#This Row],[Selling Price]]</f>
        <v>12970.4</v>
      </c>
      <c r="K1659" s="13">
        <f>Orders[[#This Row],[Quantity]]*Orders[[#This Row],[Cost Price]]</f>
        <v>11024.84</v>
      </c>
      <c r="L1659" s="13">
        <f>Orders[[#This Row],[Revenue]]-Orders[[#This Row],[Expenses]]</f>
        <v>1945.5599999999995</v>
      </c>
      <c r="M1659" t="s">
        <v>2209</v>
      </c>
      <c r="N1659" t="str">
        <f>_xlfn.XLOOKUP(Orders[[#This Row],[CustomerID]],Customers[CustomerID],Customers[CustomerName])</f>
        <v>Blessing Eze</v>
      </c>
      <c r="O1659" t="str">
        <f>_xlfn.XLOOKUP(Orders[[#This Row],[CustomerID]],Customers[CustomerID],Customers[City])</f>
        <v>Texas</v>
      </c>
      <c r="P1659" t="str">
        <f>_xlfn.XLOOKUP(Orders[[#This Row],[CustomerID]],Customers[CustomerID],Customers[Gender])</f>
        <v>Female</v>
      </c>
      <c r="Q1659">
        <f>_xlfn.XLOOKUP(Orders[[#This Row],[CustomerID]],Customers[CustomerID],Customers[CustomerAge])</f>
        <v>44</v>
      </c>
      <c r="R1659" t="str">
        <f>IF(Orders[[#This Row],[CustomerAge]]&gt;=35, "Older", "Young")</f>
        <v>Older</v>
      </c>
      <c r="S1659" t="str">
        <f>_xlfn.XLOOKUP(Orders[[#This Row],[ProductID]],Products[ProductID],Products[ProductName])</f>
        <v>Yoga Mat</v>
      </c>
      <c r="T1659" t="str">
        <f>_xlfn.XLOOKUP(Orders[[#This Row],[ProductID]],Products[ProductID],Products[Category])</f>
        <v>Gym</v>
      </c>
    </row>
    <row r="1660" spans="1:20" x14ac:dyDescent="0.25">
      <c r="A1660" s="4" t="s">
        <v>1849</v>
      </c>
      <c r="B1660" s="5">
        <v>45934</v>
      </c>
      <c r="C1660" s="15">
        <f>WEEKNUM(Orders[[#This Row],[OrderDate]])</f>
        <v>40</v>
      </c>
      <c r="D1660" s="15" t="str">
        <f>TEXT(Orders[[#This Row],[OrderDate]],"mmmm")</f>
        <v>October</v>
      </c>
      <c r="E1660" s="4" t="s">
        <v>416</v>
      </c>
      <c r="F1660" s="4" t="s">
        <v>46</v>
      </c>
      <c r="G1660" s="4">
        <v>4</v>
      </c>
      <c r="H1660" s="12">
        <v>11575.4</v>
      </c>
      <c r="I1660" s="13">
        <v>9839.09</v>
      </c>
      <c r="J1660" s="13">
        <f>Orders[[#This Row],[Quantity]]*Orders[[#This Row],[Selling Price]]</f>
        <v>46301.599999999999</v>
      </c>
      <c r="K1660" s="13">
        <f>Orders[[#This Row],[Quantity]]*Orders[[#This Row],[Cost Price]]</f>
        <v>39356.36</v>
      </c>
      <c r="L1660" s="13">
        <f>Orders[[#This Row],[Revenue]]-Orders[[#This Row],[Expenses]]</f>
        <v>6945.239999999998</v>
      </c>
      <c r="M1660" t="s">
        <v>2199</v>
      </c>
      <c r="N1660" t="str">
        <f>_xlfn.XLOOKUP(Orders[[#This Row],[CustomerID]],Customers[CustomerID],Customers[CustomerName])</f>
        <v>Chinedu Igwe</v>
      </c>
      <c r="O1660" t="str">
        <f>_xlfn.XLOOKUP(Orders[[#This Row],[CustomerID]],Customers[CustomerID],Customers[City])</f>
        <v>Texas</v>
      </c>
      <c r="P1660" t="str">
        <f>_xlfn.XLOOKUP(Orders[[#This Row],[CustomerID]],Customers[CustomerID],Customers[Gender])</f>
        <v>Male</v>
      </c>
      <c r="Q1660">
        <f>_xlfn.XLOOKUP(Orders[[#This Row],[CustomerID]],Customers[CustomerID],Customers[CustomerAge])</f>
        <v>26</v>
      </c>
      <c r="R1660" t="str">
        <f>IF(Orders[[#This Row],[CustomerAge]]&gt;=35, "Older", "Young")</f>
        <v>Young</v>
      </c>
      <c r="S1660" t="str">
        <f>_xlfn.XLOOKUP(Orders[[#This Row],[ProductID]],Products[ProductID],Products[ProductName])</f>
        <v>Turtle Neck</v>
      </c>
      <c r="T1660" t="str">
        <f>_xlfn.XLOOKUP(Orders[[#This Row],[ProductID]],Products[ProductID],Products[Category])</f>
        <v>Clothing</v>
      </c>
    </row>
    <row r="1661" spans="1:20" x14ac:dyDescent="0.25">
      <c r="A1661" s="4" t="s">
        <v>1850</v>
      </c>
      <c r="B1661" s="5">
        <v>46021</v>
      </c>
      <c r="C1661" s="15">
        <f>WEEKNUM(Orders[[#This Row],[OrderDate]])</f>
        <v>53</v>
      </c>
      <c r="D1661" s="15" t="str">
        <f>TEXT(Orders[[#This Row],[OrderDate]],"mmmm")</f>
        <v>December</v>
      </c>
      <c r="E1661" s="4" t="s">
        <v>136</v>
      </c>
      <c r="F1661" s="4" t="s">
        <v>63</v>
      </c>
      <c r="G1661" s="4">
        <v>6</v>
      </c>
      <c r="H1661" s="12">
        <v>10882.8</v>
      </c>
      <c r="I1661" s="13">
        <v>9250.3799999999992</v>
      </c>
      <c r="J1661" s="13">
        <f>Orders[[#This Row],[Quantity]]*Orders[[#This Row],[Selling Price]]</f>
        <v>65296.799999999996</v>
      </c>
      <c r="K1661" s="13">
        <f>Orders[[#This Row],[Quantity]]*Orders[[#This Row],[Cost Price]]</f>
        <v>55502.28</v>
      </c>
      <c r="L1661" s="13">
        <f>Orders[[#This Row],[Revenue]]-Orders[[#This Row],[Expenses]]</f>
        <v>9794.5199999999968</v>
      </c>
      <c r="M1661" t="s">
        <v>2220</v>
      </c>
      <c r="N1661" t="str">
        <f>_xlfn.XLOOKUP(Orders[[#This Row],[CustomerID]],Customers[CustomerID],Customers[CustomerName])</f>
        <v>Chinedu Obi</v>
      </c>
      <c r="O1661" t="str">
        <f>_xlfn.XLOOKUP(Orders[[#This Row],[CustomerID]],Customers[CustomerID],Customers[City])</f>
        <v>California</v>
      </c>
      <c r="P1661" t="str">
        <f>_xlfn.XLOOKUP(Orders[[#This Row],[CustomerID]],Customers[CustomerID],Customers[Gender])</f>
        <v>Male</v>
      </c>
      <c r="Q1661">
        <f>_xlfn.XLOOKUP(Orders[[#This Row],[CustomerID]],Customers[CustomerID],Customers[CustomerAge])</f>
        <v>27</v>
      </c>
      <c r="R1661" t="str">
        <f>IF(Orders[[#This Row],[CustomerAge]]&gt;=35, "Older", "Young")</f>
        <v>Young</v>
      </c>
      <c r="S1661" t="str">
        <f>_xlfn.XLOOKUP(Orders[[#This Row],[ProductID]],Products[ProductID],Products[ProductName])</f>
        <v>Tennis Bat</v>
      </c>
      <c r="T1661" t="str">
        <f>_xlfn.XLOOKUP(Orders[[#This Row],[ProductID]],Products[ProductID],Products[Category])</f>
        <v>Sports</v>
      </c>
    </row>
    <row r="1662" spans="1:20" x14ac:dyDescent="0.25">
      <c r="A1662" s="4" t="s">
        <v>1851</v>
      </c>
      <c r="B1662" s="5">
        <v>45938</v>
      </c>
      <c r="C1662" s="15">
        <f>WEEKNUM(Orders[[#This Row],[OrderDate]])</f>
        <v>41</v>
      </c>
      <c r="D1662" s="15" t="str">
        <f>TEXT(Orders[[#This Row],[OrderDate]],"mmmm")</f>
        <v>October</v>
      </c>
      <c r="E1662" s="4" t="s">
        <v>8</v>
      </c>
      <c r="F1662" s="4" t="s">
        <v>20</v>
      </c>
      <c r="G1662" s="4">
        <v>6</v>
      </c>
      <c r="H1662" s="12">
        <v>2471.1000000000004</v>
      </c>
      <c r="I1662" s="13">
        <v>2100.4350000000004</v>
      </c>
      <c r="J1662" s="13">
        <f>Orders[[#This Row],[Quantity]]*Orders[[#This Row],[Selling Price]]</f>
        <v>14826.600000000002</v>
      </c>
      <c r="K1662" s="13">
        <f>Orders[[#This Row],[Quantity]]*Orders[[#This Row],[Cost Price]]</f>
        <v>12602.610000000002</v>
      </c>
      <c r="L1662" s="13">
        <f>Orders[[#This Row],[Revenue]]-Orders[[#This Row],[Expenses]]</f>
        <v>2223.9899999999998</v>
      </c>
      <c r="M1662" t="s">
        <v>2202</v>
      </c>
      <c r="N1662" t="str">
        <f>_xlfn.XLOOKUP(Orders[[#This Row],[CustomerID]],Customers[CustomerID],Customers[CustomerName])</f>
        <v>Bi si Bello</v>
      </c>
      <c r="O1662" t="str">
        <f>_xlfn.XLOOKUP(Orders[[#This Row],[CustomerID]],Customers[CustomerID],Customers[City])</f>
        <v>Washington</v>
      </c>
      <c r="P1662" t="str">
        <f>_xlfn.XLOOKUP(Orders[[#This Row],[CustomerID]],Customers[CustomerID],Customers[Gender])</f>
        <v>Female</v>
      </c>
      <c r="Q1662">
        <f>_xlfn.XLOOKUP(Orders[[#This Row],[CustomerID]],Customers[CustomerID],Customers[CustomerAge])</f>
        <v>38</v>
      </c>
      <c r="R1662" t="str">
        <f>IF(Orders[[#This Row],[CustomerAge]]&gt;=35, "Older", "Young")</f>
        <v>Older</v>
      </c>
      <c r="S1662" t="str">
        <f>_xlfn.XLOOKUP(Orders[[#This Row],[ProductID]],Products[ProductID],Products[ProductName])</f>
        <v>Gym Bag</v>
      </c>
      <c r="T1662" t="str">
        <f>_xlfn.XLOOKUP(Orders[[#This Row],[ProductID]],Products[ProductID],Products[Category])</f>
        <v>Gym</v>
      </c>
    </row>
    <row r="1663" spans="1:20" x14ac:dyDescent="0.25">
      <c r="A1663" s="4" t="s">
        <v>1852</v>
      </c>
      <c r="B1663" s="5">
        <v>45958</v>
      </c>
      <c r="C1663" s="15">
        <f>WEEKNUM(Orders[[#This Row],[OrderDate]])</f>
        <v>44</v>
      </c>
      <c r="D1663" s="15" t="str">
        <f>TEXT(Orders[[#This Row],[OrderDate]],"mmmm")</f>
        <v>October</v>
      </c>
      <c r="E1663" s="4" t="s">
        <v>307</v>
      </c>
      <c r="F1663" s="4" t="s">
        <v>151</v>
      </c>
      <c r="G1663" s="4">
        <v>4</v>
      </c>
      <c r="H1663" s="12">
        <v>5189.7000000000007</v>
      </c>
      <c r="I1663" s="13">
        <v>4411.2450000000008</v>
      </c>
      <c r="J1663" s="13">
        <f>Orders[[#This Row],[Quantity]]*Orders[[#This Row],[Selling Price]]</f>
        <v>20758.800000000003</v>
      </c>
      <c r="K1663" s="13">
        <f>Orders[[#This Row],[Quantity]]*Orders[[#This Row],[Cost Price]]</f>
        <v>17644.980000000003</v>
      </c>
      <c r="L1663" s="13">
        <f>Orders[[#This Row],[Revenue]]-Orders[[#This Row],[Expenses]]</f>
        <v>3113.8199999999997</v>
      </c>
      <c r="M1663" t="s">
        <v>2199</v>
      </c>
      <c r="N1663" t="str">
        <f>_xlfn.XLOOKUP(Orders[[#This Row],[CustomerID]],Customers[CustomerID],Customers[CustomerName])</f>
        <v>Adanma Bello</v>
      </c>
      <c r="O1663" t="str">
        <f>_xlfn.XLOOKUP(Orders[[#This Row],[CustomerID]],Customers[CustomerID],Customers[City])</f>
        <v>Illinois</v>
      </c>
      <c r="P1663" t="str">
        <f>_xlfn.XLOOKUP(Orders[[#This Row],[CustomerID]],Customers[CustomerID],Customers[Gender])</f>
        <v>Female</v>
      </c>
      <c r="Q1663">
        <f>_xlfn.XLOOKUP(Orders[[#This Row],[CustomerID]],Customers[CustomerID],Customers[CustomerAge])</f>
        <v>51</v>
      </c>
      <c r="R1663" t="str">
        <f>IF(Orders[[#This Row],[CustomerAge]]&gt;=35, "Older", "Young")</f>
        <v>Older</v>
      </c>
      <c r="S1663" t="str">
        <f>_xlfn.XLOOKUP(Orders[[#This Row],[ProductID]],Products[ProductID],Products[ProductName])</f>
        <v>Checkers</v>
      </c>
      <c r="T1663" t="str">
        <f>_xlfn.XLOOKUP(Orders[[#This Row],[ProductID]],Products[ProductID],Products[Category])</f>
        <v>Games</v>
      </c>
    </row>
    <row r="1664" spans="1:20" x14ac:dyDescent="0.25">
      <c r="A1664" s="4" t="s">
        <v>1853</v>
      </c>
      <c r="B1664" s="5">
        <v>46011</v>
      </c>
      <c r="C1664" s="15">
        <f>WEEKNUM(Orders[[#This Row],[OrderDate]])</f>
        <v>51</v>
      </c>
      <c r="D1664" s="15" t="str">
        <f>TEXT(Orders[[#This Row],[OrderDate]],"mmmm")</f>
        <v>December</v>
      </c>
      <c r="E1664" s="4" t="s">
        <v>216</v>
      </c>
      <c r="F1664" s="4" t="s">
        <v>127</v>
      </c>
      <c r="G1664" s="4">
        <v>1</v>
      </c>
      <c r="H1664" s="12">
        <v>11709.2</v>
      </c>
      <c r="I1664" s="13">
        <v>9952.82</v>
      </c>
      <c r="J1664" s="13">
        <f>Orders[[#This Row],[Quantity]]*Orders[[#This Row],[Selling Price]]</f>
        <v>11709.2</v>
      </c>
      <c r="K1664" s="13">
        <f>Orders[[#This Row],[Quantity]]*Orders[[#This Row],[Cost Price]]</f>
        <v>9952.82</v>
      </c>
      <c r="L1664" s="13">
        <f>Orders[[#This Row],[Revenue]]-Orders[[#This Row],[Expenses]]</f>
        <v>1756.380000000001</v>
      </c>
      <c r="M1664" t="s">
        <v>2211</v>
      </c>
      <c r="N1664" t="str">
        <f>_xlfn.XLOOKUP(Orders[[#This Row],[CustomerID]],Customers[CustomerID],Customers[CustomerName])</f>
        <v>Ngozi Obi</v>
      </c>
      <c r="O1664" t="str">
        <f>_xlfn.XLOOKUP(Orders[[#This Row],[CustomerID]],Customers[CustomerID],Customers[City])</f>
        <v>California</v>
      </c>
      <c r="P1664" t="str">
        <f>_xlfn.XLOOKUP(Orders[[#This Row],[CustomerID]],Customers[CustomerID],Customers[Gender])</f>
        <v>Female</v>
      </c>
      <c r="Q1664">
        <f>_xlfn.XLOOKUP(Orders[[#This Row],[CustomerID]],Customers[CustomerID],Customers[CustomerAge])</f>
        <v>54</v>
      </c>
      <c r="R1664" t="str">
        <f>IF(Orders[[#This Row],[CustomerAge]]&gt;=35, "Older", "Young")</f>
        <v>Older</v>
      </c>
      <c r="S1664" t="str">
        <f>_xlfn.XLOOKUP(Orders[[#This Row],[ProductID]],Products[ProductID],Products[ProductName])</f>
        <v>Tops</v>
      </c>
      <c r="T1664" t="str">
        <f>_xlfn.XLOOKUP(Orders[[#This Row],[ProductID]],Products[ProductID],Products[Category])</f>
        <v>Clothing</v>
      </c>
    </row>
    <row r="1665" spans="1:20" x14ac:dyDescent="0.25">
      <c r="A1665" s="4" t="s">
        <v>1854</v>
      </c>
      <c r="B1665" s="5">
        <v>45954</v>
      </c>
      <c r="C1665" s="15">
        <f>WEEKNUM(Orders[[#This Row],[OrderDate]])</f>
        <v>43</v>
      </c>
      <c r="D1665" s="15" t="str">
        <f>TEXT(Orders[[#This Row],[OrderDate]],"mmmm")</f>
        <v>October</v>
      </c>
      <c r="E1665" s="4" t="s">
        <v>607</v>
      </c>
      <c r="F1665" s="4" t="s">
        <v>125</v>
      </c>
      <c r="G1665" s="4">
        <v>8</v>
      </c>
      <c r="H1665" s="12">
        <v>16947.5</v>
      </c>
      <c r="I1665" s="13">
        <v>14405.375</v>
      </c>
      <c r="J1665" s="13">
        <f>Orders[[#This Row],[Quantity]]*Orders[[#This Row],[Selling Price]]</f>
        <v>135580</v>
      </c>
      <c r="K1665" s="13">
        <f>Orders[[#This Row],[Quantity]]*Orders[[#This Row],[Cost Price]]</f>
        <v>115243</v>
      </c>
      <c r="L1665" s="13">
        <f>Orders[[#This Row],[Revenue]]-Orders[[#This Row],[Expenses]]</f>
        <v>20337</v>
      </c>
      <c r="M1665" t="s">
        <v>2202</v>
      </c>
      <c r="N1665" t="str">
        <f>_xlfn.XLOOKUP(Orders[[#This Row],[CustomerID]],Customers[CustomerID],Customers[CustomerName])</f>
        <v>Folasade Ojo</v>
      </c>
      <c r="O1665" t="str">
        <f>_xlfn.XLOOKUP(Orders[[#This Row],[CustomerID]],Customers[CustomerID],Customers[City])</f>
        <v>Texas</v>
      </c>
      <c r="P1665" t="str">
        <f>_xlfn.XLOOKUP(Orders[[#This Row],[CustomerID]],Customers[CustomerID],Customers[Gender])</f>
        <v>Female</v>
      </c>
      <c r="Q1665">
        <f>_xlfn.XLOOKUP(Orders[[#This Row],[CustomerID]],Customers[CustomerID],Customers[CustomerAge])</f>
        <v>19</v>
      </c>
      <c r="R1665" t="str">
        <f>IF(Orders[[#This Row],[CustomerAge]]&gt;=35, "Older", "Young")</f>
        <v>Young</v>
      </c>
      <c r="S1665" t="str">
        <f>_xlfn.XLOOKUP(Orders[[#This Row],[ProductID]],Products[ProductID],Products[ProductName])</f>
        <v>Earrings</v>
      </c>
      <c r="T1665" t="str">
        <f>_xlfn.XLOOKUP(Orders[[#This Row],[ProductID]],Products[ProductID],Products[Category])</f>
        <v>Accessories</v>
      </c>
    </row>
    <row r="1666" spans="1:20" x14ac:dyDescent="0.25">
      <c r="A1666" s="4" t="s">
        <v>1855</v>
      </c>
      <c r="B1666" s="5">
        <v>45983</v>
      </c>
      <c r="C1666" s="15">
        <f>WEEKNUM(Orders[[#This Row],[OrderDate]])</f>
        <v>47</v>
      </c>
      <c r="D1666" s="15" t="str">
        <f>TEXT(Orders[[#This Row],[OrderDate]],"mmmm")</f>
        <v>November</v>
      </c>
      <c r="E1666" s="4" t="s">
        <v>322</v>
      </c>
      <c r="F1666" s="4" t="s">
        <v>76</v>
      </c>
      <c r="G1666" s="4">
        <v>7</v>
      </c>
      <c r="H1666" s="12">
        <v>17842.2</v>
      </c>
      <c r="I1666" s="13">
        <v>15165.87</v>
      </c>
      <c r="J1666" s="13">
        <f>Orders[[#This Row],[Quantity]]*Orders[[#This Row],[Selling Price]]</f>
        <v>124895.40000000001</v>
      </c>
      <c r="K1666" s="13">
        <f>Orders[[#This Row],[Quantity]]*Orders[[#This Row],[Cost Price]]</f>
        <v>106161.09000000001</v>
      </c>
      <c r="L1666" s="13">
        <f>Orders[[#This Row],[Revenue]]-Orders[[#This Row],[Expenses]]</f>
        <v>18734.309999999998</v>
      </c>
      <c r="M1666" t="s">
        <v>2192</v>
      </c>
      <c r="N1666" t="str">
        <f>_xlfn.XLOOKUP(Orders[[#This Row],[CustomerID]],Customers[CustomerID],Customers[CustomerName])</f>
        <v>Ngozi Bello</v>
      </c>
      <c r="O1666" t="str">
        <f>_xlfn.XLOOKUP(Orders[[#This Row],[CustomerID]],Customers[CustomerID],Customers[City])</f>
        <v>Washington</v>
      </c>
      <c r="P1666" t="str">
        <f>_xlfn.XLOOKUP(Orders[[#This Row],[CustomerID]],Customers[CustomerID],Customers[Gender])</f>
        <v>Female</v>
      </c>
      <c r="Q1666">
        <f>_xlfn.XLOOKUP(Orders[[#This Row],[CustomerID]],Customers[CustomerID],Customers[CustomerAge])</f>
        <v>32</v>
      </c>
      <c r="R1666" t="str">
        <f>IF(Orders[[#This Row],[CustomerAge]]&gt;=35, "Older", "Young")</f>
        <v>Young</v>
      </c>
      <c r="S1666" t="str">
        <f>_xlfn.XLOOKUP(Orders[[#This Row],[ProductID]],Products[ProductID],Products[ProductName])</f>
        <v>Blender</v>
      </c>
      <c r="T1666" t="str">
        <f>_xlfn.XLOOKUP(Orders[[#This Row],[ProductID]],Products[ProductID],Products[Category])</f>
        <v>Electronics</v>
      </c>
    </row>
    <row r="1667" spans="1:20" x14ac:dyDescent="0.25">
      <c r="A1667" s="4" t="s">
        <v>1856</v>
      </c>
      <c r="B1667" s="5">
        <v>46018</v>
      </c>
      <c r="C1667" s="15">
        <f>WEEKNUM(Orders[[#This Row],[OrderDate]])</f>
        <v>52</v>
      </c>
      <c r="D1667" s="15" t="str">
        <f>TEXT(Orders[[#This Row],[OrderDate]],"mmmm")</f>
        <v>December</v>
      </c>
      <c r="E1667" s="4" t="s">
        <v>43</v>
      </c>
      <c r="F1667" s="4" t="s">
        <v>28</v>
      </c>
      <c r="G1667" s="4">
        <v>10</v>
      </c>
      <c r="H1667" s="12">
        <v>9004.7999999999993</v>
      </c>
      <c r="I1667" s="13">
        <v>7654.08</v>
      </c>
      <c r="J1667" s="13">
        <f>Orders[[#This Row],[Quantity]]*Orders[[#This Row],[Selling Price]]</f>
        <v>90048</v>
      </c>
      <c r="K1667" s="13">
        <f>Orders[[#This Row],[Quantity]]*Orders[[#This Row],[Cost Price]]</f>
        <v>76540.800000000003</v>
      </c>
      <c r="L1667" s="13">
        <f>Orders[[#This Row],[Revenue]]-Orders[[#This Row],[Expenses]]</f>
        <v>13507.199999999997</v>
      </c>
      <c r="M1667" t="s">
        <v>2194</v>
      </c>
      <c r="N1667" t="str">
        <f>_xlfn.XLOOKUP(Orders[[#This Row],[CustomerID]],Customers[CustomerID],Customers[CustomerName])</f>
        <v>Mustafa Danladi</v>
      </c>
      <c r="O1667" t="str">
        <f>_xlfn.XLOOKUP(Orders[[#This Row],[CustomerID]],Customers[CustomerID],Customers[City])</f>
        <v>Georgia</v>
      </c>
      <c r="P1667" t="str">
        <f>_xlfn.XLOOKUP(Orders[[#This Row],[CustomerID]],Customers[CustomerID],Customers[Gender])</f>
        <v>Male</v>
      </c>
      <c r="Q1667">
        <f>_xlfn.XLOOKUP(Orders[[#This Row],[CustomerID]],Customers[CustomerID],Customers[CustomerAge])</f>
        <v>49</v>
      </c>
      <c r="R1667" t="str">
        <f>IF(Orders[[#This Row],[CustomerAge]]&gt;=35, "Older", "Young")</f>
        <v>Older</v>
      </c>
      <c r="S1667" t="str">
        <f>_xlfn.XLOOKUP(Orders[[#This Row],[ProductID]],Products[ProductID],Products[ProductName])</f>
        <v>Sneakers</v>
      </c>
      <c r="T1667" t="str">
        <f>_xlfn.XLOOKUP(Orders[[#This Row],[ProductID]],Products[ProductID],Products[Category])</f>
        <v>Sports</v>
      </c>
    </row>
    <row r="1668" spans="1:20" x14ac:dyDescent="0.25">
      <c r="A1668" s="4" t="s">
        <v>1857</v>
      </c>
      <c r="B1668" s="5">
        <v>45951</v>
      </c>
      <c r="C1668" s="15">
        <f>WEEKNUM(Orders[[#This Row],[OrderDate]])</f>
        <v>43</v>
      </c>
      <c r="D1668" s="15" t="str">
        <f>TEXT(Orders[[#This Row],[OrderDate]],"mmmm")</f>
        <v>October</v>
      </c>
      <c r="E1668" s="4" t="s">
        <v>282</v>
      </c>
      <c r="F1668" s="4" t="s">
        <v>25</v>
      </c>
      <c r="G1668" s="4">
        <v>8</v>
      </c>
      <c r="H1668" s="12">
        <v>17752.2</v>
      </c>
      <c r="I1668" s="13">
        <v>15089.37</v>
      </c>
      <c r="J1668" s="13">
        <f>Orders[[#This Row],[Quantity]]*Orders[[#This Row],[Selling Price]]</f>
        <v>142017.60000000001</v>
      </c>
      <c r="K1668" s="13">
        <f>Orders[[#This Row],[Quantity]]*Orders[[#This Row],[Cost Price]]</f>
        <v>120714.96</v>
      </c>
      <c r="L1668" s="13">
        <f>Orders[[#This Row],[Revenue]]-Orders[[#This Row],[Expenses]]</f>
        <v>21302.639999999999</v>
      </c>
      <c r="M1668" t="s">
        <v>2217</v>
      </c>
      <c r="N1668" t="str">
        <f>_xlfn.XLOOKUP(Orders[[#This Row],[CustomerID]],Customers[CustomerID],Customers[CustomerName])</f>
        <v>Bisi Ojo</v>
      </c>
      <c r="O1668" t="str">
        <f>_xlfn.XLOOKUP(Orders[[#This Row],[CustomerID]],Customers[CustomerID],Customers[City])</f>
        <v>Texas</v>
      </c>
      <c r="P1668" t="str">
        <f>_xlfn.XLOOKUP(Orders[[#This Row],[CustomerID]],Customers[CustomerID],Customers[Gender])</f>
        <v>Female</v>
      </c>
      <c r="Q1668">
        <f>_xlfn.XLOOKUP(Orders[[#This Row],[CustomerID]],Customers[CustomerID],Customers[CustomerAge])</f>
        <v>26</v>
      </c>
      <c r="R1668" t="str">
        <f>IF(Orders[[#This Row],[CustomerAge]]&gt;=35, "Older", "Young")</f>
        <v>Young</v>
      </c>
      <c r="S1668" t="str">
        <f>_xlfn.XLOOKUP(Orders[[#This Row],[ProductID]],Products[ProductID],Products[ProductName])</f>
        <v>Gold Rings</v>
      </c>
      <c r="T1668" t="str">
        <f>_xlfn.XLOOKUP(Orders[[#This Row],[ProductID]],Products[ProductID],Products[Category])</f>
        <v>Accessories</v>
      </c>
    </row>
    <row r="1669" spans="1:20" x14ac:dyDescent="0.25">
      <c r="A1669" s="4" t="s">
        <v>1858</v>
      </c>
      <c r="B1669" s="5">
        <v>46002</v>
      </c>
      <c r="C1669" s="15">
        <f>WEEKNUM(Orders[[#This Row],[OrderDate]])</f>
        <v>50</v>
      </c>
      <c r="D1669" s="15" t="str">
        <f>TEXT(Orders[[#This Row],[OrderDate]],"mmmm")</f>
        <v>December</v>
      </c>
      <c r="E1669" s="4" t="s">
        <v>221</v>
      </c>
      <c r="F1669" s="4" t="s">
        <v>23</v>
      </c>
      <c r="G1669" s="4">
        <v>7</v>
      </c>
      <c r="H1669" s="12">
        <v>5471.5999999999995</v>
      </c>
      <c r="I1669" s="13">
        <v>4650.8599999999997</v>
      </c>
      <c r="J1669" s="13">
        <f>Orders[[#This Row],[Quantity]]*Orders[[#This Row],[Selling Price]]</f>
        <v>38301.199999999997</v>
      </c>
      <c r="K1669" s="13">
        <f>Orders[[#This Row],[Quantity]]*Orders[[#This Row],[Cost Price]]</f>
        <v>32556.019999999997</v>
      </c>
      <c r="L1669" s="13">
        <f>Orders[[#This Row],[Revenue]]-Orders[[#This Row],[Expenses]]</f>
        <v>5745.18</v>
      </c>
      <c r="M1669" t="s">
        <v>2197</v>
      </c>
      <c r="N1669" t="str">
        <f>_xlfn.XLOOKUP(Orders[[#This Row],[CustomerID]],Customers[CustomerID],Customers[CustomerName])</f>
        <v>Obi Bello</v>
      </c>
      <c r="O1669" t="str">
        <f>_xlfn.XLOOKUP(Orders[[#This Row],[CustomerID]],Customers[CustomerID],Customers[City])</f>
        <v>Texas</v>
      </c>
      <c r="P1669" t="str">
        <f>_xlfn.XLOOKUP(Orders[[#This Row],[CustomerID]],Customers[CustomerID],Customers[Gender])</f>
        <v>Male</v>
      </c>
      <c r="Q1669">
        <f>_xlfn.XLOOKUP(Orders[[#This Row],[CustomerID]],Customers[CustomerID],Customers[CustomerAge])</f>
        <v>18</v>
      </c>
      <c r="R1669" t="str">
        <f>IF(Orders[[#This Row],[CustomerAge]]&gt;=35, "Older", "Young")</f>
        <v>Young</v>
      </c>
      <c r="S1669" t="str">
        <f>_xlfn.XLOOKUP(Orders[[#This Row],[ProductID]],Products[ProductID],Products[ProductName])</f>
        <v>Gym Gloves</v>
      </c>
      <c r="T1669" t="str">
        <f>_xlfn.XLOOKUP(Orders[[#This Row],[ProductID]],Products[ProductID],Products[Category])</f>
        <v>Gym</v>
      </c>
    </row>
    <row r="1670" spans="1:20" x14ac:dyDescent="0.25">
      <c r="A1670" s="4" t="s">
        <v>1859</v>
      </c>
      <c r="B1670" s="5">
        <v>45982</v>
      </c>
      <c r="C1670" s="15">
        <f>WEEKNUM(Orders[[#This Row],[OrderDate]])</f>
        <v>47</v>
      </c>
      <c r="D1670" s="15" t="str">
        <f>TEXT(Orders[[#This Row],[OrderDate]],"mmmm")</f>
        <v>November</v>
      </c>
      <c r="E1670" s="4" t="s">
        <v>517</v>
      </c>
      <c r="F1670" s="4" t="s">
        <v>130</v>
      </c>
      <c r="G1670" s="4">
        <v>5</v>
      </c>
      <c r="H1670" s="12">
        <v>19738.900000000001</v>
      </c>
      <c r="I1670" s="13">
        <v>16778.065000000002</v>
      </c>
      <c r="J1670" s="13">
        <f>Orders[[#This Row],[Quantity]]*Orders[[#This Row],[Selling Price]]</f>
        <v>98694.5</v>
      </c>
      <c r="K1670" s="13">
        <f>Orders[[#This Row],[Quantity]]*Orders[[#This Row],[Cost Price]]</f>
        <v>83890.325000000012</v>
      </c>
      <c r="L1670" s="13">
        <f>Orders[[#This Row],[Revenue]]-Orders[[#This Row],[Expenses]]</f>
        <v>14804.174999999988</v>
      </c>
      <c r="M1670" t="s">
        <v>2214</v>
      </c>
      <c r="N1670" t="str">
        <f>_xlfn.XLOOKUP(Orders[[#This Row],[CustomerID]],Customers[CustomerID],Customers[CustomerName])</f>
        <v>Efe Adeyemi</v>
      </c>
      <c r="O1670" t="str">
        <f>_xlfn.XLOOKUP(Orders[[#This Row],[CustomerID]],Customers[CustomerID],Customers[City])</f>
        <v>Florida</v>
      </c>
      <c r="P1670" t="str">
        <f>_xlfn.XLOOKUP(Orders[[#This Row],[CustomerID]],Customers[CustomerID],Customers[Gender])</f>
        <v>Female</v>
      </c>
      <c r="Q1670">
        <f>_xlfn.XLOOKUP(Orders[[#This Row],[CustomerID]],Customers[CustomerID],Customers[CustomerAge])</f>
        <v>25</v>
      </c>
      <c r="R1670" t="str">
        <f>IF(Orders[[#This Row],[CustomerAge]]&gt;=35, "Older", "Young")</f>
        <v>Young</v>
      </c>
      <c r="S1670" t="str">
        <f>_xlfn.XLOOKUP(Orders[[#This Row],[ProductID]],Products[ProductID],Products[ProductName])</f>
        <v>Gold Earrings And Necklaces</v>
      </c>
      <c r="T1670" t="str">
        <f>_xlfn.XLOOKUP(Orders[[#This Row],[ProductID]],Products[ProductID],Products[Category])</f>
        <v>Accessories</v>
      </c>
    </row>
    <row r="1671" spans="1:20" x14ac:dyDescent="0.25">
      <c r="A1671" s="4" t="s">
        <v>1860</v>
      </c>
      <c r="B1671" s="5">
        <v>45938</v>
      </c>
      <c r="C1671" s="15">
        <f>WEEKNUM(Orders[[#This Row],[OrderDate]])</f>
        <v>41</v>
      </c>
      <c r="D1671" s="15" t="str">
        <f>TEXT(Orders[[#This Row],[OrderDate]],"mmmm")</f>
        <v>October</v>
      </c>
      <c r="E1671" s="4" t="s">
        <v>41</v>
      </c>
      <c r="F1671" s="4" t="s">
        <v>92</v>
      </c>
      <c r="G1671" s="4">
        <v>2</v>
      </c>
      <c r="H1671" s="12">
        <v>17842.400000000001</v>
      </c>
      <c r="I1671" s="13">
        <v>15166.04</v>
      </c>
      <c r="J1671" s="13">
        <f>Orders[[#This Row],[Quantity]]*Orders[[#This Row],[Selling Price]]</f>
        <v>35684.800000000003</v>
      </c>
      <c r="K1671" s="13">
        <f>Orders[[#This Row],[Quantity]]*Orders[[#This Row],[Cost Price]]</f>
        <v>30332.080000000002</v>
      </c>
      <c r="L1671" s="13">
        <f>Orders[[#This Row],[Revenue]]-Orders[[#This Row],[Expenses]]</f>
        <v>5352.7200000000012</v>
      </c>
      <c r="M1671" t="s">
        <v>2201</v>
      </c>
      <c r="N1671" t="str">
        <f>_xlfn.XLOOKUP(Orders[[#This Row],[CustomerID]],Customers[CustomerID],Customers[CustomerName])</f>
        <v>Mustafa Balogun</v>
      </c>
      <c r="O1671" t="str">
        <f>_xlfn.XLOOKUP(Orders[[#This Row],[CustomerID]],Customers[CustomerID],Customers[City])</f>
        <v>Texas</v>
      </c>
      <c r="P1671" t="str">
        <f>_xlfn.XLOOKUP(Orders[[#This Row],[CustomerID]],Customers[CustomerID],Customers[Gender])</f>
        <v>Male</v>
      </c>
      <c r="Q1671">
        <f>_xlfn.XLOOKUP(Orders[[#This Row],[CustomerID]],Customers[CustomerID],Customers[CustomerAge])</f>
        <v>40</v>
      </c>
      <c r="R1671" t="str">
        <f>IF(Orders[[#This Row],[CustomerAge]]&gt;=35, "Older", "Young")</f>
        <v>Older</v>
      </c>
      <c r="S1671" t="str">
        <f>_xlfn.XLOOKUP(Orders[[#This Row],[ProductID]],Products[ProductID],Products[ProductName])</f>
        <v>Chest Expander</v>
      </c>
      <c r="T1671" t="str">
        <f>_xlfn.XLOOKUP(Orders[[#This Row],[ProductID]],Products[ProductID],Products[Category])</f>
        <v>Gym</v>
      </c>
    </row>
    <row r="1672" spans="1:20" x14ac:dyDescent="0.25">
      <c r="A1672" s="4" t="s">
        <v>1861</v>
      </c>
      <c r="B1672" s="5">
        <v>45965</v>
      </c>
      <c r="C1672" s="15">
        <f>WEEKNUM(Orders[[#This Row],[OrderDate]])</f>
        <v>45</v>
      </c>
      <c r="D1672" s="15" t="str">
        <f>TEXT(Orders[[#This Row],[OrderDate]],"mmmm")</f>
        <v>November</v>
      </c>
      <c r="E1672" s="4" t="s">
        <v>14</v>
      </c>
      <c r="F1672" s="4" t="s">
        <v>60</v>
      </c>
      <c r="G1672" s="4">
        <v>10</v>
      </c>
      <c r="H1672" s="12">
        <v>2044.5</v>
      </c>
      <c r="I1672" s="13">
        <v>1737.825</v>
      </c>
      <c r="J1672" s="13">
        <f>Orders[[#This Row],[Quantity]]*Orders[[#This Row],[Selling Price]]</f>
        <v>20445</v>
      </c>
      <c r="K1672" s="13">
        <f>Orders[[#This Row],[Quantity]]*Orders[[#This Row],[Cost Price]]</f>
        <v>17378.25</v>
      </c>
      <c r="L1672" s="13">
        <f>Orders[[#This Row],[Revenue]]-Orders[[#This Row],[Expenses]]</f>
        <v>3066.75</v>
      </c>
      <c r="M1672" t="s">
        <v>2201</v>
      </c>
      <c r="N1672" t="str">
        <f>_xlfn.XLOOKUP(Orders[[#This Row],[CustomerID]],Customers[CustomerID],Customers[CustomerName])</f>
        <v>Abiola Igwe</v>
      </c>
      <c r="O1672" t="str">
        <f>_xlfn.XLOOKUP(Orders[[#This Row],[CustomerID]],Customers[CustomerID],Customers[City])</f>
        <v>Texas</v>
      </c>
      <c r="P1672" t="str">
        <f>_xlfn.XLOOKUP(Orders[[#This Row],[CustomerID]],Customers[CustomerID],Customers[Gender])</f>
        <v>Male</v>
      </c>
      <c r="Q1672">
        <f>_xlfn.XLOOKUP(Orders[[#This Row],[CustomerID]],Customers[CustomerID],Customers[CustomerAge])</f>
        <v>39</v>
      </c>
      <c r="R1672" t="str">
        <f>IF(Orders[[#This Row],[CustomerAge]]&gt;=35, "Older", "Young")</f>
        <v>Older</v>
      </c>
      <c r="S1672" t="str">
        <f>_xlfn.XLOOKUP(Orders[[#This Row],[ProductID]],Products[ProductID],Products[ProductName])</f>
        <v>Silver Rings</v>
      </c>
      <c r="T1672" t="str">
        <f>_xlfn.XLOOKUP(Orders[[#This Row],[ProductID]],Products[ProductID],Products[Category])</f>
        <v>Accessories</v>
      </c>
    </row>
    <row r="1673" spans="1:20" x14ac:dyDescent="0.25">
      <c r="A1673" s="4" t="s">
        <v>1862</v>
      </c>
      <c r="B1673" s="5">
        <v>46006</v>
      </c>
      <c r="C1673" s="15">
        <f>WEEKNUM(Orders[[#This Row],[OrderDate]])</f>
        <v>51</v>
      </c>
      <c r="D1673" s="15" t="str">
        <f>TEXT(Orders[[#This Row],[OrderDate]],"mmmm")</f>
        <v>December</v>
      </c>
      <c r="E1673" s="4" t="s">
        <v>229</v>
      </c>
      <c r="F1673" s="4" t="s">
        <v>168</v>
      </c>
      <c r="G1673" s="4">
        <v>2</v>
      </c>
      <c r="H1673" s="12">
        <v>6495.8</v>
      </c>
      <c r="I1673" s="13">
        <v>5521.43</v>
      </c>
      <c r="J1673" s="13">
        <f>Orders[[#This Row],[Quantity]]*Orders[[#This Row],[Selling Price]]</f>
        <v>12991.6</v>
      </c>
      <c r="K1673" s="13">
        <f>Orders[[#This Row],[Quantity]]*Orders[[#This Row],[Cost Price]]</f>
        <v>11042.86</v>
      </c>
      <c r="L1673" s="13">
        <f>Orders[[#This Row],[Revenue]]-Orders[[#This Row],[Expenses]]</f>
        <v>1948.7399999999998</v>
      </c>
      <c r="M1673" t="s">
        <v>2192</v>
      </c>
      <c r="N1673" t="str">
        <f>_xlfn.XLOOKUP(Orders[[#This Row],[CustomerID]],Customers[CustomerID],Customers[CustomerName])</f>
        <v>Uche Abubakar</v>
      </c>
      <c r="O1673" t="str">
        <f>_xlfn.XLOOKUP(Orders[[#This Row],[CustomerID]],Customers[CustomerID],Customers[City])</f>
        <v>Florida</v>
      </c>
      <c r="P1673" t="str">
        <f>_xlfn.XLOOKUP(Orders[[#This Row],[CustomerID]],Customers[CustomerID],Customers[Gender])</f>
        <v>Male</v>
      </c>
      <c r="Q1673">
        <f>_xlfn.XLOOKUP(Orders[[#This Row],[CustomerID]],Customers[CustomerID],Customers[CustomerAge])</f>
        <v>43</v>
      </c>
      <c r="R1673" t="str">
        <f>IF(Orders[[#This Row],[CustomerAge]]&gt;=35, "Older", "Young")</f>
        <v>Older</v>
      </c>
      <c r="S1673" t="str">
        <f>_xlfn.XLOOKUP(Orders[[#This Row],[ProductID]],Products[ProductID],Products[ProductName])</f>
        <v>Dumb Bells</v>
      </c>
      <c r="T1673" t="str">
        <f>_xlfn.XLOOKUP(Orders[[#This Row],[ProductID]],Products[ProductID],Products[Category])</f>
        <v>Gym</v>
      </c>
    </row>
    <row r="1674" spans="1:20" x14ac:dyDescent="0.25">
      <c r="A1674" s="4" t="s">
        <v>1863</v>
      </c>
      <c r="B1674" s="5">
        <v>45967</v>
      </c>
      <c r="C1674" s="15">
        <f>WEEKNUM(Orders[[#This Row],[OrderDate]])</f>
        <v>45</v>
      </c>
      <c r="D1674" s="15" t="str">
        <f>TEXT(Orders[[#This Row],[OrderDate]],"mmmm")</f>
        <v>November</v>
      </c>
      <c r="E1674" s="4" t="s">
        <v>41</v>
      </c>
      <c r="F1674" s="4" t="s">
        <v>66</v>
      </c>
      <c r="G1674" s="4">
        <v>2</v>
      </c>
      <c r="H1674" s="12">
        <v>19100</v>
      </c>
      <c r="I1674" s="13">
        <v>16235</v>
      </c>
      <c r="J1674" s="13">
        <f>Orders[[#This Row],[Quantity]]*Orders[[#This Row],[Selling Price]]</f>
        <v>38200</v>
      </c>
      <c r="K1674" s="13">
        <f>Orders[[#This Row],[Quantity]]*Orders[[#This Row],[Cost Price]]</f>
        <v>32470</v>
      </c>
      <c r="L1674" s="13">
        <f>Orders[[#This Row],[Revenue]]-Orders[[#This Row],[Expenses]]</f>
        <v>5730</v>
      </c>
      <c r="M1674" t="s">
        <v>2209</v>
      </c>
      <c r="N1674" t="str">
        <f>_xlfn.XLOOKUP(Orders[[#This Row],[CustomerID]],Customers[CustomerID],Customers[CustomerName])</f>
        <v>Mustafa Balogun</v>
      </c>
      <c r="O1674" t="str">
        <f>_xlfn.XLOOKUP(Orders[[#This Row],[CustomerID]],Customers[CustomerID],Customers[City])</f>
        <v>Texas</v>
      </c>
      <c r="P1674" t="str">
        <f>_xlfn.XLOOKUP(Orders[[#This Row],[CustomerID]],Customers[CustomerID],Customers[Gender])</f>
        <v>Male</v>
      </c>
      <c r="Q1674">
        <f>_xlfn.XLOOKUP(Orders[[#This Row],[CustomerID]],Customers[CustomerID],Customers[CustomerAge])</f>
        <v>40</v>
      </c>
      <c r="R1674" t="str">
        <f>IF(Orders[[#This Row],[CustomerAge]]&gt;=35, "Older", "Young")</f>
        <v>Older</v>
      </c>
      <c r="S1674" t="str">
        <f>_xlfn.XLOOKUP(Orders[[#This Row],[ProductID]],Products[ProductID],Products[ProductName])</f>
        <v>Microwave</v>
      </c>
      <c r="T1674" t="str">
        <f>_xlfn.XLOOKUP(Orders[[#This Row],[ProductID]],Products[ProductID],Products[Category])</f>
        <v>Electronics</v>
      </c>
    </row>
    <row r="1675" spans="1:20" x14ac:dyDescent="0.25">
      <c r="A1675" s="4" t="s">
        <v>1864</v>
      </c>
      <c r="B1675" s="5">
        <v>45944</v>
      </c>
      <c r="C1675" s="15">
        <f>WEEKNUM(Orders[[#This Row],[OrderDate]])</f>
        <v>42</v>
      </c>
      <c r="D1675" s="15" t="str">
        <f>TEXT(Orders[[#This Row],[OrderDate]],"mmmm")</f>
        <v>October</v>
      </c>
      <c r="E1675" s="4" t="s">
        <v>201</v>
      </c>
      <c r="F1675" s="4" t="s">
        <v>76</v>
      </c>
      <c r="G1675" s="4">
        <v>2</v>
      </c>
      <c r="H1675" s="12">
        <v>16852.099999999999</v>
      </c>
      <c r="I1675" s="13">
        <v>14324.285</v>
      </c>
      <c r="J1675" s="13">
        <f>Orders[[#This Row],[Quantity]]*Orders[[#This Row],[Selling Price]]</f>
        <v>33704.199999999997</v>
      </c>
      <c r="K1675" s="13">
        <f>Orders[[#This Row],[Quantity]]*Orders[[#This Row],[Cost Price]]</f>
        <v>28648.57</v>
      </c>
      <c r="L1675" s="13">
        <f>Orders[[#This Row],[Revenue]]-Orders[[#This Row],[Expenses]]</f>
        <v>5055.6299999999974</v>
      </c>
      <c r="M1675" t="s">
        <v>2204</v>
      </c>
      <c r="N1675" t="str">
        <f>_xlfn.XLOOKUP(Orders[[#This Row],[CustomerID]],Customers[CustomerID],Customers[CustomerName])</f>
        <v>Sani Igwe</v>
      </c>
      <c r="O1675" t="str">
        <f>_xlfn.XLOOKUP(Orders[[#This Row],[CustomerID]],Customers[CustomerID],Customers[City])</f>
        <v>Georgia</v>
      </c>
      <c r="P1675" t="str">
        <f>_xlfn.XLOOKUP(Orders[[#This Row],[CustomerID]],Customers[CustomerID],Customers[Gender])</f>
        <v>Male</v>
      </c>
      <c r="Q1675">
        <f>_xlfn.XLOOKUP(Orders[[#This Row],[CustomerID]],Customers[CustomerID],Customers[CustomerAge])</f>
        <v>20</v>
      </c>
      <c r="R1675" t="str">
        <f>IF(Orders[[#This Row],[CustomerAge]]&gt;=35, "Older", "Young")</f>
        <v>Young</v>
      </c>
      <c r="S1675" t="str">
        <f>_xlfn.XLOOKUP(Orders[[#This Row],[ProductID]],Products[ProductID],Products[ProductName])</f>
        <v>Blender</v>
      </c>
      <c r="T1675" t="str">
        <f>_xlfn.XLOOKUP(Orders[[#This Row],[ProductID]],Products[ProductID],Products[Category])</f>
        <v>Electronics</v>
      </c>
    </row>
    <row r="1676" spans="1:20" x14ac:dyDescent="0.25">
      <c r="A1676" s="4" t="s">
        <v>1865</v>
      </c>
      <c r="B1676" s="5">
        <v>45937</v>
      </c>
      <c r="C1676" s="15">
        <f>WEEKNUM(Orders[[#This Row],[OrderDate]])</f>
        <v>41</v>
      </c>
      <c r="D1676" s="15" t="str">
        <f>TEXT(Orders[[#This Row],[OrderDate]],"mmmm")</f>
        <v>October</v>
      </c>
      <c r="E1676" s="4" t="s">
        <v>352</v>
      </c>
      <c r="F1676" s="4" t="s">
        <v>9</v>
      </c>
      <c r="G1676" s="4">
        <v>2</v>
      </c>
      <c r="H1676" s="12">
        <v>1314.7</v>
      </c>
      <c r="I1676" s="13">
        <v>1117.4950000000001</v>
      </c>
      <c r="J1676" s="13">
        <f>Orders[[#This Row],[Quantity]]*Orders[[#This Row],[Selling Price]]</f>
        <v>2629.4</v>
      </c>
      <c r="K1676" s="13">
        <f>Orders[[#This Row],[Quantity]]*Orders[[#This Row],[Cost Price]]</f>
        <v>2234.9900000000002</v>
      </c>
      <c r="L1676" s="13">
        <f>Orders[[#This Row],[Revenue]]-Orders[[#This Row],[Expenses]]</f>
        <v>394.40999999999985</v>
      </c>
      <c r="M1676" t="s">
        <v>2214</v>
      </c>
      <c r="N1676" t="str">
        <f>_xlfn.XLOOKUP(Orders[[#This Row],[CustomerID]],Customers[CustomerID],Customers[CustomerName])</f>
        <v>Zainab Eze</v>
      </c>
      <c r="O1676" t="str">
        <f>_xlfn.XLOOKUP(Orders[[#This Row],[CustomerID]],Customers[CustomerID],Customers[City])</f>
        <v>Texas</v>
      </c>
      <c r="P1676" t="str">
        <f>_xlfn.XLOOKUP(Orders[[#This Row],[CustomerID]],Customers[CustomerID],Customers[Gender])</f>
        <v>Female</v>
      </c>
      <c r="Q1676">
        <f>_xlfn.XLOOKUP(Orders[[#This Row],[CustomerID]],Customers[CustomerID],Customers[CustomerAge])</f>
        <v>40</v>
      </c>
      <c r="R1676" t="str">
        <f>IF(Orders[[#This Row],[CustomerAge]]&gt;=35, "Older", "Young")</f>
        <v>Older</v>
      </c>
      <c r="S1676" t="str">
        <f>_xlfn.XLOOKUP(Orders[[#This Row],[ProductID]],Products[ProductID],Products[ProductName])</f>
        <v>Beaded Earrings And Necklaces</v>
      </c>
      <c r="T1676" t="str">
        <f>_xlfn.XLOOKUP(Orders[[#This Row],[ProductID]],Products[ProductID],Products[Category])</f>
        <v>Accessories</v>
      </c>
    </row>
    <row r="1677" spans="1:20" x14ac:dyDescent="0.25">
      <c r="A1677" s="4" t="s">
        <v>1866</v>
      </c>
      <c r="B1677" s="5">
        <v>45998</v>
      </c>
      <c r="C1677" s="15">
        <f>WEEKNUM(Orders[[#This Row],[OrderDate]])</f>
        <v>50</v>
      </c>
      <c r="D1677" s="15" t="str">
        <f>TEXT(Orders[[#This Row],[OrderDate]],"mmmm")</f>
        <v>December</v>
      </c>
      <c r="E1677" s="4" t="s">
        <v>671</v>
      </c>
      <c r="F1677" s="4" t="s">
        <v>92</v>
      </c>
      <c r="G1677" s="4">
        <v>7</v>
      </c>
      <c r="H1677" s="12">
        <v>10502</v>
      </c>
      <c r="I1677" s="13">
        <v>8926.7000000000007</v>
      </c>
      <c r="J1677" s="13">
        <f>Orders[[#This Row],[Quantity]]*Orders[[#This Row],[Selling Price]]</f>
        <v>73514</v>
      </c>
      <c r="K1677" s="13">
        <f>Orders[[#This Row],[Quantity]]*Orders[[#This Row],[Cost Price]]</f>
        <v>62486.900000000009</v>
      </c>
      <c r="L1677" s="13">
        <f>Orders[[#This Row],[Revenue]]-Orders[[#This Row],[Expenses]]</f>
        <v>11027.099999999991</v>
      </c>
      <c r="M1677" t="s">
        <v>2218</v>
      </c>
      <c r="N1677" t="str">
        <f>_xlfn.XLOOKUP(Orders[[#This Row],[CustomerID]],Customers[CustomerID],Customers[CustomerName])</f>
        <v>Tunde Abubakar</v>
      </c>
      <c r="O1677" t="str">
        <f>_xlfn.XLOOKUP(Orders[[#This Row],[CustomerID]],Customers[CustomerID],Customers[City])</f>
        <v>Texas</v>
      </c>
      <c r="P1677" t="str">
        <f>_xlfn.XLOOKUP(Orders[[#This Row],[CustomerID]],Customers[CustomerID],Customers[Gender])</f>
        <v>Male</v>
      </c>
      <c r="Q1677">
        <f>_xlfn.XLOOKUP(Orders[[#This Row],[CustomerID]],Customers[CustomerID],Customers[CustomerAge])</f>
        <v>26</v>
      </c>
      <c r="R1677" t="str">
        <f>IF(Orders[[#This Row],[CustomerAge]]&gt;=35, "Older", "Young")</f>
        <v>Young</v>
      </c>
      <c r="S1677" t="str">
        <f>_xlfn.XLOOKUP(Orders[[#This Row],[ProductID]],Products[ProductID],Products[ProductName])</f>
        <v>Chest Expander</v>
      </c>
      <c r="T1677" t="str">
        <f>_xlfn.XLOOKUP(Orders[[#This Row],[ProductID]],Products[ProductID],Products[Category])</f>
        <v>Gym</v>
      </c>
    </row>
    <row r="1678" spans="1:20" x14ac:dyDescent="0.25">
      <c r="A1678" s="4" t="s">
        <v>1867</v>
      </c>
      <c r="B1678" s="5">
        <v>46005</v>
      </c>
      <c r="C1678" s="15">
        <f>WEEKNUM(Orders[[#This Row],[OrderDate]])</f>
        <v>51</v>
      </c>
      <c r="D1678" s="15" t="str">
        <f>TEXT(Orders[[#This Row],[OrderDate]],"mmmm")</f>
        <v>December</v>
      </c>
      <c r="E1678" s="4" t="s">
        <v>201</v>
      </c>
      <c r="F1678" s="4" t="s">
        <v>46</v>
      </c>
      <c r="G1678" s="4">
        <v>4</v>
      </c>
      <c r="H1678" s="12">
        <v>11007.8</v>
      </c>
      <c r="I1678" s="13">
        <v>9356.6299999999992</v>
      </c>
      <c r="J1678" s="13">
        <f>Orders[[#This Row],[Quantity]]*Orders[[#This Row],[Selling Price]]</f>
        <v>44031.199999999997</v>
      </c>
      <c r="K1678" s="13">
        <f>Orders[[#This Row],[Quantity]]*Orders[[#This Row],[Cost Price]]</f>
        <v>37426.519999999997</v>
      </c>
      <c r="L1678" s="13">
        <f>Orders[[#This Row],[Revenue]]-Orders[[#This Row],[Expenses]]</f>
        <v>6604.68</v>
      </c>
      <c r="M1678" t="s">
        <v>2208</v>
      </c>
      <c r="N1678" t="str">
        <f>_xlfn.XLOOKUP(Orders[[#This Row],[CustomerID]],Customers[CustomerID],Customers[CustomerName])</f>
        <v>Sani Igwe</v>
      </c>
      <c r="O1678" t="str">
        <f>_xlfn.XLOOKUP(Orders[[#This Row],[CustomerID]],Customers[CustomerID],Customers[City])</f>
        <v>Georgia</v>
      </c>
      <c r="P1678" t="str">
        <f>_xlfn.XLOOKUP(Orders[[#This Row],[CustomerID]],Customers[CustomerID],Customers[Gender])</f>
        <v>Male</v>
      </c>
      <c r="Q1678">
        <f>_xlfn.XLOOKUP(Orders[[#This Row],[CustomerID]],Customers[CustomerID],Customers[CustomerAge])</f>
        <v>20</v>
      </c>
      <c r="R1678" t="str">
        <f>IF(Orders[[#This Row],[CustomerAge]]&gt;=35, "Older", "Young")</f>
        <v>Young</v>
      </c>
      <c r="S1678" t="str">
        <f>_xlfn.XLOOKUP(Orders[[#This Row],[ProductID]],Products[ProductID],Products[ProductName])</f>
        <v>Turtle Neck</v>
      </c>
      <c r="T1678" t="str">
        <f>_xlfn.XLOOKUP(Orders[[#This Row],[ProductID]],Products[ProductID],Products[Category])</f>
        <v>Clothing</v>
      </c>
    </row>
    <row r="1679" spans="1:20" x14ac:dyDescent="0.25">
      <c r="A1679" s="4" t="s">
        <v>1868</v>
      </c>
      <c r="B1679" s="5">
        <v>45988</v>
      </c>
      <c r="C1679" s="15">
        <f>WEEKNUM(Orders[[#This Row],[OrderDate]])</f>
        <v>48</v>
      </c>
      <c r="D1679" s="15" t="str">
        <f>TEXT(Orders[[#This Row],[OrderDate]],"mmmm")</f>
        <v>November</v>
      </c>
      <c r="E1679" s="4" t="s">
        <v>481</v>
      </c>
      <c r="F1679" s="4" t="s">
        <v>92</v>
      </c>
      <c r="G1679" s="4">
        <v>1</v>
      </c>
      <c r="H1679" s="12">
        <v>10926.300000000001</v>
      </c>
      <c r="I1679" s="13">
        <v>9287.3550000000014</v>
      </c>
      <c r="J1679" s="13">
        <f>Orders[[#This Row],[Quantity]]*Orders[[#This Row],[Selling Price]]</f>
        <v>10926.300000000001</v>
      </c>
      <c r="K1679" s="13">
        <f>Orders[[#This Row],[Quantity]]*Orders[[#This Row],[Cost Price]]</f>
        <v>9287.3550000000014</v>
      </c>
      <c r="L1679" s="13">
        <f>Orders[[#This Row],[Revenue]]-Orders[[#This Row],[Expenses]]</f>
        <v>1638.9449999999997</v>
      </c>
      <c r="M1679" t="s">
        <v>2213</v>
      </c>
      <c r="N1679" t="str">
        <f>_xlfn.XLOOKUP(Orders[[#This Row],[CustomerID]],Customers[CustomerID],Customers[CustomerName])</f>
        <v>Abiola Bello</v>
      </c>
      <c r="O1679" t="str">
        <f>_xlfn.XLOOKUP(Orders[[#This Row],[CustomerID]],Customers[CustomerID],Customers[City])</f>
        <v>Illinois</v>
      </c>
      <c r="P1679" t="str">
        <f>_xlfn.XLOOKUP(Orders[[#This Row],[CustomerID]],Customers[CustomerID],Customers[Gender])</f>
        <v>Male</v>
      </c>
      <c r="Q1679">
        <f>_xlfn.XLOOKUP(Orders[[#This Row],[CustomerID]],Customers[CustomerID],Customers[CustomerAge])</f>
        <v>33</v>
      </c>
      <c r="R1679" t="str">
        <f>IF(Orders[[#This Row],[CustomerAge]]&gt;=35, "Older", "Young")</f>
        <v>Young</v>
      </c>
      <c r="S1679" t="str">
        <f>_xlfn.XLOOKUP(Orders[[#This Row],[ProductID]],Products[ProductID],Products[ProductName])</f>
        <v>Chest Expander</v>
      </c>
      <c r="T1679" t="str">
        <f>_xlfn.XLOOKUP(Orders[[#This Row],[ProductID]],Products[ProductID],Products[Category])</f>
        <v>Gym</v>
      </c>
    </row>
    <row r="1680" spans="1:20" x14ac:dyDescent="0.25">
      <c r="A1680" s="4" t="s">
        <v>1869</v>
      </c>
      <c r="B1680" s="5">
        <v>45957</v>
      </c>
      <c r="C1680" s="15">
        <f>WEEKNUM(Orders[[#This Row],[OrderDate]])</f>
        <v>44</v>
      </c>
      <c r="D1680" s="15" t="str">
        <f>TEXT(Orders[[#This Row],[OrderDate]],"mmmm")</f>
        <v>October</v>
      </c>
      <c r="E1680" s="4" t="s">
        <v>207</v>
      </c>
      <c r="F1680" s="4" t="s">
        <v>37</v>
      </c>
      <c r="G1680" s="4">
        <v>7</v>
      </c>
      <c r="H1680" s="12">
        <v>8524.2999999999993</v>
      </c>
      <c r="I1680" s="13">
        <v>7245.6549999999997</v>
      </c>
      <c r="J1680" s="13">
        <f>Orders[[#This Row],[Quantity]]*Orders[[#This Row],[Selling Price]]</f>
        <v>59670.099999999991</v>
      </c>
      <c r="K1680" s="13">
        <f>Orders[[#This Row],[Quantity]]*Orders[[#This Row],[Cost Price]]</f>
        <v>50719.584999999999</v>
      </c>
      <c r="L1680" s="13">
        <f>Orders[[#This Row],[Revenue]]-Orders[[#This Row],[Expenses]]</f>
        <v>8950.5149999999921</v>
      </c>
      <c r="M1680" t="s">
        <v>2211</v>
      </c>
      <c r="N1680" t="str">
        <f>_xlfn.XLOOKUP(Orders[[#This Row],[CustomerID]],Customers[CustomerID],Customers[CustomerName])</f>
        <v>Bisi Eze</v>
      </c>
      <c r="O1680" t="str">
        <f>_xlfn.XLOOKUP(Orders[[#This Row],[CustomerID]],Customers[CustomerID],Customers[City])</f>
        <v>Florida</v>
      </c>
      <c r="P1680" t="str">
        <f>_xlfn.XLOOKUP(Orders[[#This Row],[CustomerID]],Customers[CustomerID],Customers[Gender])</f>
        <v>Female</v>
      </c>
      <c r="Q1680">
        <f>_xlfn.XLOOKUP(Orders[[#This Row],[CustomerID]],Customers[CustomerID],Customers[CustomerAge])</f>
        <v>37</v>
      </c>
      <c r="R1680" t="str">
        <f>IF(Orders[[#This Row],[CustomerAge]]&gt;=35, "Older", "Young")</f>
        <v>Older</v>
      </c>
      <c r="S1680" t="str">
        <f>_xlfn.XLOOKUP(Orders[[#This Row],[ProductID]],Products[ProductID],Products[ProductName])</f>
        <v>Iron</v>
      </c>
      <c r="T1680" t="str">
        <f>_xlfn.XLOOKUP(Orders[[#This Row],[ProductID]],Products[ProductID],Products[Category])</f>
        <v>Electronics</v>
      </c>
    </row>
    <row r="1681" spans="1:20" x14ac:dyDescent="0.25">
      <c r="A1681" s="4" t="s">
        <v>1870</v>
      </c>
      <c r="B1681" s="5">
        <v>45971</v>
      </c>
      <c r="C1681" s="15">
        <f>WEEKNUM(Orders[[#This Row],[OrderDate]])</f>
        <v>46</v>
      </c>
      <c r="D1681" s="15" t="str">
        <f>TEXT(Orders[[#This Row],[OrderDate]],"mmmm")</f>
        <v>November</v>
      </c>
      <c r="E1681" s="4" t="s">
        <v>418</v>
      </c>
      <c r="F1681" s="4" t="s">
        <v>37</v>
      </c>
      <c r="G1681" s="4">
        <v>6</v>
      </c>
      <c r="H1681" s="12">
        <v>17728</v>
      </c>
      <c r="I1681" s="13">
        <v>15068.8</v>
      </c>
      <c r="J1681" s="13">
        <f>Orders[[#This Row],[Quantity]]*Orders[[#This Row],[Selling Price]]</f>
        <v>106368</v>
      </c>
      <c r="K1681" s="13">
        <f>Orders[[#This Row],[Quantity]]*Orders[[#This Row],[Cost Price]]</f>
        <v>90412.799999999988</v>
      </c>
      <c r="L1681" s="13">
        <f>Orders[[#This Row],[Revenue]]-Orders[[#This Row],[Expenses]]</f>
        <v>15955.200000000012</v>
      </c>
      <c r="M1681" t="s">
        <v>2193</v>
      </c>
      <c r="N1681" t="str">
        <f>_xlfn.XLOOKUP(Orders[[#This Row],[CustomerID]],Customers[CustomerID],Customers[CustomerName])</f>
        <v>Amina Danladi</v>
      </c>
      <c r="O1681" t="str">
        <f>_xlfn.XLOOKUP(Orders[[#This Row],[CustomerID]],Customers[CustomerID],Customers[City])</f>
        <v>Illinois</v>
      </c>
      <c r="P1681" t="str">
        <f>_xlfn.XLOOKUP(Orders[[#This Row],[CustomerID]],Customers[CustomerID],Customers[Gender])</f>
        <v>Female</v>
      </c>
      <c r="Q1681">
        <f>_xlfn.XLOOKUP(Orders[[#This Row],[CustomerID]],Customers[CustomerID],Customers[CustomerAge])</f>
        <v>20</v>
      </c>
      <c r="R1681" t="str">
        <f>IF(Orders[[#This Row],[CustomerAge]]&gt;=35, "Older", "Young")</f>
        <v>Young</v>
      </c>
      <c r="S1681" t="str">
        <f>_xlfn.XLOOKUP(Orders[[#This Row],[ProductID]],Products[ProductID],Products[ProductName])</f>
        <v>Iron</v>
      </c>
      <c r="T1681" t="str">
        <f>_xlfn.XLOOKUP(Orders[[#This Row],[ProductID]],Products[ProductID],Products[Category])</f>
        <v>Electronics</v>
      </c>
    </row>
    <row r="1682" spans="1:20" x14ac:dyDescent="0.25">
      <c r="A1682" s="4" t="s">
        <v>1871</v>
      </c>
      <c r="B1682" s="5">
        <v>45961</v>
      </c>
      <c r="C1682" s="15">
        <f>WEEKNUM(Orders[[#This Row],[OrderDate]])</f>
        <v>44</v>
      </c>
      <c r="D1682" s="15" t="str">
        <f>TEXT(Orders[[#This Row],[OrderDate]],"mmmm")</f>
        <v>October</v>
      </c>
      <c r="E1682" s="4" t="s">
        <v>244</v>
      </c>
      <c r="F1682" s="4" t="s">
        <v>60</v>
      </c>
      <c r="G1682" s="4">
        <v>10</v>
      </c>
      <c r="H1682" s="12">
        <v>2455.8000000000002</v>
      </c>
      <c r="I1682" s="13">
        <v>2087.4300000000003</v>
      </c>
      <c r="J1682" s="13">
        <f>Orders[[#This Row],[Quantity]]*Orders[[#This Row],[Selling Price]]</f>
        <v>24558</v>
      </c>
      <c r="K1682" s="13">
        <f>Orders[[#This Row],[Quantity]]*Orders[[#This Row],[Cost Price]]</f>
        <v>20874.300000000003</v>
      </c>
      <c r="L1682" s="13">
        <f>Orders[[#This Row],[Revenue]]-Orders[[#This Row],[Expenses]]</f>
        <v>3683.6999999999971</v>
      </c>
      <c r="M1682" t="s">
        <v>2217</v>
      </c>
      <c r="N1682" t="str">
        <f>_xlfn.XLOOKUP(Orders[[#This Row],[CustomerID]],Customers[CustomerID],Customers[CustomerName])</f>
        <v>Zainab Abubakar</v>
      </c>
      <c r="O1682" t="str">
        <f>_xlfn.XLOOKUP(Orders[[#This Row],[CustomerID]],Customers[CustomerID],Customers[City])</f>
        <v>Texas</v>
      </c>
      <c r="P1682" t="str">
        <f>_xlfn.XLOOKUP(Orders[[#This Row],[CustomerID]],Customers[CustomerID],Customers[Gender])</f>
        <v>Female</v>
      </c>
      <c r="Q1682">
        <f>_xlfn.XLOOKUP(Orders[[#This Row],[CustomerID]],Customers[CustomerID],Customers[CustomerAge])</f>
        <v>33</v>
      </c>
      <c r="R1682" t="str">
        <f>IF(Orders[[#This Row],[CustomerAge]]&gt;=35, "Older", "Young")</f>
        <v>Young</v>
      </c>
      <c r="S1682" t="str">
        <f>_xlfn.XLOOKUP(Orders[[#This Row],[ProductID]],Products[ProductID],Products[ProductName])</f>
        <v>Silver Rings</v>
      </c>
      <c r="T1682" t="str">
        <f>_xlfn.XLOOKUP(Orders[[#This Row],[ProductID]],Products[ProductID],Products[Category])</f>
        <v>Accessories</v>
      </c>
    </row>
    <row r="1683" spans="1:20" x14ac:dyDescent="0.25">
      <c r="A1683" s="4" t="s">
        <v>1872</v>
      </c>
      <c r="B1683" s="5">
        <v>46003</v>
      </c>
      <c r="C1683" s="15">
        <f>WEEKNUM(Orders[[#This Row],[OrderDate]])</f>
        <v>50</v>
      </c>
      <c r="D1683" s="15" t="str">
        <f>TEXT(Orders[[#This Row],[OrderDate]],"mmmm")</f>
        <v>December</v>
      </c>
      <c r="E1683" s="4" t="s">
        <v>314</v>
      </c>
      <c r="F1683" s="4" t="s">
        <v>34</v>
      </c>
      <c r="G1683" s="4">
        <v>2</v>
      </c>
      <c r="H1683" s="12">
        <v>10616.099999999999</v>
      </c>
      <c r="I1683" s="13">
        <v>9023.6849999999995</v>
      </c>
      <c r="J1683" s="13">
        <f>Orders[[#This Row],[Quantity]]*Orders[[#This Row],[Selling Price]]</f>
        <v>21232.199999999997</v>
      </c>
      <c r="K1683" s="13">
        <f>Orders[[#This Row],[Quantity]]*Orders[[#This Row],[Cost Price]]</f>
        <v>18047.37</v>
      </c>
      <c r="L1683" s="13">
        <f>Orders[[#This Row],[Revenue]]-Orders[[#This Row],[Expenses]]</f>
        <v>3184.8299999999981</v>
      </c>
      <c r="M1683" t="s">
        <v>2203</v>
      </c>
      <c r="N1683" t="str">
        <f>_xlfn.XLOOKUP(Orders[[#This Row],[CustomerID]],Customers[CustomerID],Customers[CustomerName])</f>
        <v>Bisi Ojo</v>
      </c>
      <c r="O1683" t="str">
        <f>_xlfn.XLOOKUP(Orders[[#This Row],[CustomerID]],Customers[CustomerID],Customers[City])</f>
        <v>Washington</v>
      </c>
      <c r="P1683" t="str">
        <f>_xlfn.XLOOKUP(Orders[[#This Row],[CustomerID]],Customers[CustomerID],Customers[Gender])</f>
        <v>Female</v>
      </c>
      <c r="Q1683">
        <f>_xlfn.XLOOKUP(Orders[[#This Row],[CustomerID]],Customers[CustomerID],Customers[CustomerAge])</f>
        <v>18</v>
      </c>
      <c r="R1683" t="str">
        <f>IF(Orders[[#This Row],[CustomerAge]]&gt;=35, "Older", "Young")</f>
        <v>Young</v>
      </c>
      <c r="S1683" t="str">
        <f>_xlfn.XLOOKUP(Orders[[#This Row],[ProductID]],Products[ProductID],Products[ProductName])</f>
        <v>Gold Bracelets</v>
      </c>
      <c r="T1683" t="str">
        <f>_xlfn.XLOOKUP(Orders[[#This Row],[ProductID]],Products[ProductID],Products[Category])</f>
        <v>Accessories</v>
      </c>
    </row>
    <row r="1684" spans="1:20" x14ac:dyDescent="0.25">
      <c r="A1684" s="4" t="s">
        <v>1873</v>
      </c>
      <c r="B1684" s="5">
        <v>45997</v>
      </c>
      <c r="C1684" s="15">
        <f>WEEKNUM(Orders[[#This Row],[OrderDate]])</f>
        <v>49</v>
      </c>
      <c r="D1684" s="15" t="str">
        <f>TEXT(Orders[[#This Row],[OrderDate]],"mmmm")</f>
        <v>December</v>
      </c>
      <c r="E1684" s="4" t="s">
        <v>282</v>
      </c>
      <c r="F1684" s="4" t="s">
        <v>37</v>
      </c>
      <c r="G1684" s="4">
        <v>7</v>
      </c>
      <c r="H1684" s="12">
        <v>3662.2000000000003</v>
      </c>
      <c r="I1684" s="13">
        <v>3112.8700000000003</v>
      </c>
      <c r="J1684" s="13">
        <f>Orders[[#This Row],[Quantity]]*Orders[[#This Row],[Selling Price]]</f>
        <v>25635.4</v>
      </c>
      <c r="K1684" s="13">
        <f>Orders[[#This Row],[Quantity]]*Orders[[#This Row],[Cost Price]]</f>
        <v>21790.090000000004</v>
      </c>
      <c r="L1684" s="13">
        <f>Orders[[#This Row],[Revenue]]-Orders[[#This Row],[Expenses]]</f>
        <v>3845.3099999999977</v>
      </c>
      <c r="M1684" t="s">
        <v>2206</v>
      </c>
      <c r="N1684" t="str">
        <f>_xlfn.XLOOKUP(Orders[[#This Row],[CustomerID]],Customers[CustomerID],Customers[CustomerName])</f>
        <v>Bisi Ojo</v>
      </c>
      <c r="O1684" t="str">
        <f>_xlfn.XLOOKUP(Orders[[#This Row],[CustomerID]],Customers[CustomerID],Customers[City])</f>
        <v>Texas</v>
      </c>
      <c r="P1684" t="str">
        <f>_xlfn.XLOOKUP(Orders[[#This Row],[CustomerID]],Customers[CustomerID],Customers[Gender])</f>
        <v>Female</v>
      </c>
      <c r="Q1684">
        <f>_xlfn.XLOOKUP(Orders[[#This Row],[CustomerID]],Customers[CustomerID],Customers[CustomerAge])</f>
        <v>26</v>
      </c>
      <c r="R1684" t="str">
        <f>IF(Orders[[#This Row],[CustomerAge]]&gt;=35, "Older", "Young")</f>
        <v>Young</v>
      </c>
      <c r="S1684" t="str">
        <f>_xlfn.XLOOKUP(Orders[[#This Row],[ProductID]],Products[ProductID],Products[ProductName])</f>
        <v>Iron</v>
      </c>
      <c r="T1684" t="str">
        <f>_xlfn.XLOOKUP(Orders[[#This Row],[ProductID]],Products[ProductID],Products[Category])</f>
        <v>Electronics</v>
      </c>
    </row>
    <row r="1685" spans="1:20" x14ac:dyDescent="0.25">
      <c r="A1685" s="4" t="s">
        <v>1874</v>
      </c>
      <c r="B1685" s="5">
        <v>45964</v>
      </c>
      <c r="C1685" s="15">
        <f>WEEKNUM(Orders[[#This Row],[OrderDate]])</f>
        <v>45</v>
      </c>
      <c r="D1685" s="15" t="str">
        <f>TEXT(Orders[[#This Row],[OrderDate]],"mmmm")</f>
        <v>November</v>
      </c>
      <c r="E1685" s="4" t="s">
        <v>96</v>
      </c>
      <c r="F1685" s="4" t="s">
        <v>15</v>
      </c>
      <c r="G1685" s="4">
        <v>1</v>
      </c>
      <c r="H1685" s="12">
        <v>7582.6</v>
      </c>
      <c r="I1685" s="13">
        <v>6445.21</v>
      </c>
      <c r="J1685" s="13">
        <f>Orders[[#This Row],[Quantity]]*Orders[[#This Row],[Selling Price]]</f>
        <v>7582.6</v>
      </c>
      <c r="K1685" s="13">
        <f>Orders[[#This Row],[Quantity]]*Orders[[#This Row],[Cost Price]]</f>
        <v>6445.21</v>
      </c>
      <c r="L1685" s="13">
        <f>Orders[[#This Row],[Revenue]]-Orders[[#This Row],[Expenses]]</f>
        <v>1137.3900000000003</v>
      </c>
      <c r="M1685" t="s">
        <v>2195</v>
      </c>
      <c r="N1685" t="str">
        <f>_xlfn.XLOOKUP(Orders[[#This Row],[CustomerID]],Customers[CustomerID],Customers[CustomerName])</f>
        <v>Amina Abubakar</v>
      </c>
      <c r="O1685" t="str">
        <f>_xlfn.XLOOKUP(Orders[[#This Row],[CustomerID]],Customers[CustomerID],Customers[City])</f>
        <v>Texas</v>
      </c>
      <c r="P1685" t="str">
        <f>_xlfn.XLOOKUP(Orders[[#This Row],[CustomerID]],Customers[CustomerID],Customers[Gender])</f>
        <v>Female</v>
      </c>
      <c r="Q1685">
        <f>_xlfn.XLOOKUP(Orders[[#This Row],[CustomerID]],Customers[CustomerID],Customers[CustomerAge])</f>
        <v>35</v>
      </c>
      <c r="R1685" t="str">
        <f>IF(Orders[[#This Row],[CustomerAge]]&gt;=35, "Older", "Young")</f>
        <v>Older</v>
      </c>
      <c r="S1685" t="str">
        <f>_xlfn.XLOOKUP(Orders[[#This Row],[ProductID]],Products[ProductID],Products[ProductName])</f>
        <v>Monopoly</v>
      </c>
      <c r="T1685" t="str">
        <f>_xlfn.XLOOKUP(Orders[[#This Row],[ProductID]],Products[ProductID],Products[Category])</f>
        <v>Games</v>
      </c>
    </row>
    <row r="1686" spans="1:20" x14ac:dyDescent="0.25">
      <c r="A1686" s="4" t="s">
        <v>1875</v>
      </c>
      <c r="B1686" s="5">
        <v>46020</v>
      </c>
      <c r="C1686" s="15">
        <f>WEEKNUM(Orders[[#This Row],[OrderDate]])</f>
        <v>53</v>
      </c>
      <c r="D1686" s="15" t="str">
        <f>TEXT(Orders[[#This Row],[OrderDate]],"mmmm")</f>
        <v>December</v>
      </c>
      <c r="E1686" s="4" t="s">
        <v>388</v>
      </c>
      <c r="F1686" s="4" t="s">
        <v>130</v>
      </c>
      <c r="G1686" s="4">
        <v>10</v>
      </c>
      <c r="H1686" s="12">
        <v>13949.400000000001</v>
      </c>
      <c r="I1686" s="13">
        <v>11856.990000000002</v>
      </c>
      <c r="J1686" s="13">
        <f>Orders[[#This Row],[Quantity]]*Orders[[#This Row],[Selling Price]]</f>
        <v>139494</v>
      </c>
      <c r="K1686" s="13">
        <f>Orders[[#This Row],[Quantity]]*Orders[[#This Row],[Cost Price]]</f>
        <v>118569.90000000002</v>
      </c>
      <c r="L1686" s="13">
        <f>Orders[[#This Row],[Revenue]]-Orders[[#This Row],[Expenses]]</f>
        <v>20924.099999999977</v>
      </c>
      <c r="M1686" t="s">
        <v>2199</v>
      </c>
      <c r="N1686" t="str">
        <f>_xlfn.XLOOKUP(Orders[[#This Row],[CustomerID]],Customers[CustomerID],Customers[CustomerName])</f>
        <v>Folasade Okonkwo</v>
      </c>
      <c r="O1686" t="str">
        <f>_xlfn.XLOOKUP(Orders[[#This Row],[CustomerID]],Customers[CustomerID],Customers[City])</f>
        <v>Washington</v>
      </c>
      <c r="P1686" t="str">
        <f>_xlfn.XLOOKUP(Orders[[#This Row],[CustomerID]],Customers[CustomerID],Customers[Gender])</f>
        <v>Female</v>
      </c>
      <c r="Q1686">
        <f>_xlfn.XLOOKUP(Orders[[#This Row],[CustomerID]],Customers[CustomerID],Customers[CustomerAge])</f>
        <v>52</v>
      </c>
      <c r="R1686" t="str">
        <f>IF(Orders[[#This Row],[CustomerAge]]&gt;=35, "Older", "Young")</f>
        <v>Older</v>
      </c>
      <c r="S1686" t="str">
        <f>_xlfn.XLOOKUP(Orders[[#This Row],[ProductID]],Products[ProductID],Products[ProductName])</f>
        <v>Gold Earrings And Necklaces</v>
      </c>
      <c r="T1686" t="str">
        <f>_xlfn.XLOOKUP(Orders[[#This Row],[ProductID]],Products[ProductID],Products[Category])</f>
        <v>Accessories</v>
      </c>
    </row>
    <row r="1687" spans="1:20" x14ac:dyDescent="0.25">
      <c r="A1687" s="4" t="s">
        <v>1876</v>
      </c>
      <c r="B1687" s="5">
        <v>45955</v>
      </c>
      <c r="C1687" s="15">
        <f>WEEKNUM(Orders[[#This Row],[OrderDate]])</f>
        <v>43</v>
      </c>
      <c r="D1687" s="15" t="str">
        <f>TEXT(Orders[[#This Row],[OrderDate]],"mmmm")</f>
        <v>October</v>
      </c>
      <c r="E1687" s="4" t="s">
        <v>605</v>
      </c>
      <c r="F1687" s="4" t="s">
        <v>37</v>
      </c>
      <c r="G1687" s="4">
        <v>1</v>
      </c>
      <c r="H1687" s="12">
        <v>13783.900000000001</v>
      </c>
      <c r="I1687" s="13">
        <v>11716.315000000002</v>
      </c>
      <c r="J1687" s="13">
        <f>Orders[[#This Row],[Quantity]]*Orders[[#This Row],[Selling Price]]</f>
        <v>13783.900000000001</v>
      </c>
      <c r="K1687" s="13">
        <f>Orders[[#This Row],[Quantity]]*Orders[[#This Row],[Cost Price]]</f>
        <v>11716.315000000002</v>
      </c>
      <c r="L1687" s="13">
        <f>Orders[[#This Row],[Revenue]]-Orders[[#This Row],[Expenses]]</f>
        <v>2067.5849999999991</v>
      </c>
      <c r="M1687" t="s">
        <v>2193</v>
      </c>
      <c r="N1687" t="str">
        <f>_xlfn.XLOOKUP(Orders[[#This Row],[CustomerID]],Customers[CustomerID],Customers[CustomerName])</f>
        <v>Blessing Abubakar</v>
      </c>
      <c r="O1687" t="str">
        <f>_xlfn.XLOOKUP(Orders[[#This Row],[CustomerID]],Customers[CustomerID],Customers[City])</f>
        <v>Texas</v>
      </c>
      <c r="P1687" t="str">
        <f>_xlfn.XLOOKUP(Orders[[#This Row],[CustomerID]],Customers[CustomerID],Customers[Gender])</f>
        <v>Female</v>
      </c>
      <c r="Q1687">
        <f>_xlfn.XLOOKUP(Orders[[#This Row],[CustomerID]],Customers[CustomerID],Customers[CustomerAge])</f>
        <v>44</v>
      </c>
      <c r="R1687" t="str">
        <f>IF(Orders[[#This Row],[CustomerAge]]&gt;=35, "Older", "Young")</f>
        <v>Older</v>
      </c>
      <c r="S1687" t="str">
        <f>_xlfn.XLOOKUP(Orders[[#This Row],[ProductID]],Products[ProductID],Products[ProductName])</f>
        <v>Iron</v>
      </c>
      <c r="T1687" t="str">
        <f>_xlfn.XLOOKUP(Orders[[#This Row],[ProductID]],Products[ProductID],Products[Category])</f>
        <v>Electronics</v>
      </c>
    </row>
    <row r="1688" spans="1:20" x14ac:dyDescent="0.25">
      <c r="A1688" s="4" t="s">
        <v>1877</v>
      </c>
      <c r="B1688" s="5">
        <v>46001</v>
      </c>
      <c r="C1688" s="15">
        <f>WEEKNUM(Orders[[#This Row],[OrderDate]])</f>
        <v>50</v>
      </c>
      <c r="D1688" s="15" t="str">
        <f>TEXT(Orders[[#This Row],[OrderDate]],"mmmm")</f>
        <v>December</v>
      </c>
      <c r="E1688" s="4" t="s">
        <v>295</v>
      </c>
      <c r="F1688" s="4" t="s">
        <v>31</v>
      </c>
      <c r="G1688" s="4">
        <v>8</v>
      </c>
      <c r="H1688" s="12">
        <v>13239</v>
      </c>
      <c r="I1688" s="13">
        <v>11253.15</v>
      </c>
      <c r="J1688" s="13">
        <f>Orders[[#This Row],[Quantity]]*Orders[[#This Row],[Selling Price]]</f>
        <v>105912</v>
      </c>
      <c r="K1688" s="13">
        <f>Orders[[#This Row],[Quantity]]*Orders[[#This Row],[Cost Price]]</f>
        <v>90025.2</v>
      </c>
      <c r="L1688" s="13">
        <f>Orders[[#This Row],[Revenue]]-Orders[[#This Row],[Expenses]]</f>
        <v>15886.800000000003</v>
      </c>
      <c r="M1688" t="s">
        <v>2213</v>
      </c>
      <c r="N1688" t="str">
        <f>_xlfn.XLOOKUP(Orders[[#This Row],[CustomerID]],Customers[CustomerID],Customers[CustomerName])</f>
        <v>Sani Obi</v>
      </c>
      <c r="O1688" t="str">
        <f>_xlfn.XLOOKUP(Orders[[#This Row],[CustomerID]],Customers[CustomerID],Customers[City])</f>
        <v>Texas</v>
      </c>
      <c r="P1688" t="str">
        <f>_xlfn.XLOOKUP(Orders[[#This Row],[CustomerID]],Customers[CustomerID],Customers[Gender])</f>
        <v>Male</v>
      </c>
      <c r="Q1688">
        <f>_xlfn.XLOOKUP(Orders[[#This Row],[CustomerID]],Customers[CustomerID],Customers[CustomerAge])</f>
        <v>31</v>
      </c>
      <c r="R1688" t="str">
        <f>IF(Orders[[#This Row],[CustomerAge]]&gt;=35, "Older", "Young")</f>
        <v>Young</v>
      </c>
      <c r="S1688" t="str">
        <f>_xlfn.XLOOKUP(Orders[[#This Row],[ProductID]],Products[ProductID],Products[ProductName])</f>
        <v>Kids Games</v>
      </c>
      <c r="T1688" t="str">
        <f>_xlfn.XLOOKUP(Orders[[#This Row],[ProductID]],Products[ProductID],Products[Category])</f>
        <v>Games</v>
      </c>
    </row>
    <row r="1689" spans="1:20" x14ac:dyDescent="0.25">
      <c r="A1689" s="4" t="s">
        <v>1878</v>
      </c>
      <c r="B1689" s="5">
        <v>45970</v>
      </c>
      <c r="C1689" s="15">
        <f>WEEKNUM(Orders[[#This Row],[OrderDate]])</f>
        <v>46</v>
      </c>
      <c r="D1689" s="15" t="str">
        <f>TEXT(Orders[[#This Row],[OrderDate]],"mmmm")</f>
        <v>November</v>
      </c>
      <c r="E1689" s="4" t="s">
        <v>502</v>
      </c>
      <c r="F1689" s="4" t="s">
        <v>111</v>
      </c>
      <c r="G1689" s="4">
        <v>5</v>
      </c>
      <c r="H1689" s="12">
        <v>9201.2000000000007</v>
      </c>
      <c r="I1689" s="13">
        <v>7821.02</v>
      </c>
      <c r="J1689" s="13">
        <f>Orders[[#This Row],[Quantity]]*Orders[[#This Row],[Selling Price]]</f>
        <v>46006</v>
      </c>
      <c r="K1689" s="13">
        <f>Orders[[#This Row],[Quantity]]*Orders[[#This Row],[Cost Price]]</f>
        <v>39105.100000000006</v>
      </c>
      <c r="L1689" s="13">
        <f>Orders[[#This Row],[Revenue]]-Orders[[#This Row],[Expenses]]</f>
        <v>6900.8999999999942</v>
      </c>
      <c r="M1689" t="s">
        <v>2201</v>
      </c>
      <c r="N1689" t="str">
        <f>_xlfn.XLOOKUP(Orders[[#This Row],[CustomerID]],Customers[CustomerID],Customers[CustomerName])</f>
        <v>Obi Eze</v>
      </c>
      <c r="O1689" t="str">
        <f>_xlfn.XLOOKUP(Orders[[#This Row],[CustomerID]],Customers[CustomerID],Customers[City])</f>
        <v>Texas</v>
      </c>
      <c r="P1689" t="str">
        <f>_xlfn.XLOOKUP(Orders[[#This Row],[CustomerID]],Customers[CustomerID],Customers[Gender])</f>
        <v>Male</v>
      </c>
      <c r="Q1689">
        <f>_xlfn.XLOOKUP(Orders[[#This Row],[CustomerID]],Customers[CustomerID],Customers[CustomerAge])</f>
        <v>24</v>
      </c>
      <c r="R1689" t="str">
        <f>IF(Orders[[#This Row],[CustomerAge]]&gt;=35, "Older", "Young")</f>
        <v>Young</v>
      </c>
      <c r="S1689" t="str">
        <f>_xlfn.XLOOKUP(Orders[[#This Row],[ProductID]],Products[ProductID],Products[ProductName])</f>
        <v>Refrigerator</v>
      </c>
      <c r="T1689" t="str">
        <f>_xlfn.XLOOKUP(Orders[[#This Row],[ProductID]],Products[ProductID],Products[Category])</f>
        <v>Electronics</v>
      </c>
    </row>
    <row r="1690" spans="1:20" x14ac:dyDescent="0.25">
      <c r="A1690" s="4" t="s">
        <v>1879</v>
      </c>
      <c r="B1690" s="5">
        <v>46014</v>
      </c>
      <c r="C1690" s="15">
        <f>WEEKNUM(Orders[[#This Row],[OrderDate]])</f>
        <v>52</v>
      </c>
      <c r="D1690" s="15" t="str">
        <f>TEXT(Orders[[#This Row],[OrderDate]],"mmmm")</f>
        <v>December</v>
      </c>
      <c r="E1690" s="4" t="s">
        <v>216</v>
      </c>
      <c r="F1690" s="4" t="s">
        <v>20</v>
      </c>
      <c r="G1690" s="4">
        <v>4</v>
      </c>
      <c r="H1690" s="12">
        <v>10145.9</v>
      </c>
      <c r="I1690" s="13">
        <v>8624.0149999999994</v>
      </c>
      <c r="J1690" s="13">
        <f>Orders[[#This Row],[Quantity]]*Orders[[#This Row],[Selling Price]]</f>
        <v>40583.599999999999</v>
      </c>
      <c r="K1690" s="13">
        <f>Orders[[#This Row],[Quantity]]*Orders[[#This Row],[Cost Price]]</f>
        <v>34496.06</v>
      </c>
      <c r="L1690" s="13">
        <f>Orders[[#This Row],[Revenue]]-Orders[[#This Row],[Expenses]]</f>
        <v>6087.5400000000009</v>
      </c>
      <c r="M1690" t="s">
        <v>2210</v>
      </c>
      <c r="N1690" t="str">
        <f>_xlfn.XLOOKUP(Orders[[#This Row],[CustomerID]],Customers[CustomerID],Customers[CustomerName])</f>
        <v>Ngozi Obi</v>
      </c>
      <c r="O1690" t="str">
        <f>_xlfn.XLOOKUP(Orders[[#This Row],[CustomerID]],Customers[CustomerID],Customers[City])</f>
        <v>California</v>
      </c>
      <c r="P1690" t="str">
        <f>_xlfn.XLOOKUP(Orders[[#This Row],[CustomerID]],Customers[CustomerID],Customers[Gender])</f>
        <v>Female</v>
      </c>
      <c r="Q1690">
        <f>_xlfn.XLOOKUP(Orders[[#This Row],[CustomerID]],Customers[CustomerID],Customers[CustomerAge])</f>
        <v>54</v>
      </c>
      <c r="R1690" t="str">
        <f>IF(Orders[[#This Row],[CustomerAge]]&gt;=35, "Older", "Young")</f>
        <v>Older</v>
      </c>
      <c r="S1690" t="str">
        <f>_xlfn.XLOOKUP(Orders[[#This Row],[ProductID]],Products[ProductID],Products[ProductName])</f>
        <v>Gym Bag</v>
      </c>
      <c r="T1690" t="str">
        <f>_xlfn.XLOOKUP(Orders[[#This Row],[ProductID]],Products[ProductID],Products[Category])</f>
        <v>Gym</v>
      </c>
    </row>
    <row r="1691" spans="1:20" x14ac:dyDescent="0.25">
      <c r="A1691" s="4" t="s">
        <v>1880</v>
      </c>
      <c r="B1691" s="5">
        <v>46021</v>
      </c>
      <c r="C1691" s="15">
        <f>WEEKNUM(Orders[[#This Row],[OrderDate]])</f>
        <v>53</v>
      </c>
      <c r="D1691" s="15" t="str">
        <f>TEXT(Orders[[#This Row],[OrderDate]],"mmmm")</f>
        <v>December</v>
      </c>
      <c r="E1691" s="4" t="s">
        <v>481</v>
      </c>
      <c r="F1691" s="4" t="s">
        <v>168</v>
      </c>
      <c r="G1691" s="4">
        <v>1</v>
      </c>
      <c r="H1691" s="12">
        <v>2717.1</v>
      </c>
      <c r="I1691" s="13">
        <v>2309.5349999999999</v>
      </c>
      <c r="J1691" s="13">
        <f>Orders[[#This Row],[Quantity]]*Orders[[#This Row],[Selling Price]]</f>
        <v>2717.1</v>
      </c>
      <c r="K1691" s="13">
        <f>Orders[[#This Row],[Quantity]]*Orders[[#This Row],[Cost Price]]</f>
        <v>2309.5349999999999</v>
      </c>
      <c r="L1691" s="13">
        <f>Orders[[#This Row],[Revenue]]-Orders[[#This Row],[Expenses]]</f>
        <v>407.56500000000005</v>
      </c>
      <c r="M1691" t="s">
        <v>2196</v>
      </c>
      <c r="N1691" t="str">
        <f>_xlfn.XLOOKUP(Orders[[#This Row],[CustomerID]],Customers[CustomerID],Customers[CustomerName])</f>
        <v>Abiola Bello</v>
      </c>
      <c r="O1691" t="str">
        <f>_xlfn.XLOOKUP(Orders[[#This Row],[CustomerID]],Customers[CustomerID],Customers[City])</f>
        <v>Illinois</v>
      </c>
      <c r="P1691" t="str">
        <f>_xlfn.XLOOKUP(Orders[[#This Row],[CustomerID]],Customers[CustomerID],Customers[Gender])</f>
        <v>Male</v>
      </c>
      <c r="Q1691">
        <f>_xlfn.XLOOKUP(Orders[[#This Row],[CustomerID]],Customers[CustomerID],Customers[CustomerAge])</f>
        <v>33</v>
      </c>
      <c r="R1691" t="str">
        <f>IF(Orders[[#This Row],[CustomerAge]]&gt;=35, "Older", "Young")</f>
        <v>Young</v>
      </c>
      <c r="S1691" t="str">
        <f>_xlfn.XLOOKUP(Orders[[#This Row],[ProductID]],Products[ProductID],Products[ProductName])</f>
        <v>Dumb Bells</v>
      </c>
      <c r="T1691" t="str">
        <f>_xlfn.XLOOKUP(Orders[[#This Row],[ProductID]],Products[ProductID],Products[Category])</f>
        <v>Gym</v>
      </c>
    </row>
    <row r="1692" spans="1:20" x14ac:dyDescent="0.25">
      <c r="A1692" s="4" t="s">
        <v>1881</v>
      </c>
      <c r="B1692" s="5">
        <v>45993</v>
      </c>
      <c r="C1692" s="15">
        <f>WEEKNUM(Orders[[#This Row],[OrderDate]])</f>
        <v>49</v>
      </c>
      <c r="D1692" s="15" t="str">
        <f>TEXT(Orders[[#This Row],[OrderDate]],"mmmm")</f>
        <v>December</v>
      </c>
      <c r="E1692" s="4" t="s">
        <v>410</v>
      </c>
      <c r="F1692" s="4" t="s">
        <v>151</v>
      </c>
      <c r="G1692" s="4">
        <v>7</v>
      </c>
      <c r="H1692" s="12">
        <v>6955</v>
      </c>
      <c r="I1692" s="13">
        <v>5911.75</v>
      </c>
      <c r="J1692" s="13">
        <f>Orders[[#This Row],[Quantity]]*Orders[[#This Row],[Selling Price]]</f>
        <v>48685</v>
      </c>
      <c r="K1692" s="13">
        <f>Orders[[#This Row],[Quantity]]*Orders[[#This Row],[Cost Price]]</f>
        <v>41382.25</v>
      </c>
      <c r="L1692" s="13">
        <f>Orders[[#This Row],[Revenue]]-Orders[[#This Row],[Expenses]]</f>
        <v>7302.75</v>
      </c>
      <c r="M1692" t="s">
        <v>2213</v>
      </c>
      <c r="N1692" t="str">
        <f>_xlfn.XLOOKUP(Orders[[#This Row],[CustomerID]],Customers[CustomerID],Customers[CustomerName])</f>
        <v>Jane Thomas</v>
      </c>
      <c r="O1692" t="str">
        <f>_xlfn.XLOOKUP(Orders[[#This Row],[CustomerID]],Customers[CustomerID],Customers[City])</f>
        <v>Texas</v>
      </c>
      <c r="P1692" t="str">
        <f>_xlfn.XLOOKUP(Orders[[#This Row],[CustomerID]],Customers[CustomerID],Customers[Gender])</f>
        <v>Male</v>
      </c>
      <c r="Q1692">
        <f>_xlfn.XLOOKUP(Orders[[#This Row],[CustomerID]],Customers[CustomerID],Customers[CustomerAge])</f>
        <v>21</v>
      </c>
      <c r="R1692" t="str">
        <f>IF(Orders[[#This Row],[CustomerAge]]&gt;=35, "Older", "Young")</f>
        <v>Young</v>
      </c>
      <c r="S1692" t="str">
        <f>_xlfn.XLOOKUP(Orders[[#This Row],[ProductID]],Products[ProductID],Products[ProductName])</f>
        <v>Checkers</v>
      </c>
      <c r="T1692" t="str">
        <f>_xlfn.XLOOKUP(Orders[[#This Row],[ProductID]],Products[ProductID],Products[Category])</f>
        <v>Games</v>
      </c>
    </row>
    <row r="1693" spans="1:20" x14ac:dyDescent="0.25">
      <c r="A1693" s="4" t="s">
        <v>1882</v>
      </c>
      <c r="B1693" s="5">
        <v>45964</v>
      </c>
      <c r="C1693" s="15">
        <f>WEEKNUM(Orders[[#This Row],[OrderDate]])</f>
        <v>45</v>
      </c>
      <c r="D1693" s="15" t="str">
        <f>TEXT(Orders[[#This Row],[OrderDate]],"mmmm")</f>
        <v>November</v>
      </c>
      <c r="E1693" s="4" t="s">
        <v>136</v>
      </c>
      <c r="F1693" s="4" t="s">
        <v>20</v>
      </c>
      <c r="G1693" s="4">
        <v>7</v>
      </c>
      <c r="H1693" s="12">
        <v>3817.5</v>
      </c>
      <c r="I1693" s="13">
        <v>3244.875</v>
      </c>
      <c r="J1693" s="13">
        <f>Orders[[#This Row],[Quantity]]*Orders[[#This Row],[Selling Price]]</f>
        <v>26722.5</v>
      </c>
      <c r="K1693" s="13">
        <f>Orders[[#This Row],[Quantity]]*Orders[[#This Row],[Cost Price]]</f>
        <v>22714.125</v>
      </c>
      <c r="L1693" s="13">
        <f>Orders[[#This Row],[Revenue]]-Orders[[#This Row],[Expenses]]</f>
        <v>4008.375</v>
      </c>
      <c r="M1693" t="s">
        <v>2201</v>
      </c>
      <c r="N1693" t="str">
        <f>_xlfn.XLOOKUP(Orders[[#This Row],[CustomerID]],Customers[CustomerID],Customers[CustomerName])</f>
        <v>Chinedu Obi</v>
      </c>
      <c r="O1693" t="str">
        <f>_xlfn.XLOOKUP(Orders[[#This Row],[CustomerID]],Customers[CustomerID],Customers[City])</f>
        <v>California</v>
      </c>
      <c r="P1693" t="str">
        <f>_xlfn.XLOOKUP(Orders[[#This Row],[CustomerID]],Customers[CustomerID],Customers[Gender])</f>
        <v>Male</v>
      </c>
      <c r="Q1693">
        <f>_xlfn.XLOOKUP(Orders[[#This Row],[CustomerID]],Customers[CustomerID],Customers[CustomerAge])</f>
        <v>27</v>
      </c>
      <c r="R1693" t="str">
        <f>IF(Orders[[#This Row],[CustomerAge]]&gt;=35, "Older", "Young")</f>
        <v>Young</v>
      </c>
      <c r="S1693" t="str">
        <f>_xlfn.XLOOKUP(Orders[[#This Row],[ProductID]],Products[ProductID],Products[ProductName])</f>
        <v>Gym Bag</v>
      </c>
      <c r="T1693" t="str">
        <f>_xlfn.XLOOKUP(Orders[[#This Row],[ProductID]],Products[ProductID],Products[Category])</f>
        <v>Gym</v>
      </c>
    </row>
    <row r="1694" spans="1:20" x14ac:dyDescent="0.25">
      <c r="A1694" s="4" t="s">
        <v>1883</v>
      </c>
      <c r="B1694" s="5">
        <v>45935</v>
      </c>
      <c r="C1694" s="15">
        <f>WEEKNUM(Orders[[#This Row],[OrderDate]])</f>
        <v>41</v>
      </c>
      <c r="D1694" s="15" t="str">
        <f>TEXT(Orders[[#This Row],[OrderDate]],"mmmm")</f>
        <v>October</v>
      </c>
      <c r="E1694" s="4" t="s">
        <v>110</v>
      </c>
      <c r="F1694" s="4" t="s">
        <v>12</v>
      </c>
      <c r="G1694" s="4">
        <v>5</v>
      </c>
      <c r="H1694" s="12">
        <v>16785.2</v>
      </c>
      <c r="I1694" s="13">
        <v>14267.42</v>
      </c>
      <c r="J1694" s="13">
        <f>Orders[[#This Row],[Quantity]]*Orders[[#This Row],[Selling Price]]</f>
        <v>83926</v>
      </c>
      <c r="K1694" s="13">
        <f>Orders[[#This Row],[Quantity]]*Orders[[#This Row],[Cost Price]]</f>
        <v>71337.100000000006</v>
      </c>
      <c r="L1694" s="13">
        <f>Orders[[#This Row],[Revenue]]-Orders[[#This Row],[Expenses]]</f>
        <v>12588.899999999994</v>
      </c>
      <c r="M1694" t="s">
        <v>2199</v>
      </c>
      <c r="N1694" t="str">
        <f>_xlfn.XLOOKUP(Orders[[#This Row],[CustomerID]],Customers[CustomerID],Customers[CustomerName])</f>
        <v>Ngozi Danladi</v>
      </c>
      <c r="O1694" t="str">
        <f>_xlfn.XLOOKUP(Orders[[#This Row],[CustomerID]],Customers[CustomerID],Customers[City])</f>
        <v>Washington</v>
      </c>
      <c r="P1694" t="str">
        <f>_xlfn.XLOOKUP(Orders[[#This Row],[CustomerID]],Customers[CustomerID],Customers[Gender])</f>
        <v>Female</v>
      </c>
      <c r="Q1694">
        <f>_xlfn.XLOOKUP(Orders[[#This Row],[CustomerID]],Customers[CustomerID],Customers[CustomerAge])</f>
        <v>28</v>
      </c>
      <c r="R1694" t="str">
        <f>IF(Orders[[#This Row],[CustomerAge]]&gt;=35, "Older", "Young")</f>
        <v>Young</v>
      </c>
      <c r="S1694" t="str">
        <f>_xlfn.XLOOKUP(Orders[[#This Row],[ProductID]],Products[ProductID],Products[ProductName])</f>
        <v>Boubou</v>
      </c>
      <c r="T1694" t="str">
        <f>_xlfn.XLOOKUP(Orders[[#This Row],[ProductID]],Products[ProductID],Products[Category])</f>
        <v>Clothing</v>
      </c>
    </row>
    <row r="1695" spans="1:20" x14ac:dyDescent="0.25">
      <c r="A1695" s="4" t="s">
        <v>1884</v>
      </c>
      <c r="B1695" s="5">
        <v>46010</v>
      </c>
      <c r="C1695" s="15">
        <f>WEEKNUM(Orders[[#This Row],[OrderDate]])</f>
        <v>51</v>
      </c>
      <c r="D1695" s="15" t="str">
        <f>TEXT(Orders[[#This Row],[OrderDate]],"mmmm")</f>
        <v>December</v>
      </c>
      <c r="E1695" s="4" t="s">
        <v>314</v>
      </c>
      <c r="F1695" s="4" t="s">
        <v>130</v>
      </c>
      <c r="G1695" s="4">
        <v>9</v>
      </c>
      <c r="H1695" s="12">
        <v>10105</v>
      </c>
      <c r="I1695" s="13">
        <v>8589.25</v>
      </c>
      <c r="J1695" s="13">
        <f>Orders[[#This Row],[Quantity]]*Orders[[#This Row],[Selling Price]]</f>
        <v>90945</v>
      </c>
      <c r="K1695" s="13">
        <f>Orders[[#This Row],[Quantity]]*Orders[[#This Row],[Cost Price]]</f>
        <v>77303.25</v>
      </c>
      <c r="L1695" s="13">
        <f>Orders[[#This Row],[Revenue]]-Orders[[#This Row],[Expenses]]</f>
        <v>13641.75</v>
      </c>
      <c r="M1695" t="s">
        <v>2197</v>
      </c>
      <c r="N1695" t="str">
        <f>_xlfn.XLOOKUP(Orders[[#This Row],[CustomerID]],Customers[CustomerID],Customers[CustomerName])</f>
        <v>Bisi Ojo</v>
      </c>
      <c r="O1695" t="str">
        <f>_xlfn.XLOOKUP(Orders[[#This Row],[CustomerID]],Customers[CustomerID],Customers[City])</f>
        <v>Washington</v>
      </c>
      <c r="P1695" t="str">
        <f>_xlfn.XLOOKUP(Orders[[#This Row],[CustomerID]],Customers[CustomerID],Customers[Gender])</f>
        <v>Female</v>
      </c>
      <c r="Q1695">
        <f>_xlfn.XLOOKUP(Orders[[#This Row],[CustomerID]],Customers[CustomerID],Customers[CustomerAge])</f>
        <v>18</v>
      </c>
      <c r="R1695" t="str">
        <f>IF(Orders[[#This Row],[CustomerAge]]&gt;=35, "Older", "Young")</f>
        <v>Young</v>
      </c>
      <c r="S1695" t="str">
        <f>_xlfn.XLOOKUP(Orders[[#This Row],[ProductID]],Products[ProductID],Products[ProductName])</f>
        <v>Gold Earrings And Necklaces</v>
      </c>
      <c r="T1695" t="str">
        <f>_xlfn.XLOOKUP(Orders[[#This Row],[ProductID]],Products[ProductID],Products[Category])</f>
        <v>Accessories</v>
      </c>
    </row>
    <row r="1696" spans="1:20" x14ac:dyDescent="0.25">
      <c r="A1696" s="4" t="s">
        <v>1885</v>
      </c>
      <c r="B1696" s="5">
        <v>45941</v>
      </c>
      <c r="C1696" s="15">
        <f>WEEKNUM(Orders[[#This Row],[OrderDate]])</f>
        <v>41</v>
      </c>
      <c r="D1696" s="15" t="str">
        <f>TEXT(Orders[[#This Row],[OrderDate]],"mmmm")</f>
        <v>October</v>
      </c>
      <c r="E1696" s="4" t="s">
        <v>129</v>
      </c>
      <c r="F1696" s="4" t="s">
        <v>120</v>
      </c>
      <c r="G1696" s="4">
        <v>4</v>
      </c>
      <c r="H1696" s="12">
        <v>8557</v>
      </c>
      <c r="I1696" s="13">
        <v>7273.45</v>
      </c>
      <c r="J1696" s="13">
        <f>Orders[[#This Row],[Quantity]]*Orders[[#This Row],[Selling Price]]</f>
        <v>34228</v>
      </c>
      <c r="K1696" s="13">
        <f>Orders[[#This Row],[Quantity]]*Orders[[#This Row],[Cost Price]]</f>
        <v>29093.8</v>
      </c>
      <c r="L1696" s="13">
        <f>Orders[[#This Row],[Revenue]]-Orders[[#This Row],[Expenses]]</f>
        <v>5134.2000000000007</v>
      </c>
      <c r="M1696" t="s">
        <v>2218</v>
      </c>
      <c r="N1696" t="str">
        <f>_xlfn.XLOOKUP(Orders[[#This Row],[CustomerID]],Customers[CustomerID],Customers[CustomerName])</f>
        <v>Chioma Ojo</v>
      </c>
      <c r="O1696" t="str">
        <f>_xlfn.XLOOKUP(Orders[[#This Row],[CustomerID]],Customers[CustomerID],Customers[City])</f>
        <v>Washington</v>
      </c>
      <c r="P1696" t="str">
        <f>_xlfn.XLOOKUP(Orders[[#This Row],[CustomerID]],Customers[CustomerID],Customers[Gender])</f>
        <v>Female</v>
      </c>
      <c r="Q1696">
        <f>_xlfn.XLOOKUP(Orders[[#This Row],[CustomerID]],Customers[CustomerID],Customers[CustomerAge])</f>
        <v>46</v>
      </c>
      <c r="R1696" t="str">
        <f>IF(Orders[[#This Row],[CustomerAge]]&gt;=35, "Older", "Young")</f>
        <v>Older</v>
      </c>
      <c r="S1696" t="str">
        <f>_xlfn.XLOOKUP(Orders[[#This Row],[ProductID]],Products[ProductID],Products[ProductName])</f>
        <v>Chess</v>
      </c>
      <c r="T1696" t="str">
        <f>_xlfn.XLOOKUP(Orders[[#This Row],[ProductID]],Products[ProductID],Products[Category])</f>
        <v>Games</v>
      </c>
    </row>
    <row r="1697" spans="1:20" x14ac:dyDescent="0.25">
      <c r="A1697" s="4" t="s">
        <v>1886</v>
      </c>
      <c r="B1697" s="5">
        <v>45943</v>
      </c>
      <c r="C1697" s="15">
        <f>WEEKNUM(Orders[[#This Row],[OrderDate]])</f>
        <v>42</v>
      </c>
      <c r="D1697" s="15" t="str">
        <f>TEXT(Orders[[#This Row],[OrderDate]],"mmmm")</f>
        <v>October</v>
      </c>
      <c r="E1697" s="4" t="s">
        <v>150</v>
      </c>
      <c r="F1697" s="4" t="s">
        <v>15</v>
      </c>
      <c r="G1697" s="4">
        <v>8</v>
      </c>
      <c r="H1697" s="12">
        <v>12643.099999999999</v>
      </c>
      <c r="I1697" s="13">
        <v>10746.634999999998</v>
      </c>
      <c r="J1697" s="13">
        <f>Orders[[#This Row],[Quantity]]*Orders[[#This Row],[Selling Price]]</f>
        <v>101144.79999999999</v>
      </c>
      <c r="K1697" s="13">
        <f>Orders[[#This Row],[Quantity]]*Orders[[#This Row],[Cost Price]]</f>
        <v>85973.079999999987</v>
      </c>
      <c r="L1697" s="13">
        <f>Orders[[#This Row],[Revenue]]-Orders[[#This Row],[Expenses]]</f>
        <v>15171.720000000001</v>
      </c>
      <c r="M1697" t="s">
        <v>2195</v>
      </c>
      <c r="N1697" t="str">
        <f>_xlfn.XLOOKUP(Orders[[#This Row],[CustomerID]],Customers[CustomerID],Customers[CustomerName])</f>
        <v>Ronke Eze</v>
      </c>
      <c r="O1697" t="str">
        <f>_xlfn.XLOOKUP(Orders[[#This Row],[CustomerID]],Customers[CustomerID],Customers[City])</f>
        <v>Georgia</v>
      </c>
      <c r="P1697" t="str">
        <f>_xlfn.XLOOKUP(Orders[[#This Row],[CustomerID]],Customers[CustomerID],Customers[Gender])</f>
        <v>Female</v>
      </c>
      <c r="Q1697">
        <f>_xlfn.XLOOKUP(Orders[[#This Row],[CustomerID]],Customers[CustomerID],Customers[CustomerAge])</f>
        <v>23</v>
      </c>
      <c r="R1697" t="str">
        <f>IF(Orders[[#This Row],[CustomerAge]]&gt;=35, "Older", "Young")</f>
        <v>Young</v>
      </c>
      <c r="S1697" t="str">
        <f>_xlfn.XLOOKUP(Orders[[#This Row],[ProductID]],Products[ProductID],Products[ProductName])</f>
        <v>Monopoly</v>
      </c>
      <c r="T1697" t="str">
        <f>_xlfn.XLOOKUP(Orders[[#This Row],[ProductID]],Products[ProductID],Products[Category])</f>
        <v>Games</v>
      </c>
    </row>
    <row r="1698" spans="1:20" x14ac:dyDescent="0.25">
      <c r="A1698" s="4" t="s">
        <v>1887</v>
      </c>
      <c r="B1698" s="5">
        <v>45955</v>
      </c>
      <c r="C1698" s="15">
        <f>WEEKNUM(Orders[[#This Row],[OrderDate]])</f>
        <v>43</v>
      </c>
      <c r="D1698" s="15" t="str">
        <f>TEXT(Orders[[#This Row],[OrderDate]],"mmmm")</f>
        <v>October</v>
      </c>
      <c r="E1698" s="4" t="s">
        <v>8</v>
      </c>
      <c r="F1698" s="4" t="s">
        <v>125</v>
      </c>
      <c r="G1698" s="4">
        <v>4</v>
      </c>
      <c r="H1698" s="12">
        <v>15133.199999999999</v>
      </c>
      <c r="I1698" s="13">
        <v>12863.22</v>
      </c>
      <c r="J1698" s="13">
        <f>Orders[[#This Row],[Quantity]]*Orders[[#This Row],[Selling Price]]</f>
        <v>60532.799999999996</v>
      </c>
      <c r="K1698" s="13">
        <f>Orders[[#This Row],[Quantity]]*Orders[[#This Row],[Cost Price]]</f>
        <v>51452.88</v>
      </c>
      <c r="L1698" s="13">
        <f>Orders[[#This Row],[Revenue]]-Orders[[#This Row],[Expenses]]</f>
        <v>9079.9199999999983</v>
      </c>
      <c r="M1698" t="s">
        <v>2206</v>
      </c>
      <c r="N1698" t="str">
        <f>_xlfn.XLOOKUP(Orders[[#This Row],[CustomerID]],Customers[CustomerID],Customers[CustomerName])</f>
        <v>Bi si Bello</v>
      </c>
      <c r="O1698" t="str">
        <f>_xlfn.XLOOKUP(Orders[[#This Row],[CustomerID]],Customers[CustomerID],Customers[City])</f>
        <v>Washington</v>
      </c>
      <c r="P1698" t="str">
        <f>_xlfn.XLOOKUP(Orders[[#This Row],[CustomerID]],Customers[CustomerID],Customers[Gender])</f>
        <v>Female</v>
      </c>
      <c r="Q1698">
        <f>_xlfn.XLOOKUP(Orders[[#This Row],[CustomerID]],Customers[CustomerID],Customers[CustomerAge])</f>
        <v>38</v>
      </c>
      <c r="R1698" t="str">
        <f>IF(Orders[[#This Row],[CustomerAge]]&gt;=35, "Older", "Young")</f>
        <v>Older</v>
      </c>
      <c r="S1698" t="str">
        <f>_xlfn.XLOOKUP(Orders[[#This Row],[ProductID]],Products[ProductID],Products[ProductName])</f>
        <v>Earrings</v>
      </c>
      <c r="T1698" t="str">
        <f>_xlfn.XLOOKUP(Orders[[#This Row],[ProductID]],Products[ProductID],Products[Category])</f>
        <v>Accessories</v>
      </c>
    </row>
    <row r="1699" spans="1:20" x14ac:dyDescent="0.25">
      <c r="A1699" s="4" t="s">
        <v>1888</v>
      </c>
      <c r="B1699" s="5">
        <v>45979</v>
      </c>
      <c r="C1699" s="15">
        <f>WEEKNUM(Orders[[#This Row],[OrderDate]])</f>
        <v>47</v>
      </c>
      <c r="D1699" s="15" t="str">
        <f>TEXT(Orders[[#This Row],[OrderDate]],"mmmm")</f>
        <v>November</v>
      </c>
      <c r="E1699" s="4" t="s">
        <v>180</v>
      </c>
      <c r="F1699" s="4" t="s">
        <v>63</v>
      </c>
      <c r="G1699" s="4">
        <v>6</v>
      </c>
      <c r="H1699" s="12">
        <v>1296.5999999999999</v>
      </c>
      <c r="I1699" s="13">
        <v>1102.1099999999999</v>
      </c>
      <c r="J1699" s="13">
        <f>Orders[[#This Row],[Quantity]]*Orders[[#This Row],[Selling Price]]</f>
        <v>7779.5999999999995</v>
      </c>
      <c r="K1699" s="13">
        <f>Orders[[#This Row],[Quantity]]*Orders[[#This Row],[Cost Price]]</f>
        <v>6612.66</v>
      </c>
      <c r="L1699" s="13">
        <f>Orders[[#This Row],[Revenue]]-Orders[[#This Row],[Expenses]]</f>
        <v>1166.9399999999996</v>
      </c>
      <c r="M1699" t="s">
        <v>2203</v>
      </c>
      <c r="N1699" t="str">
        <f>_xlfn.XLOOKUP(Orders[[#This Row],[CustomerID]],Customers[CustomerID],Customers[CustomerName])</f>
        <v>Jide Okonkwo</v>
      </c>
      <c r="O1699" t="str">
        <f>_xlfn.XLOOKUP(Orders[[#This Row],[CustomerID]],Customers[CustomerID],Customers[City])</f>
        <v>Texas</v>
      </c>
      <c r="P1699" t="str">
        <f>_xlfn.XLOOKUP(Orders[[#This Row],[CustomerID]],Customers[CustomerID],Customers[Gender])</f>
        <v>Male</v>
      </c>
      <c r="Q1699">
        <f>_xlfn.XLOOKUP(Orders[[#This Row],[CustomerID]],Customers[CustomerID],Customers[CustomerAge])</f>
        <v>25</v>
      </c>
      <c r="R1699" t="str">
        <f>IF(Orders[[#This Row],[CustomerAge]]&gt;=35, "Older", "Young")</f>
        <v>Young</v>
      </c>
      <c r="S1699" t="str">
        <f>_xlfn.XLOOKUP(Orders[[#This Row],[ProductID]],Products[ProductID],Products[ProductName])</f>
        <v>Tennis Bat</v>
      </c>
      <c r="T1699" t="str">
        <f>_xlfn.XLOOKUP(Orders[[#This Row],[ProductID]],Products[ProductID],Products[Category])</f>
        <v>Sports</v>
      </c>
    </row>
    <row r="1700" spans="1:20" x14ac:dyDescent="0.25">
      <c r="A1700" s="4" t="s">
        <v>1889</v>
      </c>
      <c r="B1700" s="5">
        <v>45948</v>
      </c>
      <c r="C1700" s="15">
        <f>WEEKNUM(Orders[[#This Row],[OrderDate]])</f>
        <v>42</v>
      </c>
      <c r="D1700" s="15" t="str">
        <f>TEXT(Orders[[#This Row],[OrderDate]],"mmmm")</f>
        <v>October</v>
      </c>
      <c r="E1700" s="4" t="s">
        <v>132</v>
      </c>
      <c r="F1700" s="4" t="s">
        <v>92</v>
      </c>
      <c r="G1700" s="4">
        <v>9</v>
      </c>
      <c r="H1700" s="12">
        <v>15306.5</v>
      </c>
      <c r="I1700" s="13">
        <v>13010.525</v>
      </c>
      <c r="J1700" s="13">
        <f>Orders[[#This Row],[Quantity]]*Orders[[#This Row],[Selling Price]]</f>
        <v>137758.5</v>
      </c>
      <c r="K1700" s="13">
        <f>Orders[[#This Row],[Quantity]]*Orders[[#This Row],[Cost Price]]</f>
        <v>117094.72499999999</v>
      </c>
      <c r="L1700" s="13">
        <f>Orders[[#This Row],[Revenue]]-Orders[[#This Row],[Expenses]]</f>
        <v>20663.775000000009</v>
      </c>
      <c r="M1700" t="s">
        <v>2214</v>
      </c>
      <c r="N1700" t="str">
        <f>_xlfn.XLOOKUP(Orders[[#This Row],[CustomerID]],Customers[CustomerID],Customers[CustomerName])</f>
        <v>Emeka Balogun</v>
      </c>
      <c r="O1700" t="str">
        <f>_xlfn.XLOOKUP(Orders[[#This Row],[CustomerID]],Customers[CustomerID],Customers[City])</f>
        <v>Illinois</v>
      </c>
      <c r="P1700" t="str">
        <f>_xlfn.XLOOKUP(Orders[[#This Row],[CustomerID]],Customers[CustomerID],Customers[Gender])</f>
        <v>Male</v>
      </c>
      <c r="Q1700">
        <f>_xlfn.XLOOKUP(Orders[[#This Row],[CustomerID]],Customers[CustomerID],Customers[CustomerAge])</f>
        <v>36</v>
      </c>
      <c r="R1700" t="str">
        <f>IF(Orders[[#This Row],[CustomerAge]]&gt;=35, "Older", "Young")</f>
        <v>Older</v>
      </c>
      <c r="S1700" t="str">
        <f>_xlfn.XLOOKUP(Orders[[#This Row],[ProductID]],Products[ProductID],Products[ProductName])</f>
        <v>Chest Expander</v>
      </c>
      <c r="T1700" t="str">
        <f>_xlfn.XLOOKUP(Orders[[#This Row],[ProductID]],Products[ProductID],Products[Category])</f>
        <v>Gym</v>
      </c>
    </row>
    <row r="1701" spans="1:20" x14ac:dyDescent="0.25">
      <c r="A1701" s="4" t="s">
        <v>1890</v>
      </c>
      <c r="B1701" s="5">
        <v>45991</v>
      </c>
      <c r="C1701" s="15">
        <f>WEEKNUM(Orders[[#This Row],[OrderDate]])</f>
        <v>49</v>
      </c>
      <c r="D1701" s="15" t="str">
        <f>TEXT(Orders[[#This Row],[OrderDate]],"mmmm")</f>
        <v>November</v>
      </c>
      <c r="E1701" s="4" t="s">
        <v>607</v>
      </c>
      <c r="F1701" s="4" t="s">
        <v>151</v>
      </c>
      <c r="G1701" s="4">
        <v>7</v>
      </c>
      <c r="H1701" s="12">
        <v>14968.699999999999</v>
      </c>
      <c r="I1701" s="13">
        <v>12723.394999999999</v>
      </c>
      <c r="J1701" s="13">
        <f>Orders[[#This Row],[Quantity]]*Orders[[#This Row],[Selling Price]]</f>
        <v>104780.9</v>
      </c>
      <c r="K1701" s="13">
        <f>Orders[[#This Row],[Quantity]]*Orders[[#This Row],[Cost Price]]</f>
        <v>89063.764999999985</v>
      </c>
      <c r="L1701" s="13">
        <f>Orders[[#This Row],[Revenue]]-Orders[[#This Row],[Expenses]]</f>
        <v>15717.135000000009</v>
      </c>
      <c r="M1701" t="s">
        <v>2216</v>
      </c>
      <c r="N1701" t="str">
        <f>_xlfn.XLOOKUP(Orders[[#This Row],[CustomerID]],Customers[CustomerID],Customers[CustomerName])</f>
        <v>Folasade Ojo</v>
      </c>
      <c r="O1701" t="str">
        <f>_xlfn.XLOOKUP(Orders[[#This Row],[CustomerID]],Customers[CustomerID],Customers[City])</f>
        <v>Texas</v>
      </c>
      <c r="P1701" t="str">
        <f>_xlfn.XLOOKUP(Orders[[#This Row],[CustomerID]],Customers[CustomerID],Customers[Gender])</f>
        <v>Female</v>
      </c>
      <c r="Q1701">
        <f>_xlfn.XLOOKUP(Orders[[#This Row],[CustomerID]],Customers[CustomerID],Customers[CustomerAge])</f>
        <v>19</v>
      </c>
      <c r="R1701" t="str">
        <f>IF(Orders[[#This Row],[CustomerAge]]&gt;=35, "Older", "Young")</f>
        <v>Young</v>
      </c>
      <c r="S1701" t="str">
        <f>_xlfn.XLOOKUP(Orders[[#This Row],[ProductID]],Products[ProductID],Products[ProductName])</f>
        <v>Checkers</v>
      </c>
      <c r="T1701" t="str">
        <f>_xlfn.XLOOKUP(Orders[[#This Row],[ProductID]],Products[ProductID],Products[Category])</f>
        <v>Games</v>
      </c>
    </row>
    <row r="1702" spans="1:20" x14ac:dyDescent="0.25">
      <c r="A1702" s="4" t="s">
        <v>1891</v>
      </c>
      <c r="B1702" s="5">
        <v>45954</v>
      </c>
      <c r="C1702" s="15">
        <f>WEEKNUM(Orders[[#This Row],[OrderDate]])</f>
        <v>43</v>
      </c>
      <c r="D1702" s="15" t="str">
        <f>TEXT(Orders[[#This Row],[OrderDate]],"mmmm")</f>
        <v>October</v>
      </c>
      <c r="E1702" s="4" t="s">
        <v>309</v>
      </c>
      <c r="F1702" s="4" t="s">
        <v>57</v>
      </c>
      <c r="G1702" s="4">
        <v>8</v>
      </c>
      <c r="H1702" s="12">
        <v>14251.900000000001</v>
      </c>
      <c r="I1702" s="13">
        <v>12114.115000000002</v>
      </c>
      <c r="J1702" s="13">
        <f>Orders[[#This Row],[Quantity]]*Orders[[#This Row],[Selling Price]]</f>
        <v>114015.20000000001</v>
      </c>
      <c r="K1702" s="13">
        <f>Orders[[#This Row],[Quantity]]*Orders[[#This Row],[Cost Price]]</f>
        <v>96912.920000000013</v>
      </c>
      <c r="L1702" s="13">
        <f>Orders[[#This Row],[Revenue]]-Orders[[#This Row],[Expenses]]</f>
        <v>17102.28</v>
      </c>
      <c r="M1702" t="s">
        <v>2203</v>
      </c>
      <c r="N1702" t="str">
        <f>_xlfn.XLOOKUP(Orders[[#This Row],[CustomerID]],Customers[CustomerID],Customers[CustomerName])</f>
        <v>Temi Ojo</v>
      </c>
      <c r="O1702" t="str">
        <f>_xlfn.XLOOKUP(Orders[[#This Row],[CustomerID]],Customers[CustomerID],Customers[City])</f>
        <v>Washington</v>
      </c>
      <c r="P1702" t="str">
        <f>_xlfn.XLOOKUP(Orders[[#This Row],[CustomerID]],Customers[CustomerID],Customers[Gender])</f>
        <v>Female</v>
      </c>
      <c r="Q1702">
        <f>_xlfn.XLOOKUP(Orders[[#This Row],[CustomerID]],Customers[CustomerID],Customers[CustomerAge])</f>
        <v>36</v>
      </c>
      <c r="R1702" t="str">
        <f>IF(Orders[[#This Row],[CustomerAge]]&gt;=35, "Older", "Young")</f>
        <v>Older</v>
      </c>
      <c r="S1702" t="str">
        <f>_xlfn.XLOOKUP(Orders[[#This Row],[ProductID]],Products[ProductID],Products[ProductName])</f>
        <v>Badminton Racket</v>
      </c>
      <c r="T1702" t="str">
        <f>_xlfn.XLOOKUP(Orders[[#This Row],[ProductID]],Products[ProductID],Products[Category])</f>
        <v>Sports</v>
      </c>
    </row>
    <row r="1703" spans="1:20" x14ac:dyDescent="0.25">
      <c r="A1703" s="4" t="s">
        <v>1892</v>
      </c>
      <c r="B1703" s="5">
        <v>45940</v>
      </c>
      <c r="C1703" s="15">
        <f>WEEKNUM(Orders[[#This Row],[OrderDate]])</f>
        <v>41</v>
      </c>
      <c r="D1703" s="15" t="str">
        <f>TEXT(Orders[[#This Row],[OrderDate]],"mmmm")</f>
        <v>October</v>
      </c>
      <c r="E1703" s="4" t="s">
        <v>68</v>
      </c>
      <c r="F1703" s="4" t="s">
        <v>57</v>
      </c>
      <c r="G1703" s="4">
        <v>4</v>
      </c>
      <c r="H1703" s="12">
        <v>4574.1000000000004</v>
      </c>
      <c r="I1703" s="13">
        <v>3887.9850000000006</v>
      </c>
      <c r="J1703" s="13">
        <f>Orders[[#This Row],[Quantity]]*Orders[[#This Row],[Selling Price]]</f>
        <v>18296.400000000001</v>
      </c>
      <c r="K1703" s="13">
        <f>Orders[[#This Row],[Quantity]]*Orders[[#This Row],[Cost Price]]</f>
        <v>15551.940000000002</v>
      </c>
      <c r="L1703" s="13">
        <f>Orders[[#This Row],[Revenue]]-Orders[[#This Row],[Expenses]]</f>
        <v>2744.4599999999991</v>
      </c>
      <c r="M1703" t="s">
        <v>2216</v>
      </c>
      <c r="N1703" t="str">
        <f>_xlfn.XLOOKUP(Orders[[#This Row],[CustomerID]],Customers[CustomerID],Customers[CustomerName])</f>
        <v>Abiola Balogun</v>
      </c>
      <c r="O1703" t="str">
        <f>_xlfn.XLOOKUP(Orders[[#This Row],[CustomerID]],Customers[CustomerID],Customers[City])</f>
        <v>Texas</v>
      </c>
      <c r="P1703" t="str">
        <f>_xlfn.XLOOKUP(Orders[[#This Row],[CustomerID]],Customers[CustomerID],Customers[Gender])</f>
        <v>Male</v>
      </c>
      <c r="Q1703">
        <f>_xlfn.XLOOKUP(Orders[[#This Row],[CustomerID]],Customers[CustomerID],Customers[CustomerAge])</f>
        <v>29</v>
      </c>
      <c r="R1703" t="str">
        <f>IF(Orders[[#This Row],[CustomerAge]]&gt;=35, "Older", "Young")</f>
        <v>Young</v>
      </c>
      <c r="S1703" t="str">
        <f>_xlfn.XLOOKUP(Orders[[#This Row],[ProductID]],Products[ProductID],Products[ProductName])</f>
        <v>Badminton Racket</v>
      </c>
      <c r="T1703" t="str">
        <f>_xlfn.XLOOKUP(Orders[[#This Row],[ProductID]],Products[ProductID],Products[Category])</f>
        <v>Sports</v>
      </c>
    </row>
    <row r="1704" spans="1:20" x14ac:dyDescent="0.25">
      <c r="A1704" s="4" t="s">
        <v>1893</v>
      </c>
      <c r="B1704" s="5">
        <v>45992</v>
      </c>
      <c r="C1704" s="15">
        <f>WEEKNUM(Orders[[#This Row],[OrderDate]])</f>
        <v>49</v>
      </c>
      <c r="D1704" s="15" t="str">
        <f>TEXT(Orders[[#This Row],[OrderDate]],"mmmm")</f>
        <v>December</v>
      </c>
      <c r="E1704" s="4" t="s">
        <v>346</v>
      </c>
      <c r="F1704" s="4" t="s">
        <v>189</v>
      </c>
      <c r="G1704" s="4">
        <v>1</v>
      </c>
      <c r="H1704" s="12">
        <v>16713</v>
      </c>
      <c r="I1704" s="13">
        <v>14206.05</v>
      </c>
      <c r="J1704" s="13">
        <f>Orders[[#This Row],[Quantity]]*Orders[[#This Row],[Selling Price]]</f>
        <v>16713</v>
      </c>
      <c r="K1704" s="13">
        <f>Orders[[#This Row],[Quantity]]*Orders[[#This Row],[Cost Price]]</f>
        <v>14206.05</v>
      </c>
      <c r="L1704" s="13">
        <f>Orders[[#This Row],[Revenue]]-Orders[[#This Row],[Expenses]]</f>
        <v>2506.9500000000007</v>
      </c>
      <c r="M1704" t="s">
        <v>2193</v>
      </c>
      <c r="N1704" t="str">
        <f>_xlfn.XLOOKUP(Orders[[#This Row],[CustomerID]],Customers[CustomerID],Customers[CustomerName])</f>
        <v>Ngozi Danladi</v>
      </c>
      <c r="O1704" t="str">
        <f>_xlfn.XLOOKUP(Orders[[#This Row],[CustomerID]],Customers[CustomerID],Customers[City])</f>
        <v>California</v>
      </c>
      <c r="P1704" t="str">
        <f>_xlfn.XLOOKUP(Orders[[#This Row],[CustomerID]],Customers[CustomerID],Customers[Gender])</f>
        <v>Female</v>
      </c>
      <c r="Q1704">
        <f>_xlfn.XLOOKUP(Orders[[#This Row],[CustomerID]],Customers[CustomerID],Customers[CustomerAge])</f>
        <v>30</v>
      </c>
      <c r="R1704" t="str">
        <f>IF(Orders[[#This Row],[CustomerAge]]&gt;=35, "Older", "Young")</f>
        <v>Young</v>
      </c>
      <c r="S1704" t="str">
        <f>_xlfn.XLOOKUP(Orders[[#This Row],[ProductID]],Products[ProductID],Products[ProductName])</f>
        <v>Scrabble</v>
      </c>
      <c r="T1704" t="str">
        <f>_xlfn.XLOOKUP(Orders[[#This Row],[ProductID]],Products[ProductID],Products[Category])</f>
        <v>Games</v>
      </c>
    </row>
    <row r="1705" spans="1:20" x14ac:dyDescent="0.25">
      <c r="A1705" s="4" t="s">
        <v>1894</v>
      </c>
      <c r="B1705" s="5">
        <v>45970</v>
      </c>
      <c r="C1705" s="15">
        <f>WEEKNUM(Orders[[#This Row],[OrderDate]])</f>
        <v>46</v>
      </c>
      <c r="D1705" s="15" t="str">
        <f>TEXT(Orders[[#This Row],[OrderDate]],"mmmm")</f>
        <v>November</v>
      </c>
      <c r="E1705" s="4" t="s">
        <v>105</v>
      </c>
      <c r="F1705" s="4" t="s">
        <v>63</v>
      </c>
      <c r="G1705" s="4">
        <v>2</v>
      </c>
      <c r="H1705" s="12">
        <v>13880.599999999999</v>
      </c>
      <c r="I1705" s="13">
        <v>11798.509999999998</v>
      </c>
      <c r="J1705" s="13">
        <f>Orders[[#This Row],[Quantity]]*Orders[[#This Row],[Selling Price]]</f>
        <v>27761.199999999997</v>
      </c>
      <c r="K1705" s="13">
        <f>Orders[[#This Row],[Quantity]]*Orders[[#This Row],[Cost Price]]</f>
        <v>23597.019999999997</v>
      </c>
      <c r="L1705" s="13">
        <f>Orders[[#This Row],[Revenue]]-Orders[[#This Row],[Expenses]]</f>
        <v>4164.18</v>
      </c>
      <c r="M1705" t="s">
        <v>2208</v>
      </c>
      <c r="N1705" t="str">
        <f>_xlfn.XLOOKUP(Orders[[#This Row],[CustomerID]],Customers[CustomerID],Customers[CustomerName])</f>
        <v>Folasade Adeyemi</v>
      </c>
      <c r="O1705" t="str">
        <f>_xlfn.XLOOKUP(Orders[[#This Row],[CustomerID]],Customers[CustomerID],Customers[City])</f>
        <v>Georgia</v>
      </c>
      <c r="P1705" t="str">
        <f>_xlfn.XLOOKUP(Orders[[#This Row],[CustomerID]],Customers[CustomerID],Customers[Gender])</f>
        <v>Female</v>
      </c>
      <c r="Q1705">
        <f>_xlfn.XLOOKUP(Orders[[#This Row],[CustomerID]],Customers[CustomerID],Customers[CustomerAge])</f>
        <v>42</v>
      </c>
      <c r="R1705" t="str">
        <f>IF(Orders[[#This Row],[CustomerAge]]&gt;=35, "Older", "Young")</f>
        <v>Older</v>
      </c>
      <c r="S1705" t="str">
        <f>_xlfn.XLOOKUP(Orders[[#This Row],[ProductID]],Products[ProductID],Products[ProductName])</f>
        <v>Tennis Bat</v>
      </c>
      <c r="T1705" t="str">
        <f>_xlfn.XLOOKUP(Orders[[#This Row],[ProductID]],Products[ProductID],Products[Category])</f>
        <v>Sports</v>
      </c>
    </row>
    <row r="1706" spans="1:20" x14ac:dyDescent="0.25">
      <c r="A1706" s="4" t="s">
        <v>1895</v>
      </c>
      <c r="B1706" s="5">
        <v>45962</v>
      </c>
      <c r="C1706" s="15">
        <f>WEEKNUM(Orders[[#This Row],[OrderDate]])</f>
        <v>44</v>
      </c>
      <c r="D1706" s="15" t="str">
        <f>TEXT(Orders[[#This Row],[OrderDate]],"mmmm")</f>
        <v>November</v>
      </c>
      <c r="E1706" s="4" t="s">
        <v>514</v>
      </c>
      <c r="F1706" s="4" t="s">
        <v>20</v>
      </c>
      <c r="G1706" s="4">
        <v>6</v>
      </c>
      <c r="H1706" s="12">
        <v>11688.800000000001</v>
      </c>
      <c r="I1706" s="13">
        <v>9935.4800000000014</v>
      </c>
      <c r="J1706" s="13">
        <f>Orders[[#This Row],[Quantity]]*Orders[[#This Row],[Selling Price]]</f>
        <v>70132.800000000003</v>
      </c>
      <c r="K1706" s="13">
        <f>Orders[[#This Row],[Quantity]]*Orders[[#This Row],[Cost Price]]</f>
        <v>59612.880000000005</v>
      </c>
      <c r="L1706" s="13">
        <f>Orders[[#This Row],[Revenue]]-Orders[[#This Row],[Expenses]]</f>
        <v>10519.919999999998</v>
      </c>
      <c r="M1706" t="s">
        <v>2218</v>
      </c>
      <c r="N1706" t="str">
        <f>_xlfn.XLOOKUP(Orders[[#This Row],[CustomerID]],Customers[CustomerID],Customers[CustomerName])</f>
        <v>Ibrahim Okonkwo</v>
      </c>
      <c r="O1706" t="str">
        <f>_xlfn.XLOOKUP(Orders[[#This Row],[CustomerID]],Customers[CustomerID],Customers[City])</f>
        <v>Florida</v>
      </c>
      <c r="P1706" t="str">
        <f>_xlfn.XLOOKUP(Orders[[#This Row],[CustomerID]],Customers[CustomerID],Customers[Gender])</f>
        <v>Male</v>
      </c>
      <c r="Q1706">
        <f>_xlfn.XLOOKUP(Orders[[#This Row],[CustomerID]],Customers[CustomerID],Customers[CustomerAge])</f>
        <v>28</v>
      </c>
      <c r="R1706" t="str">
        <f>IF(Orders[[#This Row],[CustomerAge]]&gt;=35, "Older", "Young")</f>
        <v>Young</v>
      </c>
      <c r="S1706" t="str">
        <f>_xlfn.XLOOKUP(Orders[[#This Row],[ProductID]],Products[ProductID],Products[ProductName])</f>
        <v>Gym Bag</v>
      </c>
      <c r="T1706" t="str">
        <f>_xlfn.XLOOKUP(Orders[[#This Row],[ProductID]],Products[ProductID],Products[Category])</f>
        <v>Gym</v>
      </c>
    </row>
    <row r="1707" spans="1:20" x14ac:dyDescent="0.25">
      <c r="A1707" s="4" t="s">
        <v>1896</v>
      </c>
      <c r="B1707" s="5">
        <v>46006</v>
      </c>
      <c r="C1707" s="15">
        <f>WEEKNUM(Orders[[#This Row],[OrderDate]])</f>
        <v>51</v>
      </c>
      <c r="D1707" s="15" t="str">
        <f>TEXT(Orders[[#This Row],[OrderDate]],"mmmm")</f>
        <v>December</v>
      </c>
      <c r="E1707" s="4" t="s">
        <v>17</v>
      </c>
      <c r="F1707" s="4" t="s">
        <v>46</v>
      </c>
      <c r="G1707" s="4">
        <v>7</v>
      </c>
      <c r="H1707" s="12">
        <v>3844.2000000000003</v>
      </c>
      <c r="I1707" s="13">
        <v>3267.57</v>
      </c>
      <c r="J1707" s="13">
        <f>Orders[[#This Row],[Quantity]]*Orders[[#This Row],[Selling Price]]</f>
        <v>26909.4</v>
      </c>
      <c r="K1707" s="13">
        <f>Orders[[#This Row],[Quantity]]*Orders[[#This Row],[Cost Price]]</f>
        <v>22872.99</v>
      </c>
      <c r="L1707" s="13">
        <f>Orders[[#This Row],[Revenue]]-Orders[[#This Row],[Expenses]]</f>
        <v>4036.41</v>
      </c>
      <c r="M1707" t="s">
        <v>2206</v>
      </c>
      <c r="N1707" t="str">
        <f>_xlfn.XLOOKUP(Orders[[#This Row],[CustomerID]],Customers[CustomerID],Customers[CustomerName])</f>
        <v>Bisi Adeyemi</v>
      </c>
      <c r="O1707" t="str">
        <f>_xlfn.XLOOKUP(Orders[[#This Row],[CustomerID]],Customers[CustomerID],Customers[City])</f>
        <v>Illinois</v>
      </c>
      <c r="P1707" t="str">
        <f>_xlfn.XLOOKUP(Orders[[#This Row],[CustomerID]],Customers[CustomerID],Customers[Gender])</f>
        <v>Female</v>
      </c>
      <c r="Q1707">
        <f>_xlfn.XLOOKUP(Orders[[#This Row],[CustomerID]],Customers[CustomerID],Customers[CustomerAge])</f>
        <v>48</v>
      </c>
      <c r="R1707" t="str">
        <f>IF(Orders[[#This Row],[CustomerAge]]&gt;=35, "Older", "Young")</f>
        <v>Older</v>
      </c>
      <c r="S1707" t="str">
        <f>_xlfn.XLOOKUP(Orders[[#This Row],[ProductID]],Products[ProductID],Products[ProductName])</f>
        <v>Turtle Neck</v>
      </c>
      <c r="T1707" t="str">
        <f>_xlfn.XLOOKUP(Orders[[#This Row],[ProductID]],Products[ProductID],Products[Category])</f>
        <v>Clothing</v>
      </c>
    </row>
    <row r="1708" spans="1:20" x14ac:dyDescent="0.25">
      <c r="A1708" s="4" t="s">
        <v>1897</v>
      </c>
      <c r="B1708" s="5">
        <v>45938</v>
      </c>
      <c r="C1708" s="15">
        <f>WEEKNUM(Orders[[#This Row],[OrderDate]])</f>
        <v>41</v>
      </c>
      <c r="D1708" s="15" t="str">
        <f>TEXT(Orders[[#This Row],[OrderDate]],"mmmm")</f>
        <v>October</v>
      </c>
      <c r="E1708" s="4" t="s">
        <v>291</v>
      </c>
      <c r="F1708" s="4" t="s">
        <v>168</v>
      </c>
      <c r="G1708" s="4">
        <v>1</v>
      </c>
      <c r="H1708" s="12">
        <v>17057.900000000001</v>
      </c>
      <c r="I1708" s="13">
        <v>14499.215000000002</v>
      </c>
      <c r="J1708" s="13">
        <f>Orders[[#This Row],[Quantity]]*Orders[[#This Row],[Selling Price]]</f>
        <v>17057.900000000001</v>
      </c>
      <c r="K1708" s="13">
        <f>Orders[[#This Row],[Quantity]]*Orders[[#This Row],[Cost Price]]</f>
        <v>14499.215000000002</v>
      </c>
      <c r="L1708" s="13">
        <f>Orders[[#This Row],[Revenue]]-Orders[[#This Row],[Expenses]]</f>
        <v>2558.6849999999995</v>
      </c>
      <c r="M1708" t="s">
        <v>2200</v>
      </c>
      <c r="N1708" t="str">
        <f>_xlfn.XLOOKUP(Orders[[#This Row],[CustomerID]],Customers[CustomerID],Customers[CustomerName])</f>
        <v>Okon Igwe</v>
      </c>
      <c r="O1708" t="str">
        <f>_xlfn.XLOOKUP(Orders[[#This Row],[CustomerID]],Customers[CustomerID],Customers[City])</f>
        <v>Texas</v>
      </c>
      <c r="P1708" t="str">
        <f>_xlfn.XLOOKUP(Orders[[#This Row],[CustomerID]],Customers[CustomerID],Customers[Gender])</f>
        <v>Male</v>
      </c>
      <c r="Q1708">
        <f>_xlfn.XLOOKUP(Orders[[#This Row],[CustomerID]],Customers[CustomerID],Customers[CustomerAge])</f>
        <v>33</v>
      </c>
      <c r="R1708" t="str">
        <f>IF(Orders[[#This Row],[CustomerAge]]&gt;=35, "Older", "Young")</f>
        <v>Young</v>
      </c>
      <c r="S1708" t="str">
        <f>_xlfn.XLOOKUP(Orders[[#This Row],[ProductID]],Products[ProductID],Products[ProductName])</f>
        <v>Dumb Bells</v>
      </c>
      <c r="T1708" t="str">
        <f>_xlfn.XLOOKUP(Orders[[#This Row],[ProductID]],Products[ProductID],Products[Category])</f>
        <v>Gym</v>
      </c>
    </row>
    <row r="1709" spans="1:20" x14ac:dyDescent="0.25">
      <c r="A1709" s="4" t="s">
        <v>1898</v>
      </c>
      <c r="B1709" s="5">
        <v>45977</v>
      </c>
      <c r="C1709" s="15">
        <f>WEEKNUM(Orders[[#This Row],[OrderDate]])</f>
        <v>47</v>
      </c>
      <c r="D1709" s="15" t="str">
        <f>TEXT(Orders[[#This Row],[OrderDate]],"mmmm")</f>
        <v>November</v>
      </c>
      <c r="E1709" s="4" t="s">
        <v>134</v>
      </c>
      <c r="F1709" s="4" t="s">
        <v>84</v>
      </c>
      <c r="G1709" s="4">
        <v>7</v>
      </c>
      <c r="H1709" s="12">
        <v>6633</v>
      </c>
      <c r="I1709" s="13">
        <v>5638.05</v>
      </c>
      <c r="J1709" s="13">
        <f>Orders[[#This Row],[Quantity]]*Orders[[#This Row],[Selling Price]]</f>
        <v>46431</v>
      </c>
      <c r="K1709" s="13">
        <f>Orders[[#This Row],[Quantity]]*Orders[[#This Row],[Cost Price]]</f>
        <v>39466.35</v>
      </c>
      <c r="L1709" s="13">
        <f>Orders[[#This Row],[Revenue]]-Orders[[#This Row],[Expenses]]</f>
        <v>6964.6500000000015</v>
      </c>
      <c r="M1709" t="s">
        <v>2215</v>
      </c>
      <c r="N1709" t="str">
        <f>_xlfn.XLOOKUP(Orders[[#This Row],[CustomerID]],Customers[CustomerID],Customers[CustomerName])</f>
        <v>Ngozi Ojo</v>
      </c>
      <c r="O1709" t="str">
        <f>_xlfn.XLOOKUP(Orders[[#This Row],[CustomerID]],Customers[CustomerID],Customers[City])</f>
        <v>Florida</v>
      </c>
      <c r="P1709" t="str">
        <f>_xlfn.XLOOKUP(Orders[[#This Row],[CustomerID]],Customers[CustomerID],Customers[Gender])</f>
        <v>Female</v>
      </c>
      <c r="Q1709">
        <f>_xlfn.XLOOKUP(Orders[[#This Row],[CustomerID]],Customers[CustomerID],Customers[CustomerAge])</f>
        <v>18</v>
      </c>
      <c r="R1709" t="str">
        <f>IF(Orders[[#This Row],[CustomerAge]]&gt;=35, "Older", "Young")</f>
        <v>Young</v>
      </c>
      <c r="S1709" t="str">
        <f>_xlfn.XLOOKUP(Orders[[#This Row],[ProductID]],Products[ProductID],Products[ProductName])</f>
        <v>Gym Wears</v>
      </c>
      <c r="T1709" t="str">
        <f>_xlfn.XLOOKUP(Orders[[#This Row],[ProductID]],Products[ProductID],Products[Category])</f>
        <v>Clothing</v>
      </c>
    </row>
    <row r="1710" spans="1:20" x14ac:dyDescent="0.25">
      <c r="A1710" s="4" t="s">
        <v>1899</v>
      </c>
      <c r="B1710" s="5">
        <v>45963</v>
      </c>
      <c r="C1710" s="15">
        <f>WEEKNUM(Orders[[#This Row],[OrderDate]])</f>
        <v>45</v>
      </c>
      <c r="D1710" s="15" t="str">
        <f>TEXT(Orders[[#This Row],[OrderDate]],"mmmm")</f>
        <v>November</v>
      </c>
      <c r="E1710" s="4" t="s">
        <v>227</v>
      </c>
      <c r="F1710" s="4" t="s">
        <v>15</v>
      </c>
      <c r="G1710" s="4">
        <v>7</v>
      </c>
      <c r="H1710" s="12">
        <v>18868.699999999997</v>
      </c>
      <c r="I1710" s="13">
        <v>16038.394999999997</v>
      </c>
      <c r="J1710" s="13">
        <f>Orders[[#This Row],[Quantity]]*Orders[[#This Row],[Selling Price]]</f>
        <v>132080.89999999997</v>
      </c>
      <c r="K1710" s="13">
        <f>Orders[[#This Row],[Quantity]]*Orders[[#This Row],[Cost Price]]</f>
        <v>112268.76499999998</v>
      </c>
      <c r="L1710" s="13">
        <f>Orders[[#This Row],[Revenue]]-Orders[[#This Row],[Expenses]]</f>
        <v>19812.13499999998</v>
      </c>
      <c r="M1710" t="s">
        <v>2193</v>
      </c>
      <c r="N1710" t="str">
        <f>_xlfn.XLOOKUP(Orders[[#This Row],[CustomerID]],Customers[CustomerID],Customers[CustomerName])</f>
        <v>Emmanuel Victor</v>
      </c>
      <c r="O1710" t="str">
        <f>_xlfn.XLOOKUP(Orders[[#This Row],[CustomerID]],Customers[CustomerID],Customers[City])</f>
        <v>Washington</v>
      </c>
      <c r="P1710" t="str">
        <f>_xlfn.XLOOKUP(Orders[[#This Row],[CustomerID]],Customers[CustomerID],Customers[Gender])</f>
        <v>Male</v>
      </c>
      <c r="Q1710">
        <f>_xlfn.XLOOKUP(Orders[[#This Row],[CustomerID]],Customers[CustomerID],Customers[CustomerAge])</f>
        <v>35</v>
      </c>
      <c r="R1710" t="str">
        <f>IF(Orders[[#This Row],[CustomerAge]]&gt;=35, "Older", "Young")</f>
        <v>Older</v>
      </c>
      <c r="S1710" t="str">
        <f>_xlfn.XLOOKUP(Orders[[#This Row],[ProductID]],Products[ProductID],Products[ProductName])</f>
        <v>Monopoly</v>
      </c>
      <c r="T1710" t="str">
        <f>_xlfn.XLOOKUP(Orders[[#This Row],[ProductID]],Products[ProductID],Products[Category])</f>
        <v>Games</v>
      </c>
    </row>
    <row r="1711" spans="1:20" x14ac:dyDescent="0.25">
      <c r="A1711" s="4" t="s">
        <v>1900</v>
      </c>
      <c r="B1711" s="5">
        <v>45985</v>
      </c>
      <c r="C1711" s="15">
        <f>WEEKNUM(Orders[[#This Row],[OrderDate]])</f>
        <v>48</v>
      </c>
      <c r="D1711" s="15" t="str">
        <f>TEXT(Orders[[#This Row],[OrderDate]],"mmmm")</f>
        <v>November</v>
      </c>
      <c r="E1711" s="4" t="s">
        <v>940</v>
      </c>
      <c r="F1711" s="4" t="s">
        <v>70</v>
      </c>
      <c r="G1711" s="4">
        <v>9</v>
      </c>
      <c r="H1711" s="12">
        <v>4330.2</v>
      </c>
      <c r="I1711" s="13">
        <v>3680.67</v>
      </c>
      <c r="J1711" s="13">
        <f>Orders[[#This Row],[Quantity]]*Orders[[#This Row],[Selling Price]]</f>
        <v>38971.799999999996</v>
      </c>
      <c r="K1711" s="13">
        <f>Orders[[#This Row],[Quantity]]*Orders[[#This Row],[Cost Price]]</f>
        <v>33126.03</v>
      </c>
      <c r="L1711" s="13">
        <f>Orders[[#This Row],[Revenue]]-Orders[[#This Row],[Expenses]]</f>
        <v>5845.7699999999968</v>
      </c>
      <c r="M1711" t="s">
        <v>2211</v>
      </c>
      <c r="N1711" t="str">
        <f>_xlfn.XLOOKUP(Orders[[#This Row],[CustomerID]],Customers[CustomerID],Customers[CustomerName])</f>
        <v>Okon Ojo</v>
      </c>
      <c r="O1711" t="str">
        <f>_xlfn.XLOOKUP(Orders[[#This Row],[CustomerID]],Customers[CustomerID],Customers[City])</f>
        <v>Texas</v>
      </c>
      <c r="P1711" t="str">
        <f>_xlfn.XLOOKUP(Orders[[#This Row],[CustomerID]],Customers[CustomerID],Customers[Gender])</f>
        <v>Male</v>
      </c>
      <c r="Q1711">
        <f>_xlfn.XLOOKUP(Orders[[#This Row],[CustomerID]],Customers[CustomerID],Customers[CustomerAge])</f>
        <v>25</v>
      </c>
      <c r="R1711" t="str">
        <f>IF(Orders[[#This Row],[CustomerAge]]&gt;=35, "Older", "Young")</f>
        <v>Young</v>
      </c>
      <c r="S1711" t="str">
        <f>_xlfn.XLOOKUP(Orders[[#This Row],[ProductID]],Products[ProductID],Products[ProductName])</f>
        <v>Yoga Mat</v>
      </c>
      <c r="T1711" t="str">
        <f>_xlfn.XLOOKUP(Orders[[#This Row],[ProductID]],Products[ProductID],Products[Category])</f>
        <v>Gym</v>
      </c>
    </row>
    <row r="1712" spans="1:20" x14ac:dyDescent="0.25">
      <c r="A1712" s="4" t="s">
        <v>1901</v>
      </c>
      <c r="B1712" s="5">
        <v>45992</v>
      </c>
      <c r="C1712" s="15">
        <f>WEEKNUM(Orders[[#This Row],[OrderDate]])</f>
        <v>49</v>
      </c>
      <c r="D1712" s="15" t="str">
        <f>TEXT(Orders[[#This Row],[OrderDate]],"mmmm")</f>
        <v>December</v>
      </c>
      <c r="E1712" s="4" t="s">
        <v>346</v>
      </c>
      <c r="F1712" s="4" t="s">
        <v>9</v>
      </c>
      <c r="G1712" s="4">
        <v>2</v>
      </c>
      <c r="H1712" s="12">
        <v>13971.300000000001</v>
      </c>
      <c r="I1712" s="13">
        <v>11875.605000000001</v>
      </c>
      <c r="J1712" s="13">
        <f>Orders[[#This Row],[Quantity]]*Orders[[#This Row],[Selling Price]]</f>
        <v>27942.600000000002</v>
      </c>
      <c r="K1712" s="13">
        <f>Orders[[#This Row],[Quantity]]*Orders[[#This Row],[Cost Price]]</f>
        <v>23751.210000000003</v>
      </c>
      <c r="L1712" s="13">
        <f>Orders[[#This Row],[Revenue]]-Orders[[#This Row],[Expenses]]</f>
        <v>4191.3899999999994</v>
      </c>
      <c r="M1712" t="s">
        <v>2202</v>
      </c>
      <c r="N1712" t="str">
        <f>_xlfn.XLOOKUP(Orders[[#This Row],[CustomerID]],Customers[CustomerID],Customers[CustomerName])</f>
        <v>Ngozi Danladi</v>
      </c>
      <c r="O1712" t="str">
        <f>_xlfn.XLOOKUP(Orders[[#This Row],[CustomerID]],Customers[CustomerID],Customers[City])</f>
        <v>California</v>
      </c>
      <c r="P1712" t="str">
        <f>_xlfn.XLOOKUP(Orders[[#This Row],[CustomerID]],Customers[CustomerID],Customers[Gender])</f>
        <v>Female</v>
      </c>
      <c r="Q1712">
        <f>_xlfn.XLOOKUP(Orders[[#This Row],[CustomerID]],Customers[CustomerID],Customers[CustomerAge])</f>
        <v>30</v>
      </c>
      <c r="R1712" t="str">
        <f>IF(Orders[[#This Row],[CustomerAge]]&gt;=35, "Older", "Young")</f>
        <v>Young</v>
      </c>
      <c r="S1712" t="str">
        <f>_xlfn.XLOOKUP(Orders[[#This Row],[ProductID]],Products[ProductID],Products[ProductName])</f>
        <v>Beaded Earrings And Necklaces</v>
      </c>
      <c r="T1712" t="str">
        <f>_xlfn.XLOOKUP(Orders[[#This Row],[ProductID]],Products[ProductID],Products[Category])</f>
        <v>Accessories</v>
      </c>
    </row>
    <row r="1713" spans="1:20" x14ac:dyDescent="0.25">
      <c r="A1713" s="4" t="s">
        <v>1902</v>
      </c>
      <c r="B1713" s="5">
        <v>46011</v>
      </c>
      <c r="C1713" s="15">
        <f>WEEKNUM(Orders[[#This Row],[OrderDate]])</f>
        <v>51</v>
      </c>
      <c r="D1713" s="15" t="str">
        <f>TEXT(Orders[[#This Row],[OrderDate]],"mmmm")</f>
        <v>December</v>
      </c>
      <c r="E1713" s="4" t="s">
        <v>194</v>
      </c>
      <c r="F1713" s="4" t="s">
        <v>111</v>
      </c>
      <c r="G1713" s="4">
        <v>3</v>
      </c>
      <c r="H1713" s="12">
        <v>18499.100000000002</v>
      </c>
      <c r="I1713" s="13">
        <v>15724.235000000002</v>
      </c>
      <c r="J1713" s="13">
        <f>Orders[[#This Row],[Quantity]]*Orders[[#This Row],[Selling Price]]</f>
        <v>55497.3</v>
      </c>
      <c r="K1713" s="13">
        <f>Orders[[#This Row],[Quantity]]*Orders[[#This Row],[Cost Price]]</f>
        <v>47172.705000000009</v>
      </c>
      <c r="L1713" s="13">
        <f>Orders[[#This Row],[Revenue]]-Orders[[#This Row],[Expenses]]</f>
        <v>8324.5949999999939</v>
      </c>
      <c r="M1713" t="s">
        <v>2192</v>
      </c>
      <c r="N1713" t="str">
        <f>_xlfn.XLOOKUP(Orders[[#This Row],[CustomerID]],Customers[CustomerID],Customers[CustomerName])</f>
        <v>Adanma Adeyemi</v>
      </c>
      <c r="O1713" t="str">
        <f>_xlfn.XLOOKUP(Orders[[#This Row],[CustomerID]],Customers[CustomerID],Customers[City])</f>
        <v>Washington</v>
      </c>
      <c r="P1713" t="str">
        <f>_xlfn.XLOOKUP(Orders[[#This Row],[CustomerID]],Customers[CustomerID],Customers[Gender])</f>
        <v>Female</v>
      </c>
      <c r="Q1713">
        <f>_xlfn.XLOOKUP(Orders[[#This Row],[CustomerID]],Customers[CustomerID],Customers[CustomerAge])</f>
        <v>45</v>
      </c>
      <c r="R1713" t="str">
        <f>IF(Orders[[#This Row],[CustomerAge]]&gt;=35, "Older", "Young")</f>
        <v>Older</v>
      </c>
      <c r="S1713" t="str">
        <f>_xlfn.XLOOKUP(Orders[[#This Row],[ProductID]],Products[ProductID],Products[ProductName])</f>
        <v>Refrigerator</v>
      </c>
      <c r="T1713" t="str">
        <f>_xlfn.XLOOKUP(Orders[[#This Row],[ProductID]],Products[ProductID],Products[Category])</f>
        <v>Electronics</v>
      </c>
    </row>
    <row r="1714" spans="1:20" x14ac:dyDescent="0.25">
      <c r="A1714" s="4" t="s">
        <v>1903</v>
      </c>
      <c r="B1714" s="5">
        <v>45931</v>
      </c>
      <c r="C1714" s="15">
        <f>WEEKNUM(Orders[[#This Row],[OrderDate]])</f>
        <v>40</v>
      </c>
      <c r="D1714" s="15" t="str">
        <f>TEXT(Orders[[#This Row],[OrderDate]],"mmmm")</f>
        <v>October</v>
      </c>
      <c r="E1714" s="4" t="s">
        <v>502</v>
      </c>
      <c r="F1714" s="4" t="s">
        <v>37</v>
      </c>
      <c r="G1714" s="4">
        <v>1</v>
      </c>
      <c r="H1714" s="12">
        <v>8909.9</v>
      </c>
      <c r="I1714" s="13">
        <v>7573.415</v>
      </c>
      <c r="J1714" s="13">
        <f>Orders[[#This Row],[Quantity]]*Orders[[#This Row],[Selling Price]]</f>
        <v>8909.9</v>
      </c>
      <c r="K1714" s="13">
        <f>Orders[[#This Row],[Quantity]]*Orders[[#This Row],[Cost Price]]</f>
        <v>7573.415</v>
      </c>
      <c r="L1714" s="13">
        <f>Orders[[#This Row],[Revenue]]-Orders[[#This Row],[Expenses]]</f>
        <v>1336.4849999999997</v>
      </c>
      <c r="M1714" t="s">
        <v>2194</v>
      </c>
      <c r="N1714" t="str">
        <f>_xlfn.XLOOKUP(Orders[[#This Row],[CustomerID]],Customers[CustomerID],Customers[CustomerName])</f>
        <v>Obi Eze</v>
      </c>
      <c r="O1714" t="str">
        <f>_xlfn.XLOOKUP(Orders[[#This Row],[CustomerID]],Customers[CustomerID],Customers[City])</f>
        <v>Texas</v>
      </c>
      <c r="P1714" t="str">
        <f>_xlfn.XLOOKUP(Orders[[#This Row],[CustomerID]],Customers[CustomerID],Customers[Gender])</f>
        <v>Male</v>
      </c>
      <c r="Q1714">
        <f>_xlfn.XLOOKUP(Orders[[#This Row],[CustomerID]],Customers[CustomerID],Customers[CustomerAge])</f>
        <v>24</v>
      </c>
      <c r="R1714" t="str">
        <f>IF(Orders[[#This Row],[CustomerAge]]&gt;=35, "Older", "Young")</f>
        <v>Young</v>
      </c>
      <c r="S1714" t="str">
        <f>_xlfn.XLOOKUP(Orders[[#This Row],[ProductID]],Products[ProductID],Products[ProductName])</f>
        <v>Iron</v>
      </c>
      <c r="T1714" t="str">
        <f>_xlfn.XLOOKUP(Orders[[#This Row],[ProductID]],Products[ProductID],Products[Category])</f>
        <v>Electronics</v>
      </c>
    </row>
    <row r="1715" spans="1:20" x14ac:dyDescent="0.25">
      <c r="A1715" s="4" t="s">
        <v>1904</v>
      </c>
      <c r="B1715" s="5">
        <v>45988</v>
      </c>
      <c r="C1715" s="15">
        <f>WEEKNUM(Orders[[#This Row],[OrderDate]])</f>
        <v>48</v>
      </c>
      <c r="D1715" s="15" t="str">
        <f>TEXT(Orders[[#This Row],[OrderDate]],"mmmm")</f>
        <v>November</v>
      </c>
      <c r="E1715" s="4" t="s">
        <v>27</v>
      </c>
      <c r="F1715" s="4" t="s">
        <v>23</v>
      </c>
      <c r="G1715" s="4">
        <v>6</v>
      </c>
      <c r="H1715" s="12">
        <v>16603.900000000001</v>
      </c>
      <c r="I1715" s="13">
        <v>14113.315000000002</v>
      </c>
      <c r="J1715" s="13">
        <f>Orders[[#This Row],[Quantity]]*Orders[[#This Row],[Selling Price]]</f>
        <v>99623.400000000009</v>
      </c>
      <c r="K1715" s="13">
        <f>Orders[[#This Row],[Quantity]]*Orders[[#This Row],[Cost Price]]</f>
        <v>84679.890000000014</v>
      </c>
      <c r="L1715" s="13">
        <f>Orders[[#This Row],[Revenue]]-Orders[[#This Row],[Expenses]]</f>
        <v>14943.509999999995</v>
      </c>
      <c r="M1715" t="s">
        <v>2214</v>
      </c>
      <c r="N1715" t="str">
        <f>_xlfn.XLOOKUP(Orders[[#This Row],[CustomerID]],Customers[CustomerID],Customers[CustomerName])</f>
        <v>Okon Ojo</v>
      </c>
      <c r="O1715" t="str">
        <f>_xlfn.XLOOKUP(Orders[[#This Row],[CustomerID]],Customers[CustomerID],Customers[City])</f>
        <v>Illinois</v>
      </c>
      <c r="P1715" t="str">
        <f>_xlfn.XLOOKUP(Orders[[#This Row],[CustomerID]],Customers[CustomerID],Customers[Gender])</f>
        <v>Male</v>
      </c>
      <c r="Q1715">
        <f>_xlfn.XLOOKUP(Orders[[#This Row],[CustomerID]],Customers[CustomerID],Customers[CustomerAge])</f>
        <v>32</v>
      </c>
      <c r="R1715" t="str">
        <f>IF(Orders[[#This Row],[CustomerAge]]&gt;=35, "Older", "Young")</f>
        <v>Young</v>
      </c>
      <c r="S1715" t="str">
        <f>_xlfn.XLOOKUP(Orders[[#This Row],[ProductID]],Products[ProductID],Products[ProductName])</f>
        <v>Gym Gloves</v>
      </c>
      <c r="T1715" t="str">
        <f>_xlfn.XLOOKUP(Orders[[#This Row],[ProductID]],Products[ProductID],Products[Category])</f>
        <v>Gym</v>
      </c>
    </row>
    <row r="1716" spans="1:20" x14ac:dyDescent="0.25">
      <c r="A1716" s="4" t="s">
        <v>1905</v>
      </c>
      <c r="B1716" s="5">
        <v>46003</v>
      </c>
      <c r="C1716" s="15">
        <f>WEEKNUM(Orders[[#This Row],[OrderDate]])</f>
        <v>50</v>
      </c>
      <c r="D1716" s="15" t="str">
        <f>TEXT(Orders[[#This Row],[OrderDate]],"mmmm")</f>
        <v>December</v>
      </c>
      <c r="E1716" s="4" t="s">
        <v>605</v>
      </c>
      <c r="F1716" s="4" t="s">
        <v>31</v>
      </c>
      <c r="G1716" s="4">
        <v>10</v>
      </c>
      <c r="H1716" s="12">
        <v>13422.8</v>
      </c>
      <c r="I1716" s="13">
        <v>11409.38</v>
      </c>
      <c r="J1716" s="13">
        <f>Orders[[#This Row],[Quantity]]*Orders[[#This Row],[Selling Price]]</f>
        <v>134228</v>
      </c>
      <c r="K1716" s="13">
        <f>Orders[[#This Row],[Quantity]]*Orders[[#This Row],[Cost Price]]</f>
        <v>114093.79999999999</v>
      </c>
      <c r="L1716" s="13">
        <f>Orders[[#This Row],[Revenue]]-Orders[[#This Row],[Expenses]]</f>
        <v>20134.200000000012</v>
      </c>
      <c r="M1716" t="s">
        <v>2219</v>
      </c>
      <c r="N1716" t="str">
        <f>_xlfn.XLOOKUP(Orders[[#This Row],[CustomerID]],Customers[CustomerID],Customers[CustomerName])</f>
        <v>Blessing Abubakar</v>
      </c>
      <c r="O1716" t="str">
        <f>_xlfn.XLOOKUP(Orders[[#This Row],[CustomerID]],Customers[CustomerID],Customers[City])</f>
        <v>Texas</v>
      </c>
      <c r="P1716" t="str">
        <f>_xlfn.XLOOKUP(Orders[[#This Row],[CustomerID]],Customers[CustomerID],Customers[Gender])</f>
        <v>Female</v>
      </c>
      <c r="Q1716">
        <f>_xlfn.XLOOKUP(Orders[[#This Row],[CustomerID]],Customers[CustomerID],Customers[CustomerAge])</f>
        <v>44</v>
      </c>
      <c r="R1716" t="str">
        <f>IF(Orders[[#This Row],[CustomerAge]]&gt;=35, "Older", "Young")</f>
        <v>Older</v>
      </c>
      <c r="S1716" t="str">
        <f>_xlfn.XLOOKUP(Orders[[#This Row],[ProductID]],Products[ProductID],Products[ProductName])</f>
        <v>Kids Games</v>
      </c>
      <c r="T1716" t="str">
        <f>_xlfn.XLOOKUP(Orders[[#This Row],[ProductID]],Products[ProductID],Products[Category])</f>
        <v>Games</v>
      </c>
    </row>
    <row r="1717" spans="1:20" x14ac:dyDescent="0.25">
      <c r="A1717" s="4" t="s">
        <v>1906</v>
      </c>
      <c r="B1717" s="5">
        <v>45972</v>
      </c>
      <c r="C1717" s="15">
        <f>WEEKNUM(Orders[[#This Row],[OrderDate]])</f>
        <v>46</v>
      </c>
      <c r="D1717" s="15" t="str">
        <f>TEXT(Orders[[#This Row],[OrderDate]],"mmmm")</f>
        <v>November</v>
      </c>
      <c r="E1717" s="4" t="s">
        <v>156</v>
      </c>
      <c r="F1717" s="4" t="s">
        <v>34</v>
      </c>
      <c r="G1717" s="4">
        <v>2</v>
      </c>
      <c r="H1717" s="12">
        <v>4825.2</v>
      </c>
      <c r="I1717" s="13">
        <v>4101.42</v>
      </c>
      <c r="J1717" s="13">
        <f>Orders[[#This Row],[Quantity]]*Orders[[#This Row],[Selling Price]]</f>
        <v>9650.4</v>
      </c>
      <c r="K1717" s="13">
        <f>Orders[[#This Row],[Quantity]]*Orders[[#This Row],[Cost Price]]</f>
        <v>8202.84</v>
      </c>
      <c r="L1717" s="13">
        <f>Orders[[#This Row],[Revenue]]-Orders[[#This Row],[Expenses]]</f>
        <v>1447.5599999999995</v>
      </c>
      <c r="M1717" t="s">
        <v>2213</v>
      </c>
      <c r="N1717" t="str">
        <f>_xlfn.XLOOKUP(Orders[[#This Row],[CustomerID]],Customers[CustomerID],Customers[CustomerName])</f>
        <v>Obi Okonkwo</v>
      </c>
      <c r="O1717" t="str">
        <f>_xlfn.XLOOKUP(Orders[[#This Row],[CustomerID]],Customers[CustomerID],Customers[City])</f>
        <v>Florida</v>
      </c>
      <c r="P1717" t="str">
        <f>_xlfn.XLOOKUP(Orders[[#This Row],[CustomerID]],Customers[CustomerID],Customers[Gender])</f>
        <v>Male</v>
      </c>
      <c r="Q1717">
        <f>_xlfn.XLOOKUP(Orders[[#This Row],[CustomerID]],Customers[CustomerID],Customers[CustomerAge])</f>
        <v>52</v>
      </c>
      <c r="R1717" t="str">
        <f>IF(Orders[[#This Row],[CustomerAge]]&gt;=35, "Older", "Young")</f>
        <v>Older</v>
      </c>
      <c r="S1717" t="str">
        <f>_xlfn.XLOOKUP(Orders[[#This Row],[ProductID]],Products[ProductID],Products[ProductName])</f>
        <v>Gold Bracelets</v>
      </c>
      <c r="T1717" t="str">
        <f>_xlfn.XLOOKUP(Orders[[#This Row],[ProductID]],Products[ProductID],Products[Category])</f>
        <v>Accessories</v>
      </c>
    </row>
    <row r="1718" spans="1:20" x14ac:dyDescent="0.25">
      <c r="A1718" s="4" t="s">
        <v>1907</v>
      </c>
      <c r="B1718" s="5">
        <v>45945</v>
      </c>
      <c r="C1718" s="15">
        <f>WEEKNUM(Orders[[#This Row],[OrderDate]])</f>
        <v>42</v>
      </c>
      <c r="D1718" s="15" t="str">
        <f>TEXT(Orders[[#This Row],[OrderDate]],"mmmm")</f>
        <v>October</v>
      </c>
      <c r="E1718" s="4" t="s">
        <v>369</v>
      </c>
      <c r="F1718" s="4" t="s">
        <v>60</v>
      </c>
      <c r="G1718" s="4">
        <v>4</v>
      </c>
      <c r="H1718" s="12">
        <v>573</v>
      </c>
      <c r="I1718" s="13">
        <v>487.05</v>
      </c>
      <c r="J1718" s="13">
        <f>Orders[[#This Row],[Quantity]]*Orders[[#This Row],[Selling Price]]</f>
        <v>2292</v>
      </c>
      <c r="K1718" s="13">
        <f>Orders[[#This Row],[Quantity]]*Orders[[#This Row],[Cost Price]]</f>
        <v>1948.2</v>
      </c>
      <c r="L1718" s="13">
        <f>Orders[[#This Row],[Revenue]]-Orders[[#This Row],[Expenses]]</f>
        <v>343.79999999999995</v>
      </c>
      <c r="M1718" t="s">
        <v>2201</v>
      </c>
      <c r="N1718" t="str">
        <f>_xlfn.XLOOKUP(Orders[[#This Row],[CustomerID]],Customers[CustomerID],Customers[CustomerName])</f>
        <v>Ibrahim Bello</v>
      </c>
      <c r="O1718" t="str">
        <f>_xlfn.XLOOKUP(Orders[[#This Row],[CustomerID]],Customers[CustomerID],Customers[City])</f>
        <v>Washington</v>
      </c>
      <c r="P1718" t="str">
        <f>_xlfn.XLOOKUP(Orders[[#This Row],[CustomerID]],Customers[CustomerID],Customers[Gender])</f>
        <v>Male</v>
      </c>
      <c r="Q1718">
        <f>_xlfn.XLOOKUP(Orders[[#This Row],[CustomerID]],Customers[CustomerID],Customers[CustomerAge])</f>
        <v>40</v>
      </c>
      <c r="R1718" t="str">
        <f>IF(Orders[[#This Row],[CustomerAge]]&gt;=35, "Older", "Young")</f>
        <v>Older</v>
      </c>
      <c r="S1718" t="str">
        <f>_xlfn.XLOOKUP(Orders[[#This Row],[ProductID]],Products[ProductID],Products[ProductName])</f>
        <v>Silver Rings</v>
      </c>
      <c r="T1718" t="str">
        <f>_xlfn.XLOOKUP(Orders[[#This Row],[ProductID]],Products[ProductID],Products[Category])</f>
        <v>Accessories</v>
      </c>
    </row>
    <row r="1719" spans="1:20" x14ac:dyDescent="0.25">
      <c r="A1719" s="4" t="s">
        <v>1908</v>
      </c>
      <c r="B1719" s="5">
        <v>45996</v>
      </c>
      <c r="C1719" s="15">
        <f>WEEKNUM(Orders[[#This Row],[OrderDate]])</f>
        <v>49</v>
      </c>
      <c r="D1719" s="15" t="str">
        <f>TEXT(Orders[[#This Row],[OrderDate]],"mmmm")</f>
        <v>December</v>
      </c>
      <c r="E1719" s="4" t="s">
        <v>214</v>
      </c>
      <c r="F1719" s="4" t="s">
        <v>70</v>
      </c>
      <c r="G1719" s="4">
        <v>6</v>
      </c>
      <c r="H1719" s="12">
        <v>7744.2999999999993</v>
      </c>
      <c r="I1719" s="13">
        <v>6582.6549999999997</v>
      </c>
      <c r="J1719" s="13">
        <f>Orders[[#This Row],[Quantity]]*Orders[[#This Row],[Selling Price]]</f>
        <v>46465.799999999996</v>
      </c>
      <c r="K1719" s="13">
        <f>Orders[[#This Row],[Quantity]]*Orders[[#This Row],[Cost Price]]</f>
        <v>39495.93</v>
      </c>
      <c r="L1719" s="13">
        <f>Orders[[#This Row],[Revenue]]-Orders[[#This Row],[Expenses]]</f>
        <v>6969.8699999999953</v>
      </c>
      <c r="M1719" t="s">
        <v>2218</v>
      </c>
      <c r="N1719" t="str">
        <f>_xlfn.XLOOKUP(Orders[[#This Row],[CustomerID]],Customers[CustomerID],Customers[CustomerName])</f>
        <v>Adanma Okonkwo</v>
      </c>
      <c r="O1719" t="str">
        <f>_xlfn.XLOOKUP(Orders[[#This Row],[CustomerID]],Customers[CustomerID],Customers[City])</f>
        <v>California</v>
      </c>
      <c r="P1719" t="str">
        <f>_xlfn.XLOOKUP(Orders[[#This Row],[CustomerID]],Customers[CustomerID],Customers[Gender])</f>
        <v>Female</v>
      </c>
      <c r="Q1719">
        <f>_xlfn.XLOOKUP(Orders[[#This Row],[CustomerID]],Customers[CustomerID],Customers[CustomerAge])</f>
        <v>20</v>
      </c>
      <c r="R1719" t="str">
        <f>IF(Orders[[#This Row],[CustomerAge]]&gt;=35, "Older", "Young")</f>
        <v>Young</v>
      </c>
      <c r="S1719" t="str">
        <f>_xlfn.XLOOKUP(Orders[[#This Row],[ProductID]],Products[ProductID],Products[ProductName])</f>
        <v>Yoga Mat</v>
      </c>
      <c r="T1719" t="str">
        <f>_xlfn.XLOOKUP(Orders[[#This Row],[ProductID]],Products[ProductID],Products[Category])</f>
        <v>Gym</v>
      </c>
    </row>
    <row r="1720" spans="1:20" x14ac:dyDescent="0.25">
      <c r="A1720" s="4" t="s">
        <v>1909</v>
      </c>
      <c r="B1720" s="5">
        <v>46010</v>
      </c>
      <c r="C1720" s="15">
        <f>WEEKNUM(Orders[[#This Row],[OrderDate]])</f>
        <v>51</v>
      </c>
      <c r="D1720" s="15" t="str">
        <f>TEXT(Orders[[#This Row],[OrderDate]],"mmmm")</f>
        <v>December</v>
      </c>
      <c r="E1720" s="4" t="s">
        <v>14</v>
      </c>
      <c r="F1720" s="4" t="s">
        <v>81</v>
      </c>
      <c r="G1720" s="4">
        <v>8</v>
      </c>
      <c r="H1720" s="12">
        <v>17805.400000000001</v>
      </c>
      <c r="I1720" s="13">
        <v>15134.590000000002</v>
      </c>
      <c r="J1720" s="13">
        <f>Orders[[#This Row],[Quantity]]*Orders[[#This Row],[Selling Price]]</f>
        <v>142443.20000000001</v>
      </c>
      <c r="K1720" s="13">
        <f>Orders[[#This Row],[Quantity]]*Orders[[#This Row],[Cost Price]]</f>
        <v>121076.72000000002</v>
      </c>
      <c r="L1720" s="13">
        <f>Orders[[#This Row],[Revenue]]-Orders[[#This Row],[Expenses]]</f>
        <v>21366.479999999996</v>
      </c>
      <c r="M1720" t="s">
        <v>2218</v>
      </c>
      <c r="N1720" t="str">
        <f>_xlfn.XLOOKUP(Orders[[#This Row],[CustomerID]],Customers[CustomerID],Customers[CustomerName])</f>
        <v>Abiola Igwe</v>
      </c>
      <c r="O1720" t="str">
        <f>_xlfn.XLOOKUP(Orders[[#This Row],[CustomerID]],Customers[CustomerID],Customers[City])</f>
        <v>Texas</v>
      </c>
      <c r="P1720" t="str">
        <f>_xlfn.XLOOKUP(Orders[[#This Row],[CustomerID]],Customers[CustomerID],Customers[Gender])</f>
        <v>Male</v>
      </c>
      <c r="Q1720">
        <f>_xlfn.XLOOKUP(Orders[[#This Row],[CustomerID]],Customers[CustomerID],Customers[CustomerAge])</f>
        <v>39</v>
      </c>
      <c r="R1720" t="str">
        <f>IF(Orders[[#This Row],[CustomerAge]]&gt;=35, "Older", "Young")</f>
        <v>Older</v>
      </c>
      <c r="S1720" t="str">
        <f>_xlfn.XLOOKUP(Orders[[#This Row],[ProductID]],Products[ProductID],Products[ProductName])</f>
        <v>Trousers</v>
      </c>
      <c r="T1720" t="str">
        <f>_xlfn.XLOOKUP(Orders[[#This Row],[ProductID]],Products[ProductID],Products[Category])</f>
        <v>Clothing</v>
      </c>
    </row>
    <row r="1721" spans="1:20" x14ac:dyDescent="0.25">
      <c r="A1721" s="4" t="s">
        <v>1910</v>
      </c>
      <c r="B1721" s="5">
        <v>46002</v>
      </c>
      <c r="C1721" s="15">
        <f>WEEKNUM(Orders[[#This Row],[OrderDate]])</f>
        <v>50</v>
      </c>
      <c r="D1721" s="15" t="str">
        <f>TEXT(Orders[[#This Row],[OrderDate]],"mmmm")</f>
        <v>December</v>
      </c>
      <c r="E1721" s="4" t="s">
        <v>103</v>
      </c>
      <c r="F1721" s="4" t="s">
        <v>53</v>
      </c>
      <c r="G1721" s="4">
        <v>9</v>
      </c>
      <c r="H1721" s="12">
        <v>11548.900000000001</v>
      </c>
      <c r="I1721" s="13">
        <v>9816.5650000000005</v>
      </c>
      <c r="J1721" s="13">
        <f>Orders[[#This Row],[Quantity]]*Orders[[#This Row],[Selling Price]]</f>
        <v>103940.1</v>
      </c>
      <c r="K1721" s="13">
        <f>Orders[[#This Row],[Quantity]]*Orders[[#This Row],[Cost Price]]</f>
        <v>88349.085000000006</v>
      </c>
      <c r="L1721" s="13">
        <f>Orders[[#This Row],[Revenue]]-Orders[[#This Row],[Expenses]]</f>
        <v>15591.014999999999</v>
      </c>
      <c r="M1721" t="s">
        <v>2208</v>
      </c>
      <c r="N1721" t="str">
        <f>_xlfn.XLOOKUP(Orders[[#This Row],[CustomerID]],Customers[CustomerID],Customers[CustomerName])</f>
        <v>Chioma Adeyemi</v>
      </c>
      <c r="O1721" t="str">
        <f>_xlfn.XLOOKUP(Orders[[#This Row],[CustomerID]],Customers[CustomerID],Customers[City])</f>
        <v>Georgia</v>
      </c>
      <c r="P1721" t="str">
        <f>_xlfn.XLOOKUP(Orders[[#This Row],[CustomerID]],Customers[CustomerID],Customers[Gender])</f>
        <v>Female</v>
      </c>
      <c r="Q1721">
        <f>_xlfn.XLOOKUP(Orders[[#This Row],[CustomerID]],Customers[CustomerID],Customers[CustomerAge])</f>
        <v>31</v>
      </c>
      <c r="R1721" t="str">
        <f>IF(Orders[[#This Row],[CustomerAge]]&gt;=35, "Older", "Young")</f>
        <v>Young</v>
      </c>
      <c r="S1721" t="str">
        <f>_xlfn.XLOOKUP(Orders[[#This Row],[ProductID]],Products[ProductID],Products[ProductName])</f>
        <v>Silver Bangles</v>
      </c>
      <c r="T1721" t="str">
        <f>_xlfn.XLOOKUP(Orders[[#This Row],[ProductID]],Products[ProductID],Products[Category])</f>
        <v>Accessories</v>
      </c>
    </row>
    <row r="1722" spans="1:20" x14ac:dyDescent="0.25">
      <c r="A1722" s="4" t="s">
        <v>1911</v>
      </c>
      <c r="B1722" s="5">
        <v>45976</v>
      </c>
      <c r="C1722" s="15">
        <f>WEEKNUM(Orders[[#This Row],[OrderDate]])</f>
        <v>46</v>
      </c>
      <c r="D1722" s="15" t="str">
        <f>TEXT(Orders[[#This Row],[OrderDate]],"mmmm")</f>
        <v>November</v>
      </c>
      <c r="E1722" s="4" t="s">
        <v>322</v>
      </c>
      <c r="F1722" s="4" t="s">
        <v>189</v>
      </c>
      <c r="G1722" s="4">
        <v>3</v>
      </c>
      <c r="H1722" s="12">
        <v>8829.1</v>
      </c>
      <c r="I1722" s="13">
        <v>7504.7350000000006</v>
      </c>
      <c r="J1722" s="13">
        <f>Orders[[#This Row],[Quantity]]*Orders[[#This Row],[Selling Price]]</f>
        <v>26487.300000000003</v>
      </c>
      <c r="K1722" s="13">
        <f>Orders[[#This Row],[Quantity]]*Orders[[#This Row],[Cost Price]]</f>
        <v>22514.205000000002</v>
      </c>
      <c r="L1722" s="13">
        <f>Orders[[#This Row],[Revenue]]-Orders[[#This Row],[Expenses]]</f>
        <v>3973.0950000000012</v>
      </c>
      <c r="M1722" t="s">
        <v>2207</v>
      </c>
      <c r="N1722" t="str">
        <f>_xlfn.XLOOKUP(Orders[[#This Row],[CustomerID]],Customers[CustomerID],Customers[CustomerName])</f>
        <v>Ngozi Bello</v>
      </c>
      <c r="O1722" t="str">
        <f>_xlfn.XLOOKUP(Orders[[#This Row],[CustomerID]],Customers[CustomerID],Customers[City])</f>
        <v>Washington</v>
      </c>
      <c r="P1722" t="str">
        <f>_xlfn.XLOOKUP(Orders[[#This Row],[CustomerID]],Customers[CustomerID],Customers[Gender])</f>
        <v>Female</v>
      </c>
      <c r="Q1722">
        <f>_xlfn.XLOOKUP(Orders[[#This Row],[CustomerID]],Customers[CustomerID],Customers[CustomerAge])</f>
        <v>32</v>
      </c>
      <c r="R1722" t="str">
        <f>IF(Orders[[#This Row],[CustomerAge]]&gt;=35, "Older", "Young")</f>
        <v>Young</v>
      </c>
      <c r="S1722" t="str">
        <f>_xlfn.XLOOKUP(Orders[[#This Row],[ProductID]],Products[ProductID],Products[ProductName])</f>
        <v>Scrabble</v>
      </c>
      <c r="T1722" t="str">
        <f>_xlfn.XLOOKUP(Orders[[#This Row],[ProductID]],Products[ProductID],Products[Category])</f>
        <v>Games</v>
      </c>
    </row>
    <row r="1723" spans="1:20" x14ac:dyDescent="0.25">
      <c r="A1723" s="4" t="s">
        <v>1912</v>
      </c>
      <c r="B1723" s="5">
        <v>46004</v>
      </c>
      <c r="C1723" s="15">
        <f>WEEKNUM(Orders[[#This Row],[OrderDate]])</f>
        <v>50</v>
      </c>
      <c r="D1723" s="15" t="str">
        <f>TEXT(Orders[[#This Row],[OrderDate]],"mmmm")</f>
        <v>December</v>
      </c>
      <c r="E1723" s="4" t="s">
        <v>260</v>
      </c>
      <c r="F1723" s="4" t="s">
        <v>9</v>
      </c>
      <c r="G1723" s="4">
        <v>1</v>
      </c>
      <c r="H1723" s="12">
        <v>10053.9</v>
      </c>
      <c r="I1723" s="13">
        <v>8545.8150000000005</v>
      </c>
      <c r="J1723" s="13">
        <f>Orders[[#This Row],[Quantity]]*Orders[[#This Row],[Selling Price]]</f>
        <v>10053.9</v>
      </c>
      <c r="K1723" s="13">
        <f>Orders[[#This Row],[Quantity]]*Orders[[#This Row],[Cost Price]]</f>
        <v>8545.8150000000005</v>
      </c>
      <c r="L1723" s="13">
        <f>Orders[[#This Row],[Revenue]]-Orders[[#This Row],[Expenses]]</f>
        <v>1508.0849999999991</v>
      </c>
      <c r="M1723" t="s">
        <v>2201</v>
      </c>
      <c r="N1723" t="str">
        <f>_xlfn.XLOOKUP(Orders[[#This Row],[CustomerID]],Customers[CustomerID],Customers[CustomerName])</f>
        <v>Amina Obi</v>
      </c>
      <c r="O1723" t="str">
        <f>_xlfn.XLOOKUP(Orders[[#This Row],[CustomerID]],Customers[CustomerID],Customers[City])</f>
        <v>Florida</v>
      </c>
      <c r="P1723" t="str">
        <f>_xlfn.XLOOKUP(Orders[[#This Row],[CustomerID]],Customers[CustomerID],Customers[Gender])</f>
        <v>Female</v>
      </c>
      <c r="Q1723">
        <f>_xlfn.XLOOKUP(Orders[[#This Row],[CustomerID]],Customers[CustomerID],Customers[CustomerAge])</f>
        <v>29</v>
      </c>
      <c r="R1723" t="str">
        <f>IF(Orders[[#This Row],[CustomerAge]]&gt;=35, "Older", "Young")</f>
        <v>Young</v>
      </c>
      <c r="S1723" t="str">
        <f>_xlfn.XLOOKUP(Orders[[#This Row],[ProductID]],Products[ProductID],Products[ProductName])</f>
        <v>Beaded Earrings And Necklaces</v>
      </c>
      <c r="T1723" t="str">
        <f>_xlfn.XLOOKUP(Orders[[#This Row],[ProductID]],Products[ProductID],Products[Category])</f>
        <v>Accessories</v>
      </c>
    </row>
    <row r="1724" spans="1:20" x14ac:dyDescent="0.25">
      <c r="A1724" s="4" t="s">
        <v>1913</v>
      </c>
      <c r="B1724" s="5">
        <v>45984</v>
      </c>
      <c r="C1724" s="15">
        <f>WEEKNUM(Orders[[#This Row],[OrderDate]])</f>
        <v>48</v>
      </c>
      <c r="D1724" s="15" t="str">
        <f>TEXT(Orders[[#This Row],[OrderDate]],"mmmm")</f>
        <v>November</v>
      </c>
      <c r="E1724" s="4" t="s">
        <v>186</v>
      </c>
      <c r="F1724" s="4" t="s">
        <v>63</v>
      </c>
      <c r="G1724" s="4">
        <v>3</v>
      </c>
      <c r="H1724" s="12">
        <v>10341.099999999999</v>
      </c>
      <c r="I1724" s="13">
        <v>8789.9349999999995</v>
      </c>
      <c r="J1724" s="13">
        <f>Orders[[#This Row],[Quantity]]*Orders[[#This Row],[Selling Price]]</f>
        <v>31023.299999999996</v>
      </c>
      <c r="K1724" s="13">
        <f>Orders[[#This Row],[Quantity]]*Orders[[#This Row],[Cost Price]]</f>
        <v>26369.805</v>
      </c>
      <c r="L1724" s="13">
        <f>Orders[[#This Row],[Revenue]]-Orders[[#This Row],[Expenses]]</f>
        <v>4653.4949999999953</v>
      </c>
      <c r="M1724" t="s">
        <v>2211</v>
      </c>
      <c r="N1724" t="str">
        <f>_xlfn.XLOOKUP(Orders[[#This Row],[CustomerID]],Customers[CustomerID],Customers[CustomerName])</f>
        <v>Ronke Eze</v>
      </c>
      <c r="O1724" t="str">
        <f>_xlfn.XLOOKUP(Orders[[#This Row],[CustomerID]],Customers[CustomerID],Customers[City])</f>
        <v>Texas</v>
      </c>
      <c r="P1724" t="str">
        <f>_xlfn.XLOOKUP(Orders[[#This Row],[CustomerID]],Customers[CustomerID],Customers[Gender])</f>
        <v>Female</v>
      </c>
      <c r="Q1724">
        <f>_xlfn.XLOOKUP(Orders[[#This Row],[CustomerID]],Customers[CustomerID],Customers[CustomerAge])</f>
        <v>37</v>
      </c>
      <c r="R1724" t="str">
        <f>IF(Orders[[#This Row],[CustomerAge]]&gt;=35, "Older", "Young")</f>
        <v>Older</v>
      </c>
      <c r="S1724" t="str">
        <f>_xlfn.XLOOKUP(Orders[[#This Row],[ProductID]],Products[ProductID],Products[ProductName])</f>
        <v>Tennis Bat</v>
      </c>
      <c r="T1724" t="str">
        <f>_xlfn.XLOOKUP(Orders[[#This Row],[ProductID]],Products[ProductID],Products[Category])</f>
        <v>Sports</v>
      </c>
    </row>
    <row r="1725" spans="1:20" x14ac:dyDescent="0.25">
      <c r="A1725" s="4" t="s">
        <v>1914</v>
      </c>
      <c r="B1725" s="5">
        <v>45989</v>
      </c>
      <c r="C1725" s="15">
        <f>WEEKNUM(Orders[[#This Row],[OrderDate]])</f>
        <v>48</v>
      </c>
      <c r="D1725" s="15" t="str">
        <f>TEXT(Orders[[#This Row],[OrderDate]],"mmmm")</f>
        <v>November</v>
      </c>
      <c r="E1725" s="4" t="s">
        <v>198</v>
      </c>
      <c r="F1725" s="4" t="s">
        <v>23</v>
      </c>
      <c r="G1725" s="4">
        <v>9</v>
      </c>
      <c r="H1725" s="12">
        <v>14356.7</v>
      </c>
      <c r="I1725" s="13">
        <v>12203.195</v>
      </c>
      <c r="J1725" s="13">
        <f>Orders[[#This Row],[Quantity]]*Orders[[#This Row],[Selling Price]]</f>
        <v>129210.3</v>
      </c>
      <c r="K1725" s="13">
        <f>Orders[[#This Row],[Quantity]]*Orders[[#This Row],[Cost Price]]</f>
        <v>109828.755</v>
      </c>
      <c r="L1725" s="13">
        <f>Orders[[#This Row],[Revenue]]-Orders[[#This Row],[Expenses]]</f>
        <v>19381.544999999998</v>
      </c>
      <c r="M1725" t="s">
        <v>2209</v>
      </c>
      <c r="N1725" t="str">
        <f>_xlfn.XLOOKUP(Orders[[#This Row],[CustomerID]],Customers[CustomerID],Customers[CustomerName])</f>
        <v>Blessing Danladi</v>
      </c>
      <c r="O1725" t="str">
        <f>_xlfn.XLOOKUP(Orders[[#This Row],[CustomerID]],Customers[CustomerID],Customers[City])</f>
        <v>Texas</v>
      </c>
      <c r="P1725" t="str">
        <f>_xlfn.XLOOKUP(Orders[[#This Row],[CustomerID]],Customers[CustomerID],Customers[Gender])</f>
        <v>Female</v>
      </c>
      <c r="Q1725">
        <f>_xlfn.XLOOKUP(Orders[[#This Row],[CustomerID]],Customers[CustomerID],Customers[CustomerAge])</f>
        <v>19</v>
      </c>
      <c r="R1725" t="str">
        <f>IF(Orders[[#This Row],[CustomerAge]]&gt;=35, "Older", "Young")</f>
        <v>Young</v>
      </c>
      <c r="S1725" t="str">
        <f>_xlfn.XLOOKUP(Orders[[#This Row],[ProductID]],Products[ProductID],Products[ProductName])</f>
        <v>Gym Gloves</v>
      </c>
      <c r="T1725" t="str">
        <f>_xlfn.XLOOKUP(Orders[[#This Row],[ProductID]],Products[ProductID],Products[Category])</f>
        <v>Gym</v>
      </c>
    </row>
    <row r="1726" spans="1:20" x14ac:dyDescent="0.25">
      <c r="A1726" s="4" t="s">
        <v>1915</v>
      </c>
      <c r="B1726" s="5">
        <v>46019</v>
      </c>
      <c r="C1726" s="15">
        <f>WEEKNUM(Orders[[#This Row],[OrderDate]])</f>
        <v>53</v>
      </c>
      <c r="D1726" s="15" t="str">
        <f>TEXT(Orders[[#This Row],[OrderDate]],"mmmm")</f>
        <v>December</v>
      </c>
      <c r="E1726" s="4" t="s">
        <v>91</v>
      </c>
      <c r="F1726" s="4" t="s">
        <v>15</v>
      </c>
      <c r="G1726" s="4">
        <v>7</v>
      </c>
      <c r="H1726" s="12">
        <v>15724.7</v>
      </c>
      <c r="I1726" s="13">
        <v>13365.995000000001</v>
      </c>
      <c r="J1726" s="13">
        <f>Orders[[#This Row],[Quantity]]*Orders[[#This Row],[Selling Price]]</f>
        <v>110072.90000000001</v>
      </c>
      <c r="K1726" s="13">
        <f>Orders[[#This Row],[Quantity]]*Orders[[#This Row],[Cost Price]]</f>
        <v>93561.965000000011</v>
      </c>
      <c r="L1726" s="13">
        <f>Orders[[#This Row],[Revenue]]-Orders[[#This Row],[Expenses]]</f>
        <v>16510.934999999998</v>
      </c>
      <c r="M1726" t="s">
        <v>2220</v>
      </c>
      <c r="N1726" t="str">
        <f>_xlfn.XLOOKUP(Orders[[#This Row],[CustomerID]],Customers[CustomerID],Customers[CustomerName])</f>
        <v>Uche Abubakar</v>
      </c>
      <c r="O1726" t="str">
        <f>_xlfn.XLOOKUP(Orders[[#This Row],[CustomerID]],Customers[CustomerID],Customers[City])</f>
        <v>Florida</v>
      </c>
      <c r="P1726" t="str">
        <f>_xlfn.XLOOKUP(Orders[[#This Row],[CustomerID]],Customers[CustomerID],Customers[Gender])</f>
        <v>Male</v>
      </c>
      <c r="Q1726">
        <f>_xlfn.XLOOKUP(Orders[[#This Row],[CustomerID]],Customers[CustomerID],Customers[CustomerAge])</f>
        <v>28</v>
      </c>
      <c r="R1726" t="str">
        <f>IF(Orders[[#This Row],[CustomerAge]]&gt;=35, "Older", "Young")</f>
        <v>Young</v>
      </c>
      <c r="S1726" t="str">
        <f>_xlfn.XLOOKUP(Orders[[#This Row],[ProductID]],Products[ProductID],Products[ProductName])</f>
        <v>Monopoly</v>
      </c>
      <c r="T1726" t="str">
        <f>_xlfn.XLOOKUP(Orders[[#This Row],[ProductID]],Products[ProductID],Products[Category])</f>
        <v>Games</v>
      </c>
    </row>
    <row r="1727" spans="1:20" x14ac:dyDescent="0.25">
      <c r="A1727" s="4" t="s">
        <v>1916</v>
      </c>
      <c r="B1727" s="5">
        <v>45934</v>
      </c>
      <c r="C1727" s="15">
        <f>WEEKNUM(Orders[[#This Row],[OrderDate]])</f>
        <v>40</v>
      </c>
      <c r="D1727" s="15" t="str">
        <f>TEXT(Orders[[#This Row],[OrderDate]],"mmmm")</f>
        <v>October</v>
      </c>
      <c r="E1727" s="4" t="s">
        <v>256</v>
      </c>
      <c r="F1727" s="4" t="s">
        <v>28</v>
      </c>
      <c r="G1727" s="4">
        <v>5</v>
      </c>
      <c r="H1727" s="12">
        <v>9115.8000000000011</v>
      </c>
      <c r="I1727" s="13">
        <v>7748.4300000000012</v>
      </c>
      <c r="J1727" s="13">
        <f>Orders[[#This Row],[Quantity]]*Orders[[#This Row],[Selling Price]]</f>
        <v>45579.000000000007</v>
      </c>
      <c r="K1727" s="13">
        <f>Orders[[#This Row],[Quantity]]*Orders[[#This Row],[Cost Price]]</f>
        <v>38742.150000000009</v>
      </c>
      <c r="L1727" s="13">
        <f>Orders[[#This Row],[Revenue]]-Orders[[#This Row],[Expenses]]</f>
        <v>6836.8499999999985</v>
      </c>
      <c r="M1727" t="s">
        <v>2193</v>
      </c>
      <c r="N1727" t="str">
        <f>_xlfn.XLOOKUP(Orders[[#This Row],[CustomerID]],Customers[CustomerID],Customers[CustomerName])</f>
        <v>Efe Ojo</v>
      </c>
      <c r="O1727" t="str">
        <f>_xlfn.XLOOKUP(Orders[[#This Row],[CustomerID]],Customers[CustomerID],Customers[City])</f>
        <v>Georgia</v>
      </c>
      <c r="P1727" t="str">
        <f>_xlfn.XLOOKUP(Orders[[#This Row],[CustomerID]],Customers[CustomerID],Customers[Gender])</f>
        <v>Female</v>
      </c>
      <c r="Q1727">
        <f>_xlfn.XLOOKUP(Orders[[#This Row],[CustomerID]],Customers[CustomerID],Customers[CustomerAge])</f>
        <v>23</v>
      </c>
      <c r="R1727" t="str">
        <f>IF(Orders[[#This Row],[CustomerAge]]&gt;=35, "Older", "Young")</f>
        <v>Young</v>
      </c>
      <c r="S1727" t="str">
        <f>_xlfn.XLOOKUP(Orders[[#This Row],[ProductID]],Products[ProductID],Products[ProductName])</f>
        <v>Sneakers</v>
      </c>
      <c r="T1727" t="str">
        <f>_xlfn.XLOOKUP(Orders[[#This Row],[ProductID]],Products[ProductID],Products[Category])</f>
        <v>Sports</v>
      </c>
    </row>
    <row r="1728" spans="1:20" x14ac:dyDescent="0.25">
      <c r="A1728" s="4" t="s">
        <v>1917</v>
      </c>
      <c r="B1728" s="5">
        <v>45943</v>
      </c>
      <c r="C1728" s="15">
        <f>WEEKNUM(Orders[[#This Row],[OrderDate]])</f>
        <v>42</v>
      </c>
      <c r="D1728" s="15" t="str">
        <f>TEXT(Orders[[#This Row],[OrderDate]],"mmmm")</f>
        <v>October</v>
      </c>
      <c r="E1728" s="4" t="s">
        <v>223</v>
      </c>
      <c r="F1728" s="4" t="s">
        <v>37</v>
      </c>
      <c r="G1728" s="4">
        <v>1</v>
      </c>
      <c r="H1728" s="12">
        <v>12308.5</v>
      </c>
      <c r="I1728" s="13">
        <v>10462.225</v>
      </c>
      <c r="J1728" s="13">
        <f>Orders[[#This Row],[Quantity]]*Orders[[#This Row],[Selling Price]]</f>
        <v>12308.5</v>
      </c>
      <c r="K1728" s="13">
        <f>Orders[[#This Row],[Quantity]]*Orders[[#This Row],[Cost Price]]</f>
        <v>10462.225</v>
      </c>
      <c r="L1728" s="13">
        <f>Orders[[#This Row],[Revenue]]-Orders[[#This Row],[Expenses]]</f>
        <v>1846.2749999999996</v>
      </c>
      <c r="M1728" t="s">
        <v>2209</v>
      </c>
      <c r="N1728" t="str">
        <f>_xlfn.XLOOKUP(Orders[[#This Row],[CustomerID]],Customers[CustomerID],Customers[CustomerName])</f>
        <v>Blessing Danladi</v>
      </c>
      <c r="O1728" t="str">
        <f>_xlfn.XLOOKUP(Orders[[#This Row],[CustomerID]],Customers[CustomerID],Customers[City])</f>
        <v>Washington</v>
      </c>
      <c r="P1728" t="str">
        <f>_xlfn.XLOOKUP(Orders[[#This Row],[CustomerID]],Customers[CustomerID],Customers[Gender])</f>
        <v>Female</v>
      </c>
      <c r="Q1728">
        <f>_xlfn.XLOOKUP(Orders[[#This Row],[CustomerID]],Customers[CustomerID],Customers[CustomerAge])</f>
        <v>20</v>
      </c>
      <c r="R1728" t="str">
        <f>IF(Orders[[#This Row],[CustomerAge]]&gt;=35, "Older", "Young")</f>
        <v>Young</v>
      </c>
      <c r="S1728" t="str">
        <f>_xlfn.XLOOKUP(Orders[[#This Row],[ProductID]],Products[ProductID],Products[ProductName])</f>
        <v>Iron</v>
      </c>
      <c r="T1728" t="str">
        <f>_xlfn.XLOOKUP(Orders[[#This Row],[ProductID]],Products[ProductID],Products[Category])</f>
        <v>Electronics</v>
      </c>
    </row>
    <row r="1729" spans="1:20" x14ac:dyDescent="0.25">
      <c r="A1729" s="4" t="s">
        <v>1918</v>
      </c>
      <c r="B1729" s="5">
        <v>46017</v>
      </c>
      <c r="C1729" s="15">
        <f>WEEKNUM(Orders[[#This Row],[OrderDate]])</f>
        <v>52</v>
      </c>
      <c r="D1729" s="15" t="str">
        <f>TEXT(Orders[[#This Row],[OrderDate]],"mmmm")</f>
        <v>December</v>
      </c>
      <c r="E1729" s="4" t="s">
        <v>216</v>
      </c>
      <c r="F1729" s="4" t="s">
        <v>37</v>
      </c>
      <c r="G1729" s="4">
        <v>6</v>
      </c>
      <c r="H1729" s="12">
        <v>14127.4</v>
      </c>
      <c r="I1729" s="13">
        <v>12008.29</v>
      </c>
      <c r="J1729" s="13">
        <f>Orders[[#This Row],[Quantity]]*Orders[[#This Row],[Selling Price]]</f>
        <v>84764.4</v>
      </c>
      <c r="K1729" s="13">
        <f>Orders[[#This Row],[Quantity]]*Orders[[#This Row],[Cost Price]]</f>
        <v>72049.740000000005</v>
      </c>
      <c r="L1729" s="13">
        <f>Orders[[#This Row],[Revenue]]-Orders[[#This Row],[Expenses]]</f>
        <v>12714.659999999989</v>
      </c>
      <c r="M1729" t="s">
        <v>2202</v>
      </c>
      <c r="N1729" t="str">
        <f>_xlfn.XLOOKUP(Orders[[#This Row],[CustomerID]],Customers[CustomerID],Customers[CustomerName])</f>
        <v>Ngozi Obi</v>
      </c>
      <c r="O1729" t="str">
        <f>_xlfn.XLOOKUP(Orders[[#This Row],[CustomerID]],Customers[CustomerID],Customers[City])</f>
        <v>California</v>
      </c>
      <c r="P1729" t="str">
        <f>_xlfn.XLOOKUP(Orders[[#This Row],[CustomerID]],Customers[CustomerID],Customers[Gender])</f>
        <v>Female</v>
      </c>
      <c r="Q1729">
        <f>_xlfn.XLOOKUP(Orders[[#This Row],[CustomerID]],Customers[CustomerID],Customers[CustomerAge])</f>
        <v>54</v>
      </c>
      <c r="R1729" t="str">
        <f>IF(Orders[[#This Row],[CustomerAge]]&gt;=35, "Older", "Young")</f>
        <v>Older</v>
      </c>
      <c r="S1729" t="str">
        <f>_xlfn.XLOOKUP(Orders[[#This Row],[ProductID]],Products[ProductID],Products[ProductName])</f>
        <v>Iron</v>
      </c>
      <c r="T1729" t="str">
        <f>_xlfn.XLOOKUP(Orders[[#This Row],[ProductID]],Products[ProductID],Products[Category])</f>
        <v>Electronics</v>
      </c>
    </row>
    <row r="1730" spans="1:20" x14ac:dyDescent="0.25">
      <c r="A1730" s="4" t="s">
        <v>1919</v>
      </c>
      <c r="B1730" s="5">
        <v>46013</v>
      </c>
      <c r="C1730" s="15">
        <f>WEEKNUM(Orders[[#This Row],[OrderDate]])</f>
        <v>52</v>
      </c>
      <c r="D1730" s="15" t="str">
        <f>TEXT(Orders[[#This Row],[OrderDate]],"mmmm")</f>
        <v>December</v>
      </c>
      <c r="E1730" s="4" t="s">
        <v>132</v>
      </c>
      <c r="F1730" s="4" t="s">
        <v>25</v>
      </c>
      <c r="G1730" s="4">
        <v>8</v>
      </c>
      <c r="H1730" s="12">
        <v>6176.5</v>
      </c>
      <c r="I1730" s="13">
        <v>5250.0249999999996</v>
      </c>
      <c r="J1730" s="13">
        <f>Orders[[#This Row],[Quantity]]*Orders[[#This Row],[Selling Price]]</f>
        <v>49412</v>
      </c>
      <c r="K1730" s="13">
        <f>Orders[[#This Row],[Quantity]]*Orders[[#This Row],[Cost Price]]</f>
        <v>42000.2</v>
      </c>
      <c r="L1730" s="13">
        <f>Orders[[#This Row],[Revenue]]-Orders[[#This Row],[Expenses]]</f>
        <v>7411.8000000000029</v>
      </c>
      <c r="M1730" t="s">
        <v>2209</v>
      </c>
      <c r="N1730" t="str">
        <f>_xlfn.XLOOKUP(Orders[[#This Row],[CustomerID]],Customers[CustomerID],Customers[CustomerName])</f>
        <v>Emeka Balogun</v>
      </c>
      <c r="O1730" t="str">
        <f>_xlfn.XLOOKUP(Orders[[#This Row],[CustomerID]],Customers[CustomerID],Customers[City])</f>
        <v>Illinois</v>
      </c>
      <c r="P1730" t="str">
        <f>_xlfn.XLOOKUP(Orders[[#This Row],[CustomerID]],Customers[CustomerID],Customers[Gender])</f>
        <v>Male</v>
      </c>
      <c r="Q1730">
        <f>_xlfn.XLOOKUP(Orders[[#This Row],[CustomerID]],Customers[CustomerID],Customers[CustomerAge])</f>
        <v>36</v>
      </c>
      <c r="R1730" t="str">
        <f>IF(Orders[[#This Row],[CustomerAge]]&gt;=35, "Older", "Young")</f>
        <v>Older</v>
      </c>
      <c r="S1730" t="str">
        <f>_xlfn.XLOOKUP(Orders[[#This Row],[ProductID]],Products[ProductID],Products[ProductName])</f>
        <v>Gold Rings</v>
      </c>
      <c r="T1730" t="str">
        <f>_xlfn.XLOOKUP(Orders[[#This Row],[ProductID]],Products[ProductID],Products[Category])</f>
        <v>Accessories</v>
      </c>
    </row>
    <row r="1731" spans="1:20" x14ac:dyDescent="0.25">
      <c r="A1731" s="4" t="s">
        <v>1920</v>
      </c>
      <c r="B1731" s="5">
        <v>46000</v>
      </c>
      <c r="C1731" s="15">
        <f>WEEKNUM(Orders[[#This Row],[OrderDate]])</f>
        <v>50</v>
      </c>
      <c r="D1731" s="15" t="str">
        <f>TEXT(Orders[[#This Row],[OrderDate]],"mmmm")</f>
        <v>December</v>
      </c>
      <c r="E1731" s="4" t="s">
        <v>252</v>
      </c>
      <c r="F1731" s="4" t="s">
        <v>46</v>
      </c>
      <c r="G1731" s="4">
        <v>2</v>
      </c>
      <c r="H1731" s="12">
        <v>4335</v>
      </c>
      <c r="I1731" s="13">
        <v>3684.75</v>
      </c>
      <c r="J1731" s="13">
        <f>Orders[[#This Row],[Quantity]]*Orders[[#This Row],[Selling Price]]</f>
        <v>8670</v>
      </c>
      <c r="K1731" s="13">
        <f>Orders[[#This Row],[Quantity]]*Orders[[#This Row],[Cost Price]]</f>
        <v>7369.5</v>
      </c>
      <c r="L1731" s="13">
        <f>Orders[[#This Row],[Revenue]]-Orders[[#This Row],[Expenses]]</f>
        <v>1300.5</v>
      </c>
      <c r="M1731" t="s">
        <v>2196</v>
      </c>
      <c r="N1731" t="str">
        <f>_xlfn.XLOOKUP(Orders[[#This Row],[CustomerID]],Customers[CustomerID],Customers[CustomerName])</f>
        <v>Chioma Adeyemi</v>
      </c>
      <c r="O1731" t="str">
        <f>_xlfn.XLOOKUP(Orders[[#This Row],[CustomerID]],Customers[CustomerID],Customers[City])</f>
        <v>Texas</v>
      </c>
      <c r="P1731" t="str">
        <f>_xlfn.XLOOKUP(Orders[[#This Row],[CustomerID]],Customers[CustomerID],Customers[Gender])</f>
        <v>Female</v>
      </c>
      <c r="Q1731">
        <f>_xlfn.XLOOKUP(Orders[[#This Row],[CustomerID]],Customers[CustomerID],Customers[CustomerAge])</f>
        <v>20</v>
      </c>
      <c r="R1731" t="str">
        <f>IF(Orders[[#This Row],[CustomerAge]]&gt;=35, "Older", "Young")</f>
        <v>Young</v>
      </c>
      <c r="S1731" t="str">
        <f>_xlfn.XLOOKUP(Orders[[#This Row],[ProductID]],Products[ProductID],Products[ProductName])</f>
        <v>Turtle Neck</v>
      </c>
      <c r="T1731" t="str">
        <f>_xlfn.XLOOKUP(Orders[[#This Row],[ProductID]],Products[ProductID],Products[Category])</f>
        <v>Clothing</v>
      </c>
    </row>
    <row r="1732" spans="1:20" x14ac:dyDescent="0.25">
      <c r="A1732" s="4" t="s">
        <v>1921</v>
      </c>
      <c r="B1732" s="5">
        <v>45992</v>
      </c>
      <c r="C1732" s="15">
        <f>WEEKNUM(Orders[[#This Row],[OrderDate]])</f>
        <v>49</v>
      </c>
      <c r="D1732" s="15" t="str">
        <f>TEXT(Orders[[#This Row],[OrderDate]],"mmmm")</f>
        <v>December</v>
      </c>
      <c r="E1732" s="4" t="s">
        <v>103</v>
      </c>
      <c r="F1732" s="4" t="s">
        <v>28</v>
      </c>
      <c r="G1732" s="4">
        <v>9</v>
      </c>
      <c r="H1732" s="12">
        <v>8100.5</v>
      </c>
      <c r="I1732" s="13">
        <v>6885.4250000000002</v>
      </c>
      <c r="J1732" s="13">
        <f>Orders[[#This Row],[Quantity]]*Orders[[#This Row],[Selling Price]]</f>
        <v>72904.5</v>
      </c>
      <c r="K1732" s="13">
        <f>Orders[[#This Row],[Quantity]]*Orders[[#This Row],[Cost Price]]</f>
        <v>61968.825000000004</v>
      </c>
      <c r="L1732" s="13">
        <f>Orders[[#This Row],[Revenue]]-Orders[[#This Row],[Expenses]]</f>
        <v>10935.674999999996</v>
      </c>
      <c r="M1732" t="s">
        <v>2219</v>
      </c>
      <c r="N1732" t="str">
        <f>_xlfn.XLOOKUP(Orders[[#This Row],[CustomerID]],Customers[CustomerID],Customers[CustomerName])</f>
        <v>Chioma Adeyemi</v>
      </c>
      <c r="O1732" t="str">
        <f>_xlfn.XLOOKUP(Orders[[#This Row],[CustomerID]],Customers[CustomerID],Customers[City])</f>
        <v>Georgia</v>
      </c>
      <c r="P1732" t="str">
        <f>_xlfn.XLOOKUP(Orders[[#This Row],[CustomerID]],Customers[CustomerID],Customers[Gender])</f>
        <v>Female</v>
      </c>
      <c r="Q1732">
        <f>_xlfn.XLOOKUP(Orders[[#This Row],[CustomerID]],Customers[CustomerID],Customers[CustomerAge])</f>
        <v>31</v>
      </c>
      <c r="R1732" t="str">
        <f>IF(Orders[[#This Row],[CustomerAge]]&gt;=35, "Older", "Young")</f>
        <v>Young</v>
      </c>
      <c r="S1732" t="str">
        <f>_xlfn.XLOOKUP(Orders[[#This Row],[ProductID]],Products[ProductID],Products[ProductName])</f>
        <v>Sneakers</v>
      </c>
      <c r="T1732" t="str">
        <f>_xlfn.XLOOKUP(Orders[[#This Row],[ProductID]],Products[ProductID],Products[Category])</f>
        <v>Sports</v>
      </c>
    </row>
    <row r="1733" spans="1:20" x14ac:dyDescent="0.25">
      <c r="A1733" s="4" t="s">
        <v>1922</v>
      </c>
      <c r="B1733" s="5">
        <v>45985</v>
      </c>
      <c r="C1733" s="15">
        <f>WEEKNUM(Orders[[#This Row],[OrderDate]])</f>
        <v>48</v>
      </c>
      <c r="D1733" s="15" t="str">
        <f>TEXT(Orders[[#This Row],[OrderDate]],"mmmm")</f>
        <v>November</v>
      </c>
      <c r="E1733" s="4" t="s">
        <v>564</v>
      </c>
      <c r="F1733" s="4" t="s">
        <v>125</v>
      </c>
      <c r="G1733" s="4">
        <v>9</v>
      </c>
      <c r="H1733" s="12">
        <v>927.90000000000009</v>
      </c>
      <c r="I1733" s="13">
        <v>788.71500000000015</v>
      </c>
      <c r="J1733" s="13">
        <f>Orders[[#This Row],[Quantity]]*Orders[[#This Row],[Selling Price]]</f>
        <v>8351.1</v>
      </c>
      <c r="K1733" s="13">
        <f>Orders[[#This Row],[Quantity]]*Orders[[#This Row],[Cost Price]]</f>
        <v>7098.4350000000013</v>
      </c>
      <c r="L1733" s="13">
        <f>Orders[[#This Row],[Revenue]]-Orders[[#This Row],[Expenses]]</f>
        <v>1252.6649999999991</v>
      </c>
      <c r="M1733" t="s">
        <v>2203</v>
      </c>
      <c r="N1733" t="str">
        <f>_xlfn.XLOOKUP(Orders[[#This Row],[CustomerID]],Customers[CustomerID],Customers[CustomerName])</f>
        <v>Blessing Eze</v>
      </c>
      <c r="O1733" t="str">
        <f>_xlfn.XLOOKUP(Orders[[#This Row],[CustomerID]],Customers[CustomerID],Customers[City])</f>
        <v>Georgia</v>
      </c>
      <c r="P1733" t="str">
        <f>_xlfn.XLOOKUP(Orders[[#This Row],[CustomerID]],Customers[CustomerID],Customers[Gender])</f>
        <v>Female</v>
      </c>
      <c r="Q1733">
        <f>_xlfn.XLOOKUP(Orders[[#This Row],[CustomerID]],Customers[CustomerID],Customers[CustomerAge])</f>
        <v>19</v>
      </c>
      <c r="R1733" t="str">
        <f>IF(Orders[[#This Row],[CustomerAge]]&gt;=35, "Older", "Young")</f>
        <v>Young</v>
      </c>
      <c r="S1733" t="str">
        <f>_xlfn.XLOOKUP(Orders[[#This Row],[ProductID]],Products[ProductID],Products[ProductName])</f>
        <v>Earrings</v>
      </c>
      <c r="T1733" t="str">
        <f>_xlfn.XLOOKUP(Orders[[#This Row],[ProductID]],Products[ProductID],Products[Category])</f>
        <v>Accessories</v>
      </c>
    </row>
    <row r="1734" spans="1:20" x14ac:dyDescent="0.25">
      <c r="A1734" s="4" t="s">
        <v>1923</v>
      </c>
      <c r="B1734" s="5">
        <v>45964</v>
      </c>
      <c r="C1734" s="15">
        <f>WEEKNUM(Orders[[#This Row],[OrderDate]])</f>
        <v>45</v>
      </c>
      <c r="D1734" s="15" t="str">
        <f>TEXT(Orders[[#This Row],[OrderDate]],"mmmm")</f>
        <v>November</v>
      </c>
      <c r="E1734" s="4" t="s">
        <v>383</v>
      </c>
      <c r="F1734" s="4" t="s">
        <v>111</v>
      </c>
      <c r="G1734" s="4">
        <v>4</v>
      </c>
      <c r="H1734" s="12">
        <v>10863.3</v>
      </c>
      <c r="I1734" s="13">
        <v>9233.8050000000003</v>
      </c>
      <c r="J1734" s="13">
        <f>Orders[[#This Row],[Quantity]]*Orders[[#This Row],[Selling Price]]</f>
        <v>43453.2</v>
      </c>
      <c r="K1734" s="13">
        <f>Orders[[#This Row],[Quantity]]*Orders[[#This Row],[Cost Price]]</f>
        <v>36935.22</v>
      </c>
      <c r="L1734" s="13">
        <f>Orders[[#This Row],[Revenue]]-Orders[[#This Row],[Expenses]]</f>
        <v>6517.9799999999959</v>
      </c>
      <c r="M1734" t="s">
        <v>2197</v>
      </c>
      <c r="N1734" t="str">
        <f>_xlfn.XLOOKUP(Orders[[#This Row],[CustomerID]],Customers[CustomerID],Customers[CustomerName])</f>
        <v>Ibrahim Balogun</v>
      </c>
      <c r="O1734" t="str">
        <f>_xlfn.XLOOKUP(Orders[[#This Row],[CustomerID]],Customers[CustomerID],Customers[City])</f>
        <v>Florida</v>
      </c>
      <c r="P1734" t="str">
        <f>_xlfn.XLOOKUP(Orders[[#This Row],[CustomerID]],Customers[CustomerID],Customers[Gender])</f>
        <v>Male</v>
      </c>
      <c r="Q1734">
        <f>_xlfn.XLOOKUP(Orders[[#This Row],[CustomerID]],Customers[CustomerID],Customers[CustomerAge])</f>
        <v>27</v>
      </c>
      <c r="R1734" t="str">
        <f>IF(Orders[[#This Row],[CustomerAge]]&gt;=35, "Older", "Young")</f>
        <v>Young</v>
      </c>
      <c r="S1734" t="str">
        <f>_xlfn.XLOOKUP(Orders[[#This Row],[ProductID]],Products[ProductID],Products[ProductName])</f>
        <v>Refrigerator</v>
      </c>
      <c r="T1734" t="str">
        <f>_xlfn.XLOOKUP(Orders[[#This Row],[ProductID]],Products[ProductID],Products[Category])</f>
        <v>Electronics</v>
      </c>
    </row>
    <row r="1735" spans="1:20" x14ac:dyDescent="0.25">
      <c r="A1735" s="4" t="s">
        <v>1924</v>
      </c>
      <c r="B1735" s="5">
        <v>46011</v>
      </c>
      <c r="C1735" s="15">
        <f>WEEKNUM(Orders[[#This Row],[OrderDate]])</f>
        <v>51</v>
      </c>
      <c r="D1735" s="15" t="str">
        <f>TEXT(Orders[[#This Row],[OrderDate]],"mmmm")</f>
        <v>December</v>
      </c>
      <c r="E1735" s="4" t="s">
        <v>426</v>
      </c>
      <c r="F1735" s="4" t="s">
        <v>92</v>
      </c>
      <c r="G1735" s="4">
        <v>7</v>
      </c>
      <c r="H1735" s="12">
        <v>18110.2</v>
      </c>
      <c r="I1735" s="13">
        <v>15393.67</v>
      </c>
      <c r="J1735" s="13">
        <f>Orders[[#This Row],[Quantity]]*Orders[[#This Row],[Selling Price]]</f>
        <v>126771.40000000001</v>
      </c>
      <c r="K1735" s="13">
        <f>Orders[[#This Row],[Quantity]]*Orders[[#This Row],[Cost Price]]</f>
        <v>107755.69</v>
      </c>
      <c r="L1735" s="13">
        <f>Orders[[#This Row],[Revenue]]-Orders[[#This Row],[Expenses]]</f>
        <v>19015.710000000006</v>
      </c>
      <c r="M1735" t="s">
        <v>2212</v>
      </c>
      <c r="N1735" t="str">
        <f>_xlfn.XLOOKUP(Orders[[#This Row],[CustomerID]],Customers[CustomerID],Customers[CustomerName])</f>
        <v>Chinedu Ojo</v>
      </c>
      <c r="O1735" t="str">
        <f>_xlfn.XLOOKUP(Orders[[#This Row],[CustomerID]],Customers[CustomerID],Customers[City])</f>
        <v>Washington</v>
      </c>
      <c r="P1735" t="str">
        <f>_xlfn.XLOOKUP(Orders[[#This Row],[CustomerID]],Customers[CustomerID],Customers[Gender])</f>
        <v>Male</v>
      </c>
      <c r="Q1735">
        <f>_xlfn.XLOOKUP(Orders[[#This Row],[CustomerID]],Customers[CustomerID],Customers[CustomerAge])</f>
        <v>18</v>
      </c>
      <c r="R1735" t="str">
        <f>IF(Orders[[#This Row],[CustomerAge]]&gt;=35, "Older", "Young")</f>
        <v>Young</v>
      </c>
      <c r="S1735" t="str">
        <f>_xlfn.XLOOKUP(Orders[[#This Row],[ProductID]],Products[ProductID],Products[ProductName])</f>
        <v>Chest Expander</v>
      </c>
      <c r="T1735" t="str">
        <f>_xlfn.XLOOKUP(Orders[[#This Row],[ProductID]],Products[ProductID],Products[Category])</f>
        <v>Gym</v>
      </c>
    </row>
    <row r="1736" spans="1:20" x14ac:dyDescent="0.25">
      <c r="A1736" s="4" t="s">
        <v>1925</v>
      </c>
      <c r="B1736" s="5">
        <v>45955</v>
      </c>
      <c r="C1736" s="15">
        <f>WEEKNUM(Orders[[#This Row],[OrderDate]])</f>
        <v>43</v>
      </c>
      <c r="D1736" s="15" t="str">
        <f>TEXT(Orders[[#This Row],[OrderDate]],"mmmm")</f>
        <v>October</v>
      </c>
      <c r="E1736" s="4" t="s">
        <v>833</v>
      </c>
      <c r="F1736" s="4" t="s">
        <v>151</v>
      </c>
      <c r="G1736" s="4">
        <v>8</v>
      </c>
      <c r="H1736" s="12">
        <v>7613.0999999999995</v>
      </c>
      <c r="I1736" s="13">
        <v>6471.1349999999993</v>
      </c>
      <c r="J1736" s="13">
        <f>Orders[[#This Row],[Quantity]]*Orders[[#This Row],[Selling Price]]</f>
        <v>60904.799999999996</v>
      </c>
      <c r="K1736" s="13">
        <f>Orders[[#This Row],[Quantity]]*Orders[[#This Row],[Cost Price]]</f>
        <v>51769.079999999994</v>
      </c>
      <c r="L1736" s="13">
        <f>Orders[[#This Row],[Revenue]]-Orders[[#This Row],[Expenses]]</f>
        <v>9135.7200000000012</v>
      </c>
      <c r="M1736" t="s">
        <v>2210</v>
      </c>
      <c r="N1736" t="str">
        <f>_xlfn.XLOOKUP(Orders[[#This Row],[CustomerID]],Customers[CustomerID],Customers[CustomerName])</f>
        <v>Abiola Adeyemi</v>
      </c>
      <c r="O1736" t="str">
        <f>_xlfn.XLOOKUP(Orders[[#This Row],[CustomerID]],Customers[CustomerID],Customers[City])</f>
        <v>Washington</v>
      </c>
      <c r="P1736" t="str">
        <f>_xlfn.XLOOKUP(Orders[[#This Row],[CustomerID]],Customers[CustomerID],Customers[Gender])</f>
        <v>Male</v>
      </c>
      <c r="Q1736">
        <f>_xlfn.XLOOKUP(Orders[[#This Row],[CustomerID]],Customers[CustomerID],Customers[CustomerAge])</f>
        <v>53</v>
      </c>
      <c r="R1736" t="str">
        <f>IF(Orders[[#This Row],[CustomerAge]]&gt;=35, "Older", "Young")</f>
        <v>Older</v>
      </c>
      <c r="S1736" t="str">
        <f>_xlfn.XLOOKUP(Orders[[#This Row],[ProductID]],Products[ProductID],Products[ProductName])</f>
        <v>Checkers</v>
      </c>
      <c r="T1736" t="str">
        <f>_xlfn.XLOOKUP(Orders[[#This Row],[ProductID]],Products[ProductID],Products[Category])</f>
        <v>Games</v>
      </c>
    </row>
    <row r="1737" spans="1:20" x14ac:dyDescent="0.25">
      <c r="A1737" s="4" t="s">
        <v>1926</v>
      </c>
      <c r="B1737" s="5">
        <v>46001</v>
      </c>
      <c r="C1737" s="15">
        <f>WEEKNUM(Orders[[#This Row],[OrderDate]])</f>
        <v>50</v>
      </c>
      <c r="D1737" s="15" t="str">
        <f>TEXT(Orders[[#This Row],[OrderDate]],"mmmm")</f>
        <v>December</v>
      </c>
      <c r="E1737" s="4" t="s">
        <v>203</v>
      </c>
      <c r="F1737" s="4" t="s">
        <v>34</v>
      </c>
      <c r="G1737" s="4">
        <v>10</v>
      </c>
      <c r="H1737" s="12">
        <v>16479.900000000001</v>
      </c>
      <c r="I1737" s="13">
        <v>14007.915000000001</v>
      </c>
      <c r="J1737" s="13">
        <f>Orders[[#This Row],[Quantity]]*Orders[[#This Row],[Selling Price]]</f>
        <v>164799</v>
      </c>
      <c r="K1737" s="13">
        <f>Orders[[#This Row],[Quantity]]*Orders[[#This Row],[Cost Price]]</f>
        <v>140079.15000000002</v>
      </c>
      <c r="L1737" s="13">
        <f>Orders[[#This Row],[Revenue]]-Orders[[#This Row],[Expenses]]</f>
        <v>24719.849999999977</v>
      </c>
      <c r="M1737" t="s">
        <v>2196</v>
      </c>
      <c r="N1737" t="str">
        <f>_xlfn.XLOOKUP(Orders[[#This Row],[CustomerID]],Customers[CustomerID],Customers[CustomerName])</f>
        <v>Okon Bello</v>
      </c>
      <c r="O1737" t="str">
        <f>_xlfn.XLOOKUP(Orders[[#This Row],[CustomerID]],Customers[CustomerID],Customers[City])</f>
        <v>Texas</v>
      </c>
      <c r="P1737" t="str">
        <f>_xlfn.XLOOKUP(Orders[[#This Row],[CustomerID]],Customers[CustomerID],Customers[Gender])</f>
        <v>Male</v>
      </c>
      <c r="Q1737">
        <f>_xlfn.XLOOKUP(Orders[[#This Row],[CustomerID]],Customers[CustomerID],Customers[CustomerAge])</f>
        <v>20</v>
      </c>
      <c r="R1737" t="str">
        <f>IF(Orders[[#This Row],[CustomerAge]]&gt;=35, "Older", "Young")</f>
        <v>Young</v>
      </c>
      <c r="S1737" t="str">
        <f>_xlfn.XLOOKUP(Orders[[#This Row],[ProductID]],Products[ProductID],Products[ProductName])</f>
        <v>Gold Bracelets</v>
      </c>
      <c r="T1737" t="str">
        <f>_xlfn.XLOOKUP(Orders[[#This Row],[ProductID]],Products[ProductID],Products[Category])</f>
        <v>Accessories</v>
      </c>
    </row>
    <row r="1738" spans="1:20" x14ac:dyDescent="0.25">
      <c r="A1738" s="4" t="s">
        <v>1927</v>
      </c>
      <c r="B1738" s="5">
        <v>46009</v>
      </c>
      <c r="C1738" s="15">
        <f>WEEKNUM(Orders[[#This Row],[OrderDate]])</f>
        <v>51</v>
      </c>
      <c r="D1738" s="15" t="str">
        <f>TEXT(Orders[[#This Row],[OrderDate]],"mmmm")</f>
        <v>December</v>
      </c>
      <c r="E1738" s="4" t="s">
        <v>11</v>
      </c>
      <c r="F1738" s="4" t="s">
        <v>34</v>
      </c>
      <c r="G1738" s="4">
        <v>3</v>
      </c>
      <c r="H1738" s="12">
        <v>1324.5</v>
      </c>
      <c r="I1738" s="13">
        <v>1125.825</v>
      </c>
      <c r="J1738" s="13">
        <f>Orders[[#This Row],[Quantity]]*Orders[[#This Row],[Selling Price]]</f>
        <v>3973.5</v>
      </c>
      <c r="K1738" s="13">
        <f>Orders[[#This Row],[Quantity]]*Orders[[#This Row],[Cost Price]]</f>
        <v>3377.4750000000004</v>
      </c>
      <c r="L1738" s="13">
        <f>Orders[[#This Row],[Revenue]]-Orders[[#This Row],[Expenses]]</f>
        <v>596.02499999999964</v>
      </c>
      <c r="M1738" t="s">
        <v>2195</v>
      </c>
      <c r="N1738" t="str">
        <f>_xlfn.XLOOKUP(Orders[[#This Row],[CustomerID]],Customers[CustomerID],Customers[CustomerName])</f>
        <v>Efe Ojo</v>
      </c>
      <c r="O1738" t="str">
        <f>_xlfn.XLOOKUP(Orders[[#This Row],[CustomerID]],Customers[CustomerID],Customers[City])</f>
        <v>Texas</v>
      </c>
      <c r="P1738" t="str">
        <f>_xlfn.XLOOKUP(Orders[[#This Row],[CustomerID]],Customers[CustomerID],Customers[Gender])</f>
        <v>Female</v>
      </c>
      <c r="Q1738">
        <f>_xlfn.XLOOKUP(Orders[[#This Row],[CustomerID]],Customers[CustomerID],Customers[CustomerAge])</f>
        <v>55</v>
      </c>
      <c r="R1738" t="str">
        <f>IF(Orders[[#This Row],[CustomerAge]]&gt;=35, "Older", "Young")</f>
        <v>Older</v>
      </c>
      <c r="S1738" t="str">
        <f>_xlfn.XLOOKUP(Orders[[#This Row],[ProductID]],Products[ProductID],Products[ProductName])</f>
        <v>Gold Bracelets</v>
      </c>
      <c r="T1738" t="str">
        <f>_xlfn.XLOOKUP(Orders[[#This Row],[ProductID]],Products[ProductID],Products[Category])</f>
        <v>Accessories</v>
      </c>
    </row>
    <row r="1739" spans="1:20" x14ac:dyDescent="0.25">
      <c r="A1739" s="4" t="s">
        <v>1928</v>
      </c>
      <c r="B1739" s="5">
        <v>45988</v>
      </c>
      <c r="C1739" s="15">
        <f>WEEKNUM(Orders[[#This Row],[OrderDate]])</f>
        <v>48</v>
      </c>
      <c r="D1739" s="15" t="str">
        <f>TEXT(Orders[[#This Row],[OrderDate]],"mmmm")</f>
        <v>November</v>
      </c>
      <c r="E1739" s="4" t="s">
        <v>105</v>
      </c>
      <c r="F1739" s="4" t="s">
        <v>189</v>
      </c>
      <c r="G1739" s="4">
        <v>6</v>
      </c>
      <c r="H1739" s="12">
        <v>15448.4</v>
      </c>
      <c r="I1739" s="13">
        <v>13131.14</v>
      </c>
      <c r="J1739" s="13">
        <f>Orders[[#This Row],[Quantity]]*Orders[[#This Row],[Selling Price]]</f>
        <v>92690.4</v>
      </c>
      <c r="K1739" s="13">
        <f>Orders[[#This Row],[Quantity]]*Orders[[#This Row],[Cost Price]]</f>
        <v>78786.84</v>
      </c>
      <c r="L1739" s="13">
        <f>Orders[[#This Row],[Revenue]]-Orders[[#This Row],[Expenses]]</f>
        <v>13903.559999999998</v>
      </c>
      <c r="M1739" t="s">
        <v>2209</v>
      </c>
      <c r="N1739" t="str">
        <f>_xlfn.XLOOKUP(Orders[[#This Row],[CustomerID]],Customers[CustomerID],Customers[CustomerName])</f>
        <v>Folasade Adeyemi</v>
      </c>
      <c r="O1739" t="str">
        <f>_xlfn.XLOOKUP(Orders[[#This Row],[CustomerID]],Customers[CustomerID],Customers[City])</f>
        <v>Georgia</v>
      </c>
      <c r="P1739" t="str">
        <f>_xlfn.XLOOKUP(Orders[[#This Row],[CustomerID]],Customers[CustomerID],Customers[Gender])</f>
        <v>Female</v>
      </c>
      <c r="Q1739">
        <f>_xlfn.XLOOKUP(Orders[[#This Row],[CustomerID]],Customers[CustomerID],Customers[CustomerAge])</f>
        <v>42</v>
      </c>
      <c r="R1739" t="str">
        <f>IF(Orders[[#This Row],[CustomerAge]]&gt;=35, "Older", "Young")</f>
        <v>Older</v>
      </c>
      <c r="S1739" t="str">
        <f>_xlfn.XLOOKUP(Orders[[#This Row],[ProductID]],Products[ProductID],Products[ProductName])</f>
        <v>Scrabble</v>
      </c>
      <c r="T1739" t="str">
        <f>_xlfn.XLOOKUP(Orders[[#This Row],[ProductID]],Products[ProductID],Products[Category])</f>
        <v>Games</v>
      </c>
    </row>
    <row r="1740" spans="1:20" x14ac:dyDescent="0.25">
      <c r="A1740" s="4" t="s">
        <v>1929</v>
      </c>
      <c r="B1740" s="5">
        <v>45984</v>
      </c>
      <c r="C1740" s="15">
        <f>WEEKNUM(Orders[[#This Row],[OrderDate]])</f>
        <v>48</v>
      </c>
      <c r="D1740" s="15" t="str">
        <f>TEXT(Orders[[#This Row],[OrderDate]],"mmmm")</f>
        <v>November</v>
      </c>
      <c r="E1740" s="4" t="s">
        <v>87</v>
      </c>
      <c r="F1740" s="4" t="s">
        <v>34</v>
      </c>
      <c r="G1740" s="4">
        <v>7</v>
      </c>
      <c r="H1740" s="12">
        <v>8704.2999999999993</v>
      </c>
      <c r="I1740" s="13">
        <v>7398.6549999999997</v>
      </c>
      <c r="J1740" s="13">
        <f>Orders[[#This Row],[Quantity]]*Orders[[#This Row],[Selling Price]]</f>
        <v>60930.099999999991</v>
      </c>
      <c r="K1740" s="13">
        <f>Orders[[#This Row],[Quantity]]*Orders[[#This Row],[Cost Price]]</f>
        <v>51790.584999999999</v>
      </c>
      <c r="L1740" s="13">
        <f>Orders[[#This Row],[Revenue]]-Orders[[#This Row],[Expenses]]</f>
        <v>9139.5149999999921</v>
      </c>
      <c r="M1740" t="s">
        <v>2192</v>
      </c>
      <c r="N1740" t="str">
        <f>_xlfn.XLOOKUP(Orders[[#This Row],[CustomerID]],Customers[CustomerID],Customers[CustomerName])</f>
        <v>Efe Igwe</v>
      </c>
      <c r="O1740" t="str">
        <f>_xlfn.XLOOKUP(Orders[[#This Row],[CustomerID]],Customers[CustomerID],Customers[City])</f>
        <v>Illinois</v>
      </c>
      <c r="P1740" t="str">
        <f>_xlfn.XLOOKUP(Orders[[#This Row],[CustomerID]],Customers[CustomerID],Customers[Gender])</f>
        <v>Female</v>
      </c>
      <c r="Q1740">
        <f>_xlfn.XLOOKUP(Orders[[#This Row],[CustomerID]],Customers[CustomerID],Customers[CustomerAge])</f>
        <v>34</v>
      </c>
      <c r="R1740" t="str">
        <f>IF(Orders[[#This Row],[CustomerAge]]&gt;=35, "Older", "Young")</f>
        <v>Young</v>
      </c>
      <c r="S1740" t="str">
        <f>_xlfn.XLOOKUP(Orders[[#This Row],[ProductID]],Products[ProductID],Products[ProductName])</f>
        <v>Gold Bracelets</v>
      </c>
      <c r="T1740" t="str">
        <f>_xlfn.XLOOKUP(Orders[[#This Row],[ProductID]],Products[ProductID],Products[Category])</f>
        <v>Accessories</v>
      </c>
    </row>
    <row r="1741" spans="1:20" x14ac:dyDescent="0.25">
      <c r="A1741" s="4" t="s">
        <v>1930</v>
      </c>
      <c r="B1741" s="5">
        <v>45950</v>
      </c>
      <c r="C1741" s="15">
        <f>WEEKNUM(Orders[[#This Row],[OrderDate]])</f>
        <v>43</v>
      </c>
      <c r="D1741" s="15" t="str">
        <f>TEXT(Orders[[#This Row],[OrderDate]],"mmmm")</f>
        <v>October</v>
      </c>
      <c r="E1741" s="4" t="s">
        <v>327</v>
      </c>
      <c r="F1741" s="4" t="s">
        <v>34</v>
      </c>
      <c r="G1741" s="4">
        <v>6</v>
      </c>
      <c r="H1741" s="12">
        <v>3547.9</v>
      </c>
      <c r="I1741" s="13">
        <v>3015.7150000000001</v>
      </c>
      <c r="J1741" s="13">
        <f>Orders[[#This Row],[Quantity]]*Orders[[#This Row],[Selling Price]]</f>
        <v>21287.4</v>
      </c>
      <c r="K1741" s="13">
        <f>Orders[[#This Row],[Quantity]]*Orders[[#This Row],[Cost Price]]</f>
        <v>18094.29</v>
      </c>
      <c r="L1741" s="13">
        <f>Orders[[#This Row],[Revenue]]-Orders[[#This Row],[Expenses]]</f>
        <v>3193.1100000000006</v>
      </c>
      <c r="M1741" t="s">
        <v>2206</v>
      </c>
      <c r="N1741" t="str">
        <f>_xlfn.XLOOKUP(Orders[[#This Row],[CustomerID]],Customers[CustomerID],Customers[CustomerName])</f>
        <v>Folasade Ojo</v>
      </c>
      <c r="O1741" t="str">
        <f>_xlfn.XLOOKUP(Orders[[#This Row],[CustomerID]],Customers[CustomerID],Customers[City])</f>
        <v>Washington</v>
      </c>
      <c r="P1741" t="str">
        <f>_xlfn.XLOOKUP(Orders[[#This Row],[CustomerID]],Customers[CustomerID],Customers[Gender])</f>
        <v>Female</v>
      </c>
      <c r="Q1741">
        <f>_xlfn.XLOOKUP(Orders[[#This Row],[CustomerID]],Customers[CustomerID],Customers[CustomerAge])</f>
        <v>24</v>
      </c>
      <c r="R1741" t="str">
        <f>IF(Orders[[#This Row],[CustomerAge]]&gt;=35, "Older", "Young")</f>
        <v>Young</v>
      </c>
      <c r="S1741" t="str">
        <f>_xlfn.XLOOKUP(Orders[[#This Row],[ProductID]],Products[ProductID],Products[ProductName])</f>
        <v>Gold Bracelets</v>
      </c>
      <c r="T1741" t="str">
        <f>_xlfn.XLOOKUP(Orders[[#This Row],[ProductID]],Products[ProductID],Products[Category])</f>
        <v>Accessories</v>
      </c>
    </row>
    <row r="1742" spans="1:20" x14ac:dyDescent="0.25">
      <c r="A1742" s="4" t="s">
        <v>1931</v>
      </c>
      <c r="B1742" s="5">
        <v>46003</v>
      </c>
      <c r="C1742" s="15">
        <f>WEEKNUM(Orders[[#This Row],[OrderDate]])</f>
        <v>50</v>
      </c>
      <c r="D1742" s="15" t="str">
        <f>TEXT(Orders[[#This Row],[OrderDate]],"mmmm")</f>
        <v>December</v>
      </c>
      <c r="E1742" s="4" t="s">
        <v>307</v>
      </c>
      <c r="F1742" s="4" t="s">
        <v>23</v>
      </c>
      <c r="G1742" s="4">
        <v>1</v>
      </c>
      <c r="H1742" s="12">
        <v>13105.1</v>
      </c>
      <c r="I1742" s="13">
        <v>11139.335000000001</v>
      </c>
      <c r="J1742" s="13">
        <f>Orders[[#This Row],[Quantity]]*Orders[[#This Row],[Selling Price]]</f>
        <v>13105.1</v>
      </c>
      <c r="K1742" s="13">
        <f>Orders[[#This Row],[Quantity]]*Orders[[#This Row],[Cost Price]]</f>
        <v>11139.335000000001</v>
      </c>
      <c r="L1742" s="13">
        <f>Orders[[#This Row],[Revenue]]-Orders[[#This Row],[Expenses]]</f>
        <v>1965.7649999999994</v>
      </c>
      <c r="M1742" t="s">
        <v>2208</v>
      </c>
      <c r="N1742" t="str">
        <f>_xlfn.XLOOKUP(Orders[[#This Row],[CustomerID]],Customers[CustomerID],Customers[CustomerName])</f>
        <v>Adanma Bello</v>
      </c>
      <c r="O1742" t="str">
        <f>_xlfn.XLOOKUP(Orders[[#This Row],[CustomerID]],Customers[CustomerID],Customers[City])</f>
        <v>Illinois</v>
      </c>
      <c r="P1742" t="str">
        <f>_xlfn.XLOOKUP(Orders[[#This Row],[CustomerID]],Customers[CustomerID],Customers[Gender])</f>
        <v>Female</v>
      </c>
      <c r="Q1742">
        <f>_xlfn.XLOOKUP(Orders[[#This Row],[CustomerID]],Customers[CustomerID],Customers[CustomerAge])</f>
        <v>51</v>
      </c>
      <c r="R1742" t="str">
        <f>IF(Orders[[#This Row],[CustomerAge]]&gt;=35, "Older", "Young")</f>
        <v>Older</v>
      </c>
      <c r="S1742" t="str">
        <f>_xlfn.XLOOKUP(Orders[[#This Row],[ProductID]],Products[ProductID],Products[ProductName])</f>
        <v>Gym Gloves</v>
      </c>
      <c r="T1742" t="str">
        <f>_xlfn.XLOOKUP(Orders[[#This Row],[ProductID]],Products[ProductID],Products[Category])</f>
        <v>Gym</v>
      </c>
    </row>
    <row r="1743" spans="1:20" x14ac:dyDescent="0.25">
      <c r="A1743" s="4" t="s">
        <v>1932</v>
      </c>
      <c r="B1743" s="5">
        <v>45948</v>
      </c>
      <c r="C1743" s="15">
        <f>WEEKNUM(Orders[[#This Row],[OrderDate]])</f>
        <v>42</v>
      </c>
      <c r="D1743" s="15" t="str">
        <f>TEXT(Orders[[#This Row],[OrderDate]],"mmmm")</f>
        <v>October</v>
      </c>
      <c r="E1743" s="4" t="s">
        <v>237</v>
      </c>
      <c r="F1743" s="4" t="s">
        <v>66</v>
      </c>
      <c r="G1743" s="4">
        <v>3</v>
      </c>
      <c r="H1743" s="12">
        <v>9276.9000000000015</v>
      </c>
      <c r="I1743" s="13">
        <v>7885.3650000000016</v>
      </c>
      <c r="J1743" s="13">
        <f>Orders[[#This Row],[Quantity]]*Orders[[#This Row],[Selling Price]]</f>
        <v>27830.700000000004</v>
      </c>
      <c r="K1743" s="13">
        <f>Orders[[#This Row],[Quantity]]*Orders[[#This Row],[Cost Price]]</f>
        <v>23656.095000000005</v>
      </c>
      <c r="L1743" s="13">
        <f>Orders[[#This Row],[Revenue]]-Orders[[#This Row],[Expenses]]</f>
        <v>4174.6049999999996</v>
      </c>
      <c r="M1743" t="s">
        <v>2204</v>
      </c>
      <c r="N1743" t="str">
        <f>_xlfn.XLOOKUP(Orders[[#This Row],[CustomerID]],Customers[CustomerID],Customers[CustomerName])</f>
        <v>Ronke Danladi</v>
      </c>
      <c r="O1743" t="str">
        <f>_xlfn.XLOOKUP(Orders[[#This Row],[CustomerID]],Customers[CustomerID],Customers[City])</f>
        <v>Florida</v>
      </c>
      <c r="P1743" t="str">
        <f>_xlfn.XLOOKUP(Orders[[#This Row],[CustomerID]],Customers[CustomerID],Customers[Gender])</f>
        <v>Female</v>
      </c>
      <c r="Q1743">
        <f>_xlfn.XLOOKUP(Orders[[#This Row],[CustomerID]],Customers[CustomerID],Customers[CustomerAge])</f>
        <v>25</v>
      </c>
      <c r="R1743" t="str">
        <f>IF(Orders[[#This Row],[CustomerAge]]&gt;=35, "Older", "Young")</f>
        <v>Young</v>
      </c>
      <c r="S1743" t="str">
        <f>_xlfn.XLOOKUP(Orders[[#This Row],[ProductID]],Products[ProductID],Products[ProductName])</f>
        <v>Microwave</v>
      </c>
      <c r="T1743" t="str">
        <f>_xlfn.XLOOKUP(Orders[[#This Row],[ProductID]],Products[ProductID],Products[Category])</f>
        <v>Electronics</v>
      </c>
    </row>
    <row r="1744" spans="1:20" x14ac:dyDescent="0.25">
      <c r="A1744" s="4" t="s">
        <v>1933</v>
      </c>
      <c r="B1744" s="5">
        <v>45937</v>
      </c>
      <c r="C1744" s="15">
        <f>WEEKNUM(Orders[[#This Row],[OrderDate]])</f>
        <v>41</v>
      </c>
      <c r="D1744" s="15" t="str">
        <f>TEXT(Orders[[#This Row],[OrderDate]],"mmmm")</f>
        <v>October</v>
      </c>
      <c r="E1744" s="4" t="s">
        <v>649</v>
      </c>
      <c r="F1744" s="4" t="s">
        <v>20</v>
      </c>
      <c r="G1744" s="4">
        <v>8</v>
      </c>
      <c r="H1744" s="12">
        <v>13237.2</v>
      </c>
      <c r="I1744" s="13">
        <v>11251.62</v>
      </c>
      <c r="J1744" s="13">
        <f>Orders[[#This Row],[Quantity]]*Orders[[#This Row],[Selling Price]]</f>
        <v>105897.60000000001</v>
      </c>
      <c r="K1744" s="13">
        <f>Orders[[#This Row],[Quantity]]*Orders[[#This Row],[Cost Price]]</f>
        <v>90012.96</v>
      </c>
      <c r="L1744" s="13">
        <f>Orders[[#This Row],[Revenue]]-Orders[[#This Row],[Expenses]]</f>
        <v>15884.64</v>
      </c>
      <c r="M1744" t="s">
        <v>2202</v>
      </c>
      <c r="N1744" t="str">
        <f>_xlfn.XLOOKUP(Orders[[#This Row],[CustomerID]],Customers[CustomerID],Customers[CustomerName])</f>
        <v>Bisi Abubakar</v>
      </c>
      <c r="O1744" t="str">
        <f>_xlfn.XLOOKUP(Orders[[#This Row],[CustomerID]],Customers[CustomerID],Customers[City])</f>
        <v>Washington</v>
      </c>
      <c r="P1744" t="str">
        <f>_xlfn.XLOOKUP(Orders[[#This Row],[CustomerID]],Customers[CustomerID],Customers[Gender])</f>
        <v>Female</v>
      </c>
      <c r="Q1744">
        <f>_xlfn.XLOOKUP(Orders[[#This Row],[CustomerID]],Customers[CustomerID],Customers[CustomerAge])</f>
        <v>35</v>
      </c>
      <c r="R1744" t="str">
        <f>IF(Orders[[#This Row],[CustomerAge]]&gt;=35, "Older", "Young")</f>
        <v>Older</v>
      </c>
      <c r="S1744" t="str">
        <f>_xlfn.XLOOKUP(Orders[[#This Row],[ProductID]],Products[ProductID],Products[ProductName])</f>
        <v>Gym Bag</v>
      </c>
      <c r="T1744" t="str">
        <f>_xlfn.XLOOKUP(Orders[[#This Row],[ProductID]],Products[ProductID],Products[Category])</f>
        <v>Gym</v>
      </c>
    </row>
    <row r="1745" spans="1:20" x14ac:dyDescent="0.25">
      <c r="A1745" s="4" t="s">
        <v>1934</v>
      </c>
      <c r="B1745" s="5">
        <v>45967</v>
      </c>
      <c r="C1745" s="15">
        <f>WEEKNUM(Orders[[#This Row],[OrderDate]])</f>
        <v>45</v>
      </c>
      <c r="D1745" s="15" t="str">
        <f>TEXT(Orders[[#This Row],[OrderDate]],"mmmm")</f>
        <v>November</v>
      </c>
      <c r="E1745" s="4" t="s">
        <v>374</v>
      </c>
      <c r="F1745" s="4" t="s">
        <v>37</v>
      </c>
      <c r="G1745" s="4">
        <v>9</v>
      </c>
      <c r="H1745" s="12">
        <v>17426.099999999999</v>
      </c>
      <c r="I1745" s="13">
        <v>14812.184999999999</v>
      </c>
      <c r="J1745" s="13">
        <f>Orders[[#This Row],[Quantity]]*Orders[[#This Row],[Selling Price]]</f>
        <v>156834.9</v>
      </c>
      <c r="K1745" s="13">
        <f>Orders[[#This Row],[Quantity]]*Orders[[#This Row],[Cost Price]]</f>
        <v>133309.66500000001</v>
      </c>
      <c r="L1745" s="13">
        <f>Orders[[#This Row],[Revenue]]-Orders[[#This Row],[Expenses]]</f>
        <v>23525.234999999986</v>
      </c>
      <c r="M1745" t="s">
        <v>2220</v>
      </c>
      <c r="N1745" t="str">
        <f>_xlfn.XLOOKUP(Orders[[#This Row],[CustomerID]],Customers[CustomerID],Customers[CustomerName])</f>
        <v>Uche Okonkwo</v>
      </c>
      <c r="O1745" t="str">
        <f>_xlfn.XLOOKUP(Orders[[#This Row],[CustomerID]],Customers[CustomerID],Customers[City])</f>
        <v>Texas</v>
      </c>
      <c r="P1745" t="str">
        <f>_xlfn.XLOOKUP(Orders[[#This Row],[CustomerID]],Customers[CustomerID],Customers[Gender])</f>
        <v>Male</v>
      </c>
      <c r="Q1745">
        <f>_xlfn.XLOOKUP(Orders[[#This Row],[CustomerID]],Customers[CustomerID],Customers[CustomerAge])</f>
        <v>27</v>
      </c>
      <c r="R1745" t="str">
        <f>IF(Orders[[#This Row],[CustomerAge]]&gt;=35, "Older", "Young")</f>
        <v>Young</v>
      </c>
      <c r="S1745" t="str">
        <f>_xlfn.XLOOKUP(Orders[[#This Row],[ProductID]],Products[ProductID],Products[ProductName])</f>
        <v>Iron</v>
      </c>
      <c r="T1745" t="str">
        <f>_xlfn.XLOOKUP(Orders[[#This Row],[ProductID]],Products[ProductID],Products[Category])</f>
        <v>Electronics</v>
      </c>
    </row>
    <row r="1746" spans="1:20" x14ac:dyDescent="0.25">
      <c r="A1746" s="4" t="s">
        <v>1935</v>
      </c>
      <c r="B1746" s="5">
        <v>45971</v>
      </c>
      <c r="C1746" s="15">
        <f>WEEKNUM(Orders[[#This Row],[OrderDate]])</f>
        <v>46</v>
      </c>
      <c r="D1746" s="15" t="str">
        <f>TEXT(Orders[[#This Row],[OrderDate]],"mmmm")</f>
        <v>November</v>
      </c>
      <c r="E1746" s="4" t="s">
        <v>94</v>
      </c>
      <c r="F1746" s="4" t="s">
        <v>168</v>
      </c>
      <c r="G1746" s="4">
        <v>1</v>
      </c>
      <c r="H1746" s="12">
        <v>2626.3</v>
      </c>
      <c r="I1746" s="13">
        <v>2232.355</v>
      </c>
      <c r="J1746" s="13">
        <f>Orders[[#This Row],[Quantity]]*Orders[[#This Row],[Selling Price]]</f>
        <v>2626.3</v>
      </c>
      <c r="K1746" s="13">
        <f>Orders[[#This Row],[Quantity]]*Orders[[#This Row],[Cost Price]]</f>
        <v>2232.355</v>
      </c>
      <c r="L1746" s="13">
        <f>Orders[[#This Row],[Revenue]]-Orders[[#This Row],[Expenses]]</f>
        <v>393.94500000000016</v>
      </c>
      <c r="M1746" t="s">
        <v>2205</v>
      </c>
      <c r="N1746" t="str">
        <f>_xlfn.XLOOKUP(Orders[[#This Row],[CustomerID]],Customers[CustomerID],Customers[CustomerName])</f>
        <v>Uche Abubakar</v>
      </c>
      <c r="O1746" t="str">
        <f>_xlfn.XLOOKUP(Orders[[#This Row],[CustomerID]],Customers[CustomerID],Customers[City])</f>
        <v>Texas</v>
      </c>
      <c r="P1746" t="str">
        <f>_xlfn.XLOOKUP(Orders[[#This Row],[CustomerID]],Customers[CustomerID],Customers[Gender])</f>
        <v>Male</v>
      </c>
      <c r="Q1746">
        <f>_xlfn.XLOOKUP(Orders[[#This Row],[CustomerID]],Customers[CustomerID],Customers[CustomerAge])</f>
        <v>26</v>
      </c>
      <c r="R1746" t="str">
        <f>IF(Orders[[#This Row],[CustomerAge]]&gt;=35, "Older", "Young")</f>
        <v>Young</v>
      </c>
      <c r="S1746" t="str">
        <f>_xlfn.XLOOKUP(Orders[[#This Row],[ProductID]],Products[ProductID],Products[ProductName])</f>
        <v>Dumb Bells</v>
      </c>
      <c r="T1746" t="str">
        <f>_xlfn.XLOOKUP(Orders[[#This Row],[ProductID]],Products[ProductID],Products[Category])</f>
        <v>Gym</v>
      </c>
    </row>
    <row r="1747" spans="1:20" x14ac:dyDescent="0.25">
      <c r="A1747" s="4" t="s">
        <v>1936</v>
      </c>
      <c r="B1747" s="5">
        <v>46013</v>
      </c>
      <c r="C1747" s="15">
        <f>WEEKNUM(Orders[[#This Row],[OrderDate]])</f>
        <v>52</v>
      </c>
      <c r="D1747" s="15" t="str">
        <f>TEXT(Orders[[#This Row],[OrderDate]],"mmmm")</f>
        <v>December</v>
      </c>
      <c r="E1747" s="4" t="s">
        <v>214</v>
      </c>
      <c r="F1747" s="4" t="s">
        <v>70</v>
      </c>
      <c r="G1747" s="4">
        <v>10</v>
      </c>
      <c r="H1747" s="12">
        <v>16608.800000000003</v>
      </c>
      <c r="I1747" s="13">
        <v>14117.480000000003</v>
      </c>
      <c r="J1747" s="13">
        <f>Orders[[#This Row],[Quantity]]*Orders[[#This Row],[Selling Price]]</f>
        <v>166088.00000000003</v>
      </c>
      <c r="K1747" s="13">
        <f>Orders[[#This Row],[Quantity]]*Orders[[#This Row],[Cost Price]]</f>
        <v>141174.80000000005</v>
      </c>
      <c r="L1747" s="13">
        <f>Orders[[#This Row],[Revenue]]-Orders[[#This Row],[Expenses]]</f>
        <v>24913.199999999983</v>
      </c>
      <c r="M1747" t="s">
        <v>2220</v>
      </c>
      <c r="N1747" t="str">
        <f>_xlfn.XLOOKUP(Orders[[#This Row],[CustomerID]],Customers[CustomerID],Customers[CustomerName])</f>
        <v>Adanma Okonkwo</v>
      </c>
      <c r="O1747" t="str">
        <f>_xlfn.XLOOKUP(Orders[[#This Row],[CustomerID]],Customers[CustomerID],Customers[City])</f>
        <v>California</v>
      </c>
      <c r="P1747" t="str">
        <f>_xlfn.XLOOKUP(Orders[[#This Row],[CustomerID]],Customers[CustomerID],Customers[Gender])</f>
        <v>Female</v>
      </c>
      <c r="Q1747">
        <f>_xlfn.XLOOKUP(Orders[[#This Row],[CustomerID]],Customers[CustomerID],Customers[CustomerAge])</f>
        <v>20</v>
      </c>
      <c r="R1747" t="str">
        <f>IF(Orders[[#This Row],[CustomerAge]]&gt;=35, "Older", "Young")</f>
        <v>Young</v>
      </c>
      <c r="S1747" t="str">
        <f>_xlfn.XLOOKUP(Orders[[#This Row],[ProductID]],Products[ProductID],Products[ProductName])</f>
        <v>Yoga Mat</v>
      </c>
      <c r="T1747" t="str">
        <f>_xlfn.XLOOKUP(Orders[[#This Row],[ProductID]],Products[ProductID],Products[Category])</f>
        <v>Gym</v>
      </c>
    </row>
    <row r="1748" spans="1:20" x14ac:dyDescent="0.25">
      <c r="A1748" s="4" t="s">
        <v>1937</v>
      </c>
      <c r="B1748" s="5">
        <v>45944</v>
      </c>
      <c r="C1748" s="15">
        <f>WEEKNUM(Orders[[#This Row],[OrderDate]])</f>
        <v>42</v>
      </c>
      <c r="D1748" s="15" t="str">
        <f>TEXT(Orders[[#This Row],[OrderDate]],"mmmm")</f>
        <v>October</v>
      </c>
      <c r="E1748" s="4" t="s">
        <v>156</v>
      </c>
      <c r="F1748" s="4" t="s">
        <v>111</v>
      </c>
      <c r="G1748" s="4">
        <v>1</v>
      </c>
      <c r="H1748" s="12">
        <v>1943.8999999999999</v>
      </c>
      <c r="I1748" s="13">
        <v>1652.3149999999998</v>
      </c>
      <c r="J1748" s="13">
        <f>Orders[[#This Row],[Quantity]]*Orders[[#This Row],[Selling Price]]</f>
        <v>1943.8999999999999</v>
      </c>
      <c r="K1748" s="13">
        <f>Orders[[#This Row],[Quantity]]*Orders[[#This Row],[Cost Price]]</f>
        <v>1652.3149999999998</v>
      </c>
      <c r="L1748" s="13">
        <f>Orders[[#This Row],[Revenue]]-Orders[[#This Row],[Expenses]]</f>
        <v>291.58500000000004</v>
      </c>
      <c r="M1748" t="s">
        <v>2197</v>
      </c>
      <c r="N1748" t="str">
        <f>_xlfn.XLOOKUP(Orders[[#This Row],[CustomerID]],Customers[CustomerID],Customers[CustomerName])</f>
        <v>Obi Okonkwo</v>
      </c>
      <c r="O1748" t="str">
        <f>_xlfn.XLOOKUP(Orders[[#This Row],[CustomerID]],Customers[CustomerID],Customers[City])</f>
        <v>Florida</v>
      </c>
      <c r="P1748" t="str">
        <f>_xlfn.XLOOKUP(Orders[[#This Row],[CustomerID]],Customers[CustomerID],Customers[Gender])</f>
        <v>Male</v>
      </c>
      <c r="Q1748">
        <f>_xlfn.XLOOKUP(Orders[[#This Row],[CustomerID]],Customers[CustomerID],Customers[CustomerAge])</f>
        <v>52</v>
      </c>
      <c r="R1748" t="str">
        <f>IF(Orders[[#This Row],[CustomerAge]]&gt;=35, "Older", "Young")</f>
        <v>Older</v>
      </c>
      <c r="S1748" t="str">
        <f>_xlfn.XLOOKUP(Orders[[#This Row],[ProductID]],Products[ProductID],Products[ProductName])</f>
        <v>Refrigerator</v>
      </c>
      <c r="T1748" t="str">
        <f>_xlfn.XLOOKUP(Orders[[#This Row],[ProductID]],Products[ProductID],Products[Category])</f>
        <v>Electronics</v>
      </c>
    </row>
    <row r="1749" spans="1:20" x14ac:dyDescent="0.25">
      <c r="A1749" s="4" t="s">
        <v>1938</v>
      </c>
      <c r="B1749" s="5">
        <v>45994</v>
      </c>
      <c r="C1749" s="15">
        <f>WEEKNUM(Orders[[#This Row],[OrderDate]])</f>
        <v>49</v>
      </c>
      <c r="D1749" s="15" t="str">
        <f>TEXT(Orders[[#This Row],[OrderDate]],"mmmm")</f>
        <v>December</v>
      </c>
      <c r="E1749" s="4" t="s">
        <v>546</v>
      </c>
      <c r="F1749" s="4" t="s">
        <v>15</v>
      </c>
      <c r="G1749" s="4">
        <v>9</v>
      </c>
      <c r="H1749" s="12">
        <v>17531.199999999997</v>
      </c>
      <c r="I1749" s="13">
        <v>14901.519999999997</v>
      </c>
      <c r="J1749" s="13">
        <f>Orders[[#This Row],[Quantity]]*Orders[[#This Row],[Selling Price]]</f>
        <v>157780.79999999999</v>
      </c>
      <c r="K1749" s="13">
        <f>Orders[[#This Row],[Quantity]]*Orders[[#This Row],[Cost Price]]</f>
        <v>134113.67999999996</v>
      </c>
      <c r="L1749" s="13">
        <f>Orders[[#This Row],[Revenue]]-Orders[[#This Row],[Expenses]]</f>
        <v>23667.120000000024</v>
      </c>
      <c r="M1749" t="s">
        <v>2202</v>
      </c>
      <c r="N1749" t="str">
        <f>_xlfn.XLOOKUP(Orders[[#This Row],[CustomerID]],Customers[CustomerID],Customers[CustomerName])</f>
        <v>Bisi Eze</v>
      </c>
      <c r="O1749" t="str">
        <f>_xlfn.XLOOKUP(Orders[[#This Row],[CustomerID]],Customers[CustomerID],Customers[City])</f>
        <v>Texas</v>
      </c>
      <c r="P1749" t="str">
        <f>_xlfn.XLOOKUP(Orders[[#This Row],[CustomerID]],Customers[CustomerID],Customers[Gender])</f>
        <v>Female</v>
      </c>
      <c r="Q1749">
        <f>_xlfn.XLOOKUP(Orders[[#This Row],[CustomerID]],Customers[CustomerID],Customers[CustomerAge])</f>
        <v>32</v>
      </c>
      <c r="R1749" t="str">
        <f>IF(Orders[[#This Row],[CustomerAge]]&gt;=35, "Older", "Young")</f>
        <v>Young</v>
      </c>
      <c r="S1749" t="str">
        <f>_xlfn.XLOOKUP(Orders[[#This Row],[ProductID]],Products[ProductID],Products[ProductName])</f>
        <v>Monopoly</v>
      </c>
      <c r="T1749" t="str">
        <f>_xlfn.XLOOKUP(Orders[[#This Row],[ProductID]],Products[ProductID],Products[Category])</f>
        <v>Games</v>
      </c>
    </row>
    <row r="1750" spans="1:20" x14ac:dyDescent="0.25">
      <c r="A1750" s="4" t="s">
        <v>1939</v>
      </c>
      <c r="B1750" s="5">
        <v>45999</v>
      </c>
      <c r="C1750" s="15">
        <f>WEEKNUM(Orders[[#This Row],[OrderDate]])</f>
        <v>50</v>
      </c>
      <c r="D1750" s="15" t="str">
        <f>TEXT(Orders[[#This Row],[OrderDate]],"mmmm")</f>
        <v>December</v>
      </c>
      <c r="E1750" s="4" t="s">
        <v>305</v>
      </c>
      <c r="F1750" s="4" t="s">
        <v>168</v>
      </c>
      <c r="G1750" s="4">
        <v>8</v>
      </c>
      <c r="H1750" s="12">
        <v>3644.1000000000004</v>
      </c>
      <c r="I1750" s="13">
        <v>3097.4850000000006</v>
      </c>
      <c r="J1750" s="13">
        <f>Orders[[#This Row],[Quantity]]*Orders[[#This Row],[Selling Price]]</f>
        <v>29152.800000000003</v>
      </c>
      <c r="K1750" s="13">
        <f>Orders[[#This Row],[Quantity]]*Orders[[#This Row],[Cost Price]]</f>
        <v>24779.880000000005</v>
      </c>
      <c r="L1750" s="13">
        <f>Orders[[#This Row],[Revenue]]-Orders[[#This Row],[Expenses]]</f>
        <v>4372.9199999999983</v>
      </c>
      <c r="M1750" t="s">
        <v>2208</v>
      </c>
      <c r="N1750" t="str">
        <f>_xlfn.XLOOKUP(Orders[[#This Row],[CustomerID]],Customers[CustomerID],Customers[CustomerName])</f>
        <v>Tunde Danladi</v>
      </c>
      <c r="O1750" t="str">
        <f>_xlfn.XLOOKUP(Orders[[#This Row],[CustomerID]],Customers[CustomerID],Customers[City])</f>
        <v>California</v>
      </c>
      <c r="P1750" t="str">
        <f>_xlfn.XLOOKUP(Orders[[#This Row],[CustomerID]],Customers[CustomerID],Customers[Gender])</f>
        <v>Male</v>
      </c>
      <c r="Q1750">
        <f>_xlfn.XLOOKUP(Orders[[#This Row],[CustomerID]],Customers[CustomerID],Customers[CustomerAge])</f>
        <v>40</v>
      </c>
      <c r="R1750" t="str">
        <f>IF(Orders[[#This Row],[CustomerAge]]&gt;=35, "Older", "Young")</f>
        <v>Older</v>
      </c>
      <c r="S1750" t="str">
        <f>_xlfn.XLOOKUP(Orders[[#This Row],[ProductID]],Products[ProductID],Products[ProductName])</f>
        <v>Dumb Bells</v>
      </c>
      <c r="T1750" t="str">
        <f>_xlfn.XLOOKUP(Orders[[#This Row],[ProductID]],Products[ProductID],Products[Category])</f>
        <v>Gym</v>
      </c>
    </row>
    <row r="1751" spans="1:20" x14ac:dyDescent="0.25">
      <c r="A1751" s="4" t="s">
        <v>1940</v>
      </c>
      <c r="B1751" s="5">
        <v>45996</v>
      </c>
      <c r="C1751" s="15">
        <f>WEEKNUM(Orders[[#This Row],[OrderDate]])</f>
        <v>49</v>
      </c>
      <c r="D1751" s="15" t="str">
        <f>TEXT(Orders[[#This Row],[OrderDate]],"mmmm")</f>
        <v>December</v>
      </c>
      <c r="E1751" s="4" t="s">
        <v>14</v>
      </c>
      <c r="F1751" s="4" t="s">
        <v>189</v>
      </c>
      <c r="G1751" s="4">
        <v>5</v>
      </c>
      <c r="H1751" s="12">
        <v>7277.9</v>
      </c>
      <c r="I1751" s="13">
        <v>6186.2150000000001</v>
      </c>
      <c r="J1751" s="13">
        <f>Orders[[#This Row],[Quantity]]*Orders[[#This Row],[Selling Price]]</f>
        <v>36389.5</v>
      </c>
      <c r="K1751" s="13">
        <f>Orders[[#This Row],[Quantity]]*Orders[[#This Row],[Cost Price]]</f>
        <v>30931.075000000001</v>
      </c>
      <c r="L1751" s="13">
        <f>Orders[[#This Row],[Revenue]]-Orders[[#This Row],[Expenses]]</f>
        <v>5458.4249999999993</v>
      </c>
      <c r="M1751" t="s">
        <v>2207</v>
      </c>
      <c r="N1751" t="str">
        <f>_xlfn.XLOOKUP(Orders[[#This Row],[CustomerID]],Customers[CustomerID],Customers[CustomerName])</f>
        <v>Abiola Igwe</v>
      </c>
      <c r="O1751" t="str">
        <f>_xlfn.XLOOKUP(Orders[[#This Row],[CustomerID]],Customers[CustomerID],Customers[City])</f>
        <v>Texas</v>
      </c>
      <c r="P1751" t="str">
        <f>_xlfn.XLOOKUP(Orders[[#This Row],[CustomerID]],Customers[CustomerID],Customers[Gender])</f>
        <v>Male</v>
      </c>
      <c r="Q1751">
        <f>_xlfn.XLOOKUP(Orders[[#This Row],[CustomerID]],Customers[CustomerID],Customers[CustomerAge])</f>
        <v>39</v>
      </c>
      <c r="R1751" t="str">
        <f>IF(Orders[[#This Row],[CustomerAge]]&gt;=35, "Older", "Young")</f>
        <v>Older</v>
      </c>
      <c r="S1751" t="str">
        <f>_xlfn.XLOOKUP(Orders[[#This Row],[ProductID]],Products[ProductID],Products[ProductName])</f>
        <v>Scrabble</v>
      </c>
      <c r="T1751" t="str">
        <f>_xlfn.XLOOKUP(Orders[[#This Row],[ProductID]],Products[ProductID],Products[Category])</f>
        <v>Games</v>
      </c>
    </row>
    <row r="1752" spans="1:20" x14ac:dyDescent="0.25">
      <c r="A1752" s="4" t="s">
        <v>1941</v>
      </c>
      <c r="B1752" s="5">
        <v>45996</v>
      </c>
      <c r="C1752" s="15">
        <f>WEEKNUM(Orders[[#This Row],[OrderDate]])</f>
        <v>49</v>
      </c>
      <c r="D1752" s="15" t="str">
        <f>TEXT(Orders[[#This Row],[OrderDate]],"mmmm")</f>
        <v>December</v>
      </c>
      <c r="E1752" s="4" t="s">
        <v>11</v>
      </c>
      <c r="F1752" s="4" t="s">
        <v>15</v>
      </c>
      <c r="G1752" s="4">
        <v>3</v>
      </c>
      <c r="H1752" s="12">
        <v>14565.699999999999</v>
      </c>
      <c r="I1752" s="13">
        <v>12380.844999999999</v>
      </c>
      <c r="J1752" s="13">
        <f>Orders[[#This Row],[Quantity]]*Orders[[#This Row],[Selling Price]]</f>
        <v>43697.1</v>
      </c>
      <c r="K1752" s="13">
        <f>Orders[[#This Row],[Quantity]]*Orders[[#This Row],[Cost Price]]</f>
        <v>37142.534999999996</v>
      </c>
      <c r="L1752" s="13">
        <f>Orders[[#This Row],[Revenue]]-Orders[[#This Row],[Expenses]]</f>
        <v>6554.5650000000023</v>
      </c>
      <c r="M1752" t="s">
        <v>2210</v>
      </c>
      <c r="N1752" t="str">
        <f>_xlfn.XLOOKUP(Orders[[#This Row],[CustomerID]],Customers[CustomerID],Customers[CustomerName])</f>
        <v>Efe Ojo</v>
      </c>
      <c r="O1752" t="str">
        <f>_xlfn.XLOOKUP(Orders[[#This Row],[CustomerID]],Customers[CustomerID],Customers[City])</f>
        <v>Texas</v>
      </c>
      <c r="P1752" t="str">
        <f>_xlfn.XLOOKUP(Orders[[#This Row],[CustomerID]],Customers[CustomerID],Customers[Gender])</f>
        <v>Female</v>
      </c>
      <c r="Q1752">
        <f>_xlfn.XLOOKUP(Orders[[#This Row],[CustomerID]],Customers[CustomerID],Customers[CustomerAge])</f>
        <v>55</v>
      </c>
      <c r="R1752" t="str">
        <f>IF(Orders[[#This Row],[CustomerAge]]&gt;=35, "Older", "Young")</f>
        <v>Older</v>
      </c>
      <c r="S1752" t="str">
        <f>_xlfn.XLOOKUP(Orders[[#This Row],[ProductID]],Products[ProductID],Products[ProductName])</f>
        <v>Monopoly</v>
      </c>
      <c r="T1752" t="str">
        <f>_xlfn.XLOOKUP(Orders[[#This Row],[ProductID]],Products[ProductID],Products[Category])</f>
        <v>Games</v>
      </c>
    </row>
    <row r="1753" spans="1:20" x14ac:dyDescent="0.25">
      <c r="A1753" s="4" t="s">
        <v>1942</v>
      </c>
      <c r="B1753" s="5">
        <v>45980</v>
      </c>
      <c r="C1753" s="15">
        <f>WEEKNUM(Orders[[#This Row],[OrderDate]])</f>
        <v>47</v>
      </c>
      <c r="D1753" s="15" t="str">
        <f>TEXT(Orders[[#This Row],[OrderDate]],"mmmm")</f>
        <v>November</v>
      </c>
      <c r="E1753" s="4" t="s">
        <v>295</v>
      </c>
      <c r="F1753" s="4" t="s">
        <v>15</v>
      </c>
      <c r="G1753" s="4">
        <v>9</v>
      </c>
      <c r="H1753" s="12">
        <v>18679</v>
      </c>
      <c r="I1753" s="13">
        <v>15877.15</v>
      </c>
      <c r="J1753" s="13">
        <f>Orders[[#This Row],[Quantity]]*Orders[[#This Row],[Selling Price]]</f>
        <v>168111</v>
      </c>
      <c r="K1753" s="13">
        <f>Orders[[#This Row],[Quantity]]*Orders[[#This Row],[Cost Price]]</f>
        <v>142894.35</v>
      </c>
      <c r="L1753" s="13">
        <f>Orders[[#This Row],[Revenue]]-Orders[[#This Row],[Expenses]]</f>
        <v>25216.649999999994</v>
      </c>
      <c r="M1753" t="s">
        <v>2199</v>
      </c>
      <c r="N1753" t="str">
        <f>_xlfn.XLOOKUP(Orders[[#This Row],[CustomerID]],Customers[CustomerID],Customers[CustomerName])</f>
        <v>Sani Obi</v>
      </c>
      <c r="O1753" t="str">
        <f>_xlfn.XLOOKUP(Orders[[#This Row],[CustomerID]],Customers[CustomerID],Customers[City])</f>
        <v>Texas</v>
      </c>
      <c r="P1753" t="str">
        <f>_xlfn.XLOOKUP(Orders[[#This Row],[CustomerID]],Customers[CustomerID],Customers[Gender])</f>
        <v>Male</v>
      </c>
      <c r="Q1753">
        <f>_xlfn.XLOOKUP(Orders[[#This Row],[CustomerID]],Customers[CustomerID],Customers[CustomerAge])</f>
        <v>31</v>
      </c>
      <c r="R1753" t="str">
        <f>IF(Orders[[#This Row],[CustomerAge]]&gt;=35, "Older", "Young")</f>
        <v>Young</v>
      </c>
      <c r="S1753" t="str">
        <f>_xlfn.XLOOKUP(Orders[[#This Row],[ProductID]],Products[ProductID],Products[ProductName])</f>
        <v>Monopoly</v>
      </c>
      <c r="T1753" t="str">
        <f>_xlfn.XLOOKUP(Orders[[#This Row],[ProductID]],Products[ProductID],Products[Category])</f>
        <v>Games</v>
      </c>
    </row>
    <row r="1754" spans="1:20" x14ac:dyDescent="0.25">
      <c r="A1754" s="4" t="s">
        <v>1943</v>
      </c>
      <c r="B1754" s="5">
        <v>45947</v>
      </c>
      <c r="C1754" s="15">
        <f>WEEKNUM(Orders[[#This Row],[OrderDate]])</f>
        <v>42</v>
      </c>
      <c r="D1754" s="15" t="str">
        <f>TEXT(Orders[[#This Row],[OrderDate]],"mmmm")</f>
        <v>October</v>
      </c>
      <c r="E1754" s="4" t="s">
        <v>33</v>
      </c>
      <c r="F1754" s="4" t="s">
        <v>189</v>
      </c>
      <c r="G1754" s="4">
        <v>6</v>
      </c>
      <c r="H1754" s="12">
        <v>13533.199999999999</v>
      </c>
      <c r="I1754" s="13">
        <v>11503.22</v>
      </c>
      <c r="J1754" s="13">
        <f>Orders[[#This Row],[Quantity]]*Orders[[#This Row],[Selling Price]]</f>
        <v>81199.199999999997</v>
      </c>
      <c r="K1754" s="13">
        <f>Orders[[#This Row],[Quantity]]*Orders[[#This Row],[Cost Price]]</f>
        <v>69019.319999999992</v>
      </c>
      <c r="L1754" s="13">
        <f>Orders[[#This Row],[Revenue]]-Orders[[#This Row],[Expenses]]</f>
        <v>12179.880000000005</v>
      </c>
      <c r="M1754" t="s">
        <v>2196</v>
      </c>
      <c r="N1754" t="str">
        <f>_xlfn.XLOOKUP(Orders[[#This Row],[CustomerID]],Customers[CustomerID],Customers[CustomerName])</f>
        <v>Okon Balogun</v>
      </c>
      <c r="O1754" t="str">
        <f>_xlfn.XLOOKUP(Orders[[#This Row],[CustomerID]],Customers[CustomerID],Customers[City])</f>
        <v>Texas</v>
      </c>
      <c r="P1754" t="str">
        <f>_xlfn.XLOOKUP(Orders[[#This Row],[CustomerID]],Customers[CustomerID],Customers[Gender])</f>
        <v>Male</v>
      </c>
      <c r="Q1754">
        <f>_xlfn.XLOOKUP(Orders[[#This Row],[CustomerID]],Customers[CustomerID],Customers[CustomerAge])</f>
        <v>28</v>
      </c>
      <c r="R1754" t="str">
        <f>IF(Orders[[#This Row],[CustomerAge]]&gt;=35, "Older", "Young")</f>
        <v>Young</v>
      </c>
      <c r="S1754" t="str">
        <f>_xlfn.XLOOKUP(Orders[[#This Row],[ProductID]],Products[ProductID],Products[ProductName])</f>
        <v>Scrabble</v>
      </c>
      <c r="T1754" t="str">
        <f>_xlfn.XLOOKUP(Orders[[#This Row],[ProductID]],Products[ProductID],Products[Category])</f>
        <v>Games</v>
      </c>
    </row>
    <row r="1755" spans="1:20" x14ac:dyDescent="0.25">
      <c r="A1755" s="4" t="s">
        <v>1944</v>
      </c>
      <c r="B1755" s="5">
        <v>45966</v>
      </c>
      <c r="C1755" s="15">
        <f>WEEKNUM(Orders[[#This Row],[OrderDate]])</f>
        <v>45</v>
      </c>
      <c r="D1755" s="15" t="str">
        <f>TEXT(Orders[[#This Row],[OrderDate]],"mmmm")</f>
        <v>November</v>
      </c>
      <c r="E1755" s="4" t="s">
        <v>156</v>
      </c>
      <c r="F1755" s="4" t="s">
        <v>23</v>
      </c>
      <c r="G1755" s="4">
        <v>7</v>
      </c>
      <c r="H1755" s="12">
        <v>16552.099999999999</v>
      </c>
      <c r="I1755" s="13">
        <v>14069.285</v>
      </c>
      <c r="J1755" s="13">
        <f>Orders[[#This Row],[Quantity]]*Orders[[#This Row],[Selling Price]]</f>
        <v>115864.69999999998</v>
      </c>
      <c r="K1755" s="13">
        <f>Orders[[#This Row],[Quantity]]*Orders[[#This Row],[Cost Price]]</f>
        <v>98484.994999999995</v>
      </c>
      <c r="L1755" s="13">
        <f>Orders[[#This Row],[Revenue]]-Orders[[#This Row],[Expenses]]</f>
        <v>17379.704999999987</v>
      </c>
      <c r="M1755" t="s">
        <v>2194</v>
      </c>
      <c r="N1755" t="str">
        <f>_xlfn.XLOOKUP(Orders[[#This Row],[CustomerID]],Customers[CustomerID],Customers[CustomerName])</f>
        <v>Obi Okonkwo</v>
      </c>
      <c r="O1755" t="str">
        <f>_xlfn.XLOOKUP(Orders[[#This Row],[CustomerID]],Customers[CustomerID],Customers[City])</f>
        <v>Florida</v>
      </c>
      <c r="P1755" t="str">
        <f>_xlfn.XLOOKUP(Orders[[#This Row],[CustomerID]],Customers[CustomerID],Customers[Gender])</f>
        <v>Male</v>
      </c>
      <c r="Q1755">
        <f>_xlfn.XLOOKUP(Orders[[#This Row],[CustomerID]],Customers[CustomerID],Customers[CustomerAge])</f>
        <v>52</v>
      </c>
      <c r="R1755" t="str">
        <f>IF(Orders[[#This Row],[CustomerAge]]&gt;=35, "Older", "Young")</f>
        <v>Older</v>
      </c>
      <c r="S1755" t="str">
        <f>_xlfn.XLOOKUP(Orders[[#This Row],[ProductID]],Products[ProductID],Products[ProductName])</f>
        <v>Gym Gloves</v>
      </c>
      <c r="T1755" t="str">
        <f>_xlfn.XLOOKUP(Orders[[#This Row],[ProductID]],Products[ProductID],Products[Category])</f>
        <v>Gym</v>
      </c>
    </row>
    <row r="1756" spans="1:20" x14ac:dyDescent="0.25">
      <c r="A1756" s="4" t="s">
        <v>1945</v>
      </c>
      <c r="B1756" s="5">
        <v>45993</v>
      </c>
      <c r="C1756" s="15">
        <f>WEEKNUM(Orders[[#This Row],[OrderDate]])</f>
        <v>49</v>
      </c>
      <c r="D1756" s="15" t="str">
        <f>TEXT(Orders[[#This Row],[OrderDate]],"mmmm")</f>
        <v>December</v>
      </c>
      <c r="E1756" s="4" t="s">
        <v>481</v>
      </c>
      <c r="F1756" s="4" t="s">
        <v>92</v>
      </c>
      <c r="G1756" s="4">
        <v>9</v>
      </c>
      <c r="H1756" s="12">
        <v>1088.5999999999999</v>
      </c>
      <c r="I1756" s="13">
        <v>925.31</v>
      </c>
      <c r="J1756" s="13">
        <f>Orders[[#This Row],[Quantity]]*Orders[[#This Row],[Selling Price]]</f>
        <v>9797.4</v>
      </c>
      <c r="K1756" s="13">
        <f>Orders[[#This Row],[Quantity]]*Orders[[#This Row],[Cost Price]]</f>
        <v>8327.7899999999991</v>
      </c>
      <c r="L1756" s="13">
        <f>Orders[[#This Row],[Revenue]]-Orders[[#This Row],[Expenses]]</f>
        <v>1469.6100000000006</v>
      </c>
      <c r="M1756" t="s">
        <v>2197</v>
      </c>
      <c r="N1756" t="str">
        <f>_xlfn.XLOOKUP(Orders[[#This Row],[CustomerID]],Customers[CustomerID],Customers[CustomerName])</f>
        <v>Abiola Bello</v>
      </c>
      <c r="O1756" t="str">
        <f>_xlfn.XLOOKUP(Orders[[#This Row],[CustomerID]],Customers[CustomerID],Customers[City])</f>
        <v>Illinois</v>
      </c>
      <c r="P1756" t="str">
        <f>_xlfn.XLOOKUP(Orders[[#This Row],[CustomerID]],Customers[CustomerID],Customers[Gender])</f>
        <v>Male</v>
      </c>
      <c r="Q1756">
        <f>_xlfn.XLOOKUP(Orders[[#This Row],[CustomerID]],Customers[CustomerID],Customers[CustomerAge])</f>
        <v>33</v>
      </c>
      <c r="R1756" t="str">
        <f>IF(Orders[[#This Row],[CustomerAge]]&gt;=35, "Older", "Young")</f>
        <v>Young</v>
      </c>
      <c r="S1756" t="str">
        <f>_xlfn.XLOOKUP(Orders[[#This Row],[ProductID]],Products[ProductID],Products[ProductName])</f>
        <v>Chest Expander</v>
      </c>
      <c r="T1756" t="str">
        <f>_xlfn.XLOOKUP(Orders[[#This Row],[ProductID]],Products[ProductID],Products[Category])</f>
        <v>Gym</v>
      </c>
    </row>
    <row r="1757" spans="1:20" x14ac:dyDescent="0.25">
      <c r="A1757" s="4" t="s">
        <v>1946</v>
      </c>
      <c r="B1757" s="5">
        <v>46015</v>
      </c>
      <c r="C1757" s="15">
        <f>WEEKNUM(Orders[[#This Row],[OrderDate]])</f>
        <v>52</v>
      </c>
      <c r="D1757" s="15" t="str">
        <f>TEXT(Orders[[#This Row],[OrderDate]],"mmmm")</f>
        <v>December</v>
      </c>
      <c r="E1757" s="4" t="s">
        <v>507</v>
      </c>
      <c r="F1757" s="4" t="s">
        <v>353</v>
      </c>
      <c r="G1757" s="4">
        <v>7</v>
      </c>
      <c r="H1757" s="12">
        <v>19405.7</v>
      </c>
      <c r="I1757" s="13">
        <v>16494.845000000001</v>
      </c>
      <c r="J1757" s="13">
        <f>Orders[[#This Row],[Quantity]]*Orders[[#This Row],[Selling Price]]</f>
        <v>135839.9</v>
      </c>
      <c r="K1757" s="13">
        <f>Orders[[#This Row],[Quantity]]*Orders[[#This Row],[Cost Price]]</f>
        <v>115463.91500000001</v>
      </c>
      <c r="L1757" s="13">
        <f>Orders[[#This Row],[Revenue]]-Orders[[#This Row],[Expenses]]</f>
        <v>20375.984999999986</v>
      </c>
      <c r="M1757" t="s">
        <v>2212</v>
      </c>
      <c r="N1757" t="str">
        <f>_xlfn.XLOOKUP(Orders[[#This Row],[CustomerID]],Customers[CustomerID],Customers[CustomerName])</f>
        <v>Temi Okonkwo</v>
      </c>
      <c r="O1757" t="str">
        <f>_xlfn.XLOOKUP(Orders[[#This Row],[CustomerID]],Customers[CustomerID],Customers[City])</f>
        <v>Washington</v>
      </c>
      <c r="P1757" t="str">
        <f>_xlfn.XLOOKUP(Orders[[#This Row],[CustomerID]],Customers[CustomerID],Customers[Gender])</f>
        <v>Female</v>
      </c>
      <c r="Q1757">
        <f>_xlfn.XLOOKUP(Orders[[#This Row],[CustomerID]],Customers[CustomerID],Customers[CustomerAge])</f>
        <v>35</v>
      </c>
      <c r="R1757" t="str">
        <f>IF(Orders[[#This Row],[CustomerAge]]&gt;=35, "Older", "Young")</f>
        <v>Older</v>
      </c>
      <c r="S1757" t="str">
        <f>_xlfn.XLOOKUP(Orders[[#This Row],[ProductID]],Products[ProductID],Products[ProductName])</f>
        <v>Silver Earrings And Necklaces</v>
      </c>
      <c r="T1757" t="str">
        <f>_xlfn.XLOOKUP(Orders[[#This Row],[ProductID]],Products[ProductID],Products[Category])</f>
        <v>Accessories</v>
      </c>
    </row>
    <row r="1758" spans="1:20" x14ac:dyDescent="0.25">
      <c r="A1758" s="4" t="s">
        <v>1947</v>
      </c>
      <c r="B1758" s="5">
        <v>45999</v>
      </c>
      <c r="C1758" s="15">
        <f>WEEKNUM(Orders[[#This Row],[OrderDate]])</f>
        <v>50</v>
      </c>
      <c r="D1758" s="15" t="str">
        <f>TEXT(Orders[[#This Row],[OrderDate]],"mmmm")</f>
        <v>December</v>
      </c>
      <c r="E1758" s="4" t="s">
        <v>216</v>
      </c>
      <c r="F1758" s="4" t="s">
        <v>31</v>
      </c>
      <c r="G1758" s="4">
        <v>1</v>
      </c>
      <c r="H1758" s="12">
        <v>5878</v>
      </c>
      <c r="I1758" s="13">
        <v>4996.3</v>
      </c>
      <c r="J1758" s="13">
        <f>Orders[[#This Row],[Quantity]]*Orders[[#This Row],[Selling Price]]</f>
        <v>5878</v>
      </c>
      <c r="K1758" s="13">
        <f>Orders[[#This Row],[Quantity]]*Orders[[#This Row],[Cost Price]]</f>
        <v>4996.3</v>
      </c>
      <c r="L1758" s="13">
        <f>Orders[[#This Row],[Revenue]]-Orders[[#This Row],[Expenses]]</f>
        <v>881.69999999999982</v>
      </c>
      <c r="M1758" t="s">
        <v>2217</v>
      </c>
      <c r="N1758" t="str">
        <f>_xlfn.XLOOKUP(Orders[[#This Row],[CustomerID]],Customers[CustomerID],Customers[CustomerName])</f>
        <v>Ngozi Obi</v>
      </c>
      <c r="O1758" t="str">
        <f>_xlfn.XLOOKUP(Orders[[#This Row],[CustomerID]],Customers[CustomerID],Customers[City])</f>
        <v>California</v>
      </c>
      <c r="P1758" t="str">
        <f>_xlfn.XLOOKUP(Orders[[#This Row],[CustomerID]],Customers[CustomerID],Customers[Gender])</f>
        <v>Female</v>
      </c>
      <c r="Q1758">
        <f>_xlfn.XLOOKUP(Orders[[#This Row],[CustomerID]],Customers[CustomerID],Customers[CustomerAge])</f>
        <v>54</v>
      </c>
      <c r="R1758" t="str">
        <f>IF(Orders[[#This Row],[CustomerAge]]&gt;=35, "Older", "Young")</f>
        <v>Older</v>
      </c>
      <c r="S1758" t="str">
        <f>_xlfn.XLOOKUP(Orders[[#This Row],[ProductID]],Products[ProductID],Products[ProductName])</f>
        <v>Kids Games</v>
      </c>
      <c r="T1758" t="str">
        <f>_xlfn.XLOOKUP(Orders[[#This Row],[ProductID]],Products[ProductID],Products[Category])</f>
        <v>Games</v>
      </c>
    </row>
    <row r="1759" spans="1:20" x14ac:dyDescent="0.25">
      <c r="A1759" s="4" t="s">
        <v>1948</v>
      </c>
      <c r="B1759" s="5">
        <v>45995</v>
      </c>
      <c r="C1759" s="15">
        <f>WEEKNUM(Orders[[#This Row],[OrderDate]])</f>
        <v>49</v>
      </c>
      <c r="D1759" s="15" t="str">
        <f>TEXT(Orders[[#This Row],[OrderDate]],"mmmm")</f>
        <v>December</v>
      </c>
      <c r="E1759" s="4" t="s">
        <v>481</v>
      </c>
      <c r="F1759" s="4" t="s">
        <v>157</v>
      </c>
      <c r="G1759" s="4">
        <v>2</v>
      </c>
      <c r="H1759" s="12">
        <v>13272.2</v>
      </c>
      <c r="I1759" s="13">
        <v>11281.37</v>
      </c>
      <c r="J1759" s="13">
        <f>Orders[[#This Row],[Quantity]]*Orders[[#This Row],[Selling Price]]</f>
        <v>26544.400000000001</v>
      </c>
      <c r="K1759" s="13">
        <f>Orders[[#This Row],[Quantity]]*Orders[[#This Row],[Cost Price]]</f>
        <v>22562.74</v>
      </c>
      <c r="L1759" s="13">
        <f>Orders[[#This Row],[Revenue]]-Orders[[#This Row],[Expenses]]</f>
        <v>3981.66</v>
      </c>
      <c r="M1759" t="s">
        <v>2219</v>
      </c>
      <c r="N1759" t="str">
        <f>_xlfn.XLOOKUP(Orders[[#This Row],[CustomerID]],Customers[CustomerID],Customers[CustomerName])</f>
        <v>Abiola Bello</v>
      </c>
      <c r="O1759" t="str">
        <f>_xlfn.XLOOKUP(Orders[[#This Row],[CustomerID]],Customers[CustomerID],Customers[City])</f>
        <v>Illinois</v>
      </c>
      <c r="P1759" t="str">
        <f>_xlfn.XLOOKUP(Orders[[#This Row],[CustomerID]],Customers[CustomerID],Customers[Gender])</f>
        <v>Male</v>
      </c>
      <c r="Q1759">
        <f>_xlfn.XLOOKUP(Orders[[#This Row],[CustomerID]],Customers[CustomerID],Customers[CustomerAge])</f>
        <v>33</v>
      </c>
      <c r="R1759" t="str">
        <f>IF(Orders[[#This Row],[CustomerAge]]&gt;=35, "Older", "Young")</f>
        <v>Young</v>
      </c>
      <c r="S1759" t="str">
        <f>_xlfn.XLOOKUP(Orders[[#This Row],[ProductID]],Products[ProductID],Products[ProductName])</f>
        <v>Football</v>
      </c>
      <c r="T1759" t="str">
        <f>_xlfn.XLOOKUP(Orders[[#This Row],[ProductID]],Products[ProductID],Products[Category])</f>
        <v>Sports</v>
      </c>
    </row>
    <row r="1760" spans="1:20" x14ac:dyDescent="0.25">
      <c r="A1760" s="4" t="s">
        <v>1949</v>
      </c>
      <c r="B1760" s="5">
        <v>45948</v>
      </c>
      <c r="C1760" s="15">
        <f>WEEKNUM(Orders[[#This Row],[OrderDate]])</f>
        <v>42</v>
      </c>
      <c r="D1760" s="15" t="str">
        <f>TEXT(Orders[[#This Row],[OrderDate]],"mmmm")</f>
        <v>October</v>
      </c>
      <c r="E1760" s="4" t="s">
        <v>14</v>
      </c>
      <c r="F1760" s="4" t="s">
        <v>23</v>
      </c>
      <c r="G1760" s="4">
        <v>3</v>
      </c>
      <c r="H1760" s="12">
        <v>6691.5</v>
      </c>
      <c r="I1760" s="13">
        <v>5687.7749999999996</v>
      </c>
      <c r="J1760" s="13">
        <f>Orders[[#This Row],[Quantity]]*Orders[[#This Row],[Selling Price]]</f>
        <v>20074.5</v>
      </c>
      <c r="K1760" s="13">
        <f>Orders[[#This Row],[Quantity]]*Orders[[#This Row],[Cost Price]]</f>
        <v>17063.324999999997</v>
      </c>
      <c r="L1760" s="13">
        <f>Orders[[#This Row],[Revenue]]-Orders[[#This Row],[Expenses]]</f>
        <v>3011.1750000000029</v>
      </c>
      <c r="M1760" t="s">
        <v>2211</v>
      </c>
      <c r="N1760" t="str">
        <f>_xlfn.XLOOKUP(Orders[[#This Row],[CustomerID]],Customers[CustomerID],Customers[CustomerName])</f>
        <v>Abiola Igwe</v>
      </c>
      <c r="O1760" t="str">
        <f>_xlfn.XLOOKUP(Orders[[#This Row],[CustomerID]],Customers[CustomerID],Customers[City])</f>
        <v>Texas</v>
      </c>
      <c r="P1760" t="str">
        <f>_xlfn.XLOOKUP(Orders[[#This Row],[CustomerID]],Customers[CustomerID],Customers[Gender])</f>
        <v>Male</v>
      </c>
      <c r="Q1760">
        <f>_xlfn.XLOOKUP(Orders[[#This Row],[CustomerID]],Customers[CustomerID],Customers[CustomerAge])</f>
        <v>39</v>
      </c>
      <c r="R1760" t="str">
        <f>IF(Orders[[#This Row],[CustomerAge]]&gt;=35, "Older", "Young")</f>
        <v>Older</v>
      </c>
      <c r="S1760" t="str">
        <f>_xlfn.XLOOKUP(Orders[[#This Row],[ProductID]],Products[ProductID],Products[ProductName])</f>
        <v>Gym Gloves</v>
      </c>
      <c r="T1760" t="str">
        <f>_xlfn.XLOOKUP(Orders[[#This Row],[ProductID]],Products[ProductID],Products[Category])</f>
        <v>Gym</v>
      </c>
    </row>
    <row r="1761" spans="1:20" x14ac:dyDescent="0.25">
      <c r="A1761" s="4" t="s">
        <v>1950</v>
      </c>
      <c r="B1761" s="5">
        <v>45991</v>
      </c>
      <c r="C1761" s="15">
        <f>WEEKNUM(Orders[[#This Row],[OrderDate]])</f>
        <v>49</v>
      </c>
      <c r="D1761" s="15" t="str">
        <f>TEXT(Orders[[#This Row],[OrderDate]],"mmmm")</f>
        <v>November</v>
      </c>
      <c r="E1761" s="4" t="s">
        <v>43</v>
      </c>
      <c r="F1761" s="4" t="s">
        <v>63</v>
      </c>
      <c r="G1761" s="4">
        <v>7</v>
      </c>
      <c r="H1761" s="12">
        <v>8496.6999999999989</v>
      </c>
      <c r="I1761" s="13">
        <v>7222.1949999999988</v>
      </c>
      <c r="J1761" s="13">
        <f>Orders[[#This Row],[Quantity]]*Orders[[#This Row],[Selling Price]]</f>
        <v>59476.899999999994</v>
      </c>
      <c r="K1761" s="13">
        <f>Orders[[#This Row],[Quantity]]*Orders[[#This Row],[Cost Price]]</f>
        <v>50555.364999999991</v>
      </c>
      <c r="L1761" s="13">
        <f>Orders[[#This Row],[Revenue]]-Orders[[#This Row],[Expenses]]</f>
        <v>8921.5350000000035</v>
      </c>
      <c r="M1761" t="s">
        <v>2195</v>
      </c>
      <c r="N1761" t="str">
        <f>_xlfn.XLOOKUP(Orders[[#This Row],[CustomerID]],Customers[CustomerID],Customers[CustomerName])</f>
        <v>Mustafa Danladi</v>
      </c>
      <c r="O1761" t="str">
        <f>_xlfn.XLOOKUP(Orders[[#This Row],[CustomerID]],Customers[CustomerID],Customers[City])</f>
        <v>Georgia</v>
      </c>
      <c r="P1761" t="str">
        <f>_xlfn.XLOOKUP(Orders[[#This Row],[CustomerID]],Customers[CustomerID],Customers[Gender])</f>
        <v>Male</v>
      </c>
      <c r="Q1761">
        <f>_xlfn.XLOOKUP(Orders[[#This Row],[CustomerID]],Customers[CustomerID],Customers[CustomerAge])</f>
        <v>49</v>
      </c>
      <c r="R1761" t="str">
        <f>IF(Orders[[#This Row],[CustomerAge]]&gt;=35, "Older", "Young")</f>
        <v>Older</v>
      </c>
      <c r="S1761" t="str">
        <f>_xlfn.XLOOKUP(Orders[[#This Row],[ProductID]],Products[ProductID],Products[ProductName])</f>
        <v>Tennis Bat</v>
      </c>
      <c r="T1761" t="str">
        <f>_xlfn.XLOOKUP(Orders[[#This Row],[ProductID]],Products[ProductID],Products[Category])</f>
        <v>Sports</v>
      </c>
    </row>
    <row r="1762" spans="1:20" x14ac:dyDescent="0.25">
      <c r="A1762" s="4" t="s">
        <v>1951</v>
      </c>
      <c r="B1762" s="5">
        <v>45942</v>
      </c>
      <c r="C1762" s="15">
        <f>WEEKNUM(Orders[[#This Row],[OrderDate]])</f>
        <v>42</v>
      </c>
      <c r="D1762" s="15" t="str">
        <f>TEXT(Orders[[#This Row],[OrderDate]],"mmmm")</f>
        <v>October</v>
      </c>
      <c r="E1762" s="4" t="s">
        <v>156</v>
      </c>
      <c r="F1762" s="4" t="s">
        <v>37</v>
      </c>
      <c r="G1762" s="4">
        <v>5</v>
      </c>
      <c r="H1762" s="12">
        <v>6338.5</v>
      </c>
      <c r="I1762" s="13">
        <v>5387.7250000000004</v>
      </c>
      <c r="J1762" s="13">
        <f>Orders[[#This Row],[Quantity]]*Orders[[#This Row],[Selling Price]]</f>
        <v>31692.5</v>
      </c>
      <c r="K1762" s="13">
        <f>Orders[[#This Row],[Quantity]]*Orders[[#This Row],[Cost Price]]</f>
        <v>26938.625</v>
      </c>
      <c r="L1762" s="13">
        <f>Orders[[#This Row],[Revenue]]-Orders[[#This Row],[Expenses]]</f>
        <v>4753.875</v>
      </c>
      <c r="M1762" t="s">
        <v>2199</v>
      </c>
      <c r="N1762" t="str">
        <f>_xlfn.XLOOKUP(Orders[[#This Row],[CustomerID]],Customers[CustomerID],Customers[CustomerName])</f>
        <v>Obi Okonkwo</v>
      </c>
      <c r="O1762" t="str">
        <f>_xlfn.XLOOKUP(Orders[[#This Row],[CustomerID]],Customers[CustomerID],Customers[City])</f>
        <v>Florida</v>
      </c>
      <c r="P1762" t="str">
        <f>_xlfn.XLOOKUP(Orders[[#This Row],[CustomerID]],Customers[CustomerID],Customers[Gender])</f>
        <v>Male</v>
      </c>
      <c r="Q1762">
        <f>_xlfn.XLOOKUP(Orders[[#This Row],[CustomerID]],Customers[CustomerID],Customers[CustomerAge])</f>
        <v>52</v>
      </c>
      <c r="R1762" t="str">
        <f>IF(Orders[[#This Row],[CustomerAge]]&gt;=35, "Older", "Young")</f>
        <v>Older</v>
      </c>
      <c r="S1762" t="str">
        <f>_xlfn.XLOOKUP(Orders[[#This Row],[ProductID]],Products[ProductID],Products[ProductName])</f>
        <v>Iron</v>
      </c>
      <c r="T1762" t="str">
        <f>_xlfn.XLOOKUP(Orders[[#This Row],[ProductID]],Products[ProductID],Products[Category])</f>
        <v>Electronics</v>
      </c>
    </row>
    <row r="1763" spans="1:20" x14ac:dyDescent="0.25">
      <c r="A1763" s="4" t="s">
        <v>1952</v>
      </c>
      <c r="B1763" s="5">
        <v>45961</v>
      </c>
      <c r="C1763" s="15">
        <f>WEEKNUM(Orders[[#This Row],[OrderDate]])</f>
        <v>44</v>
      </c>
      <c r="D1763" s="15" t="str">
        <f>TEXT(Orders[[#This Row],[OrderDate]],"mmmm")</f>
        <v>October</v>
      </c>
      <c r="E1763" s="4" t="s">
        <v>343</v>
      </c>
      <c r="F1763" s="4" t="s">
        <v>57</v>
      </c>
      <c r="G1763" s="4">
        <v>2</v>
      </c>
      <c r="H1763" s="12">
        <v>19507.400000000001</v>
      </c>
      <c r="I1763" s="13">
        <v>16581.29</v>
      </c>
      <c r="J1763" s="13">
        <f>Orders[[#This Row],[Quantity]]*Orders[[#This Row],[Selling Price]]</f>
        <v>39014.800000000003</v>
      </c>
      <c r="K1763" s="13">
        <f>Orders[[#This Row],[Quantity]]*Orders[[#This Row],[Cost Price]]</f>
        <v>33162.58</v>
      </c>
      <c r="L1763" s="13">
        <f>Orders[[#This Row],[Revenue]]-Orders[[#This Row],[Expenses]]</f>
        <v>5852.2200000000012</v>
      </c>
      <c r="M1763" t="s">
        <v>2201</v>
      </c>
      <c r="N1763" t="str">
        <f>_xlfn.XLOOKUP(Orders[[#This Row],[CustomerID]],Customers[CustomerID],Customers[CustomerName])</f>
        <v>Ronke Obi</v>
      </c>
      <c r="O1763" t="str">
        <f>_xlfn.XLOOKUP(Orders[[#This Row],[CustomerID]],Customers[CustomerID],Customers[City])</f>
        <v>Washington</v>
      </c>
      <c r="P1763" t="str">
        <f>_xlfn.XLOOKUP(Orders[[#This Row],[CustomerID]],Customers[CustomerID],Customers[Gender])</f>
        <v>Female</v>
      </c>
      <c r="Q1763">
        <f>_xlfn.XLOOKUP(Orders[[#This Row],[CustomerID]],Customers[CustomerID],Customers[CustomerAge])</f>
        <v>31</v>
      </c>
      <c r="R1763" t="str">
        <f>IF(Orders[[#This Row],[CustomerAge]]&gt;=35, "Older", "Young")</f>
        <v>Young</v>
      </c>
      <c r="S1763" t="str">
        <f>_xlfn.XLOOKUP(Orders[[#This Row],[ProductID]],Products[ProductID],Products[ProductName])</f>
        <v>Badminton Racket</v>
      </c>
      <c r="T1763" t="str">
        <f>_xlfn.XLOOKUP(Orders[[#This Row],[ProductID]],Products[ProductID],Products[Category])</f>
        <v>Sports</v>
      </c>
    </row>
    <row r="1764" spans="1:20" x14ac:dyDescent="0.25">
      <c r="A1764" s="4" t="s">
        <v>1953</v>
      </c>
      <c r="B1764" s="5">
        <v>46022</v>
      </c>
      <c r="C1764" s="15">
        <f>WEEKNUM(Orders[[#This Row],[OrderDate]])</f>
        <v>53</v>
      </c>
      <c r="D1764" s="15" t="str">
        <f>TEXT(Orders[[#This Row],[OrderDate]],"mmmm")</f>
        <v>December</v>
      </c>
      <c r="E1764" s="4" t="s">
        <v>574</v>
      </c>
      <c r="F1764" s="4" t="s">
        <v>130</v>
      </c>
      <c r="G1764" s="4">
        <v>4</v>
      </c>
      <c r="H1764" s="12">
        <v>13948.699999999999</v>
      </c>
      <c r="I1764" s="13">
        <v>11856.394999999999</v>
      </c>
      <c r="J1764" s="13">
        <f>Orders[[#This Row],[Quantity]]*Orders[[#This Row],[Selling Price]]</f>
        <v>55794.799999999996</v>
      </c>
      <c r="K1764" s="13">
        <f>Orders[[#This Row],[Quantity]]*Orders[[#This Row],[Cost Price]]</f>
        <v>47425.579999999994</v>
      </c>
      <c r="L1764" s="13">
        <f>Orders[[#This Row],[Revenue]]-Orders[[#This Row],[Expenses]]</f>
        <v>8369.2200000000012</v>
      </c>
      <c r="M1764" t="s">
        <v>2214</v>
      </c>
      <c r="N1764" t="str">
        <f>_xlfn.XLOOKUP(Orders[[#This Row],[CustomerID]],Customers[CustomerID],Customers[CustomerName])</f>
        <v>Adanma Obi</v>
      </c>
      <c r="O1764" t="str">
        <f>_xlfn.XLOOKUP(Orders[[#This Row],[CustomerID]],Customers[CustomerID],Customers[City])</f>
        <v>Texas</v>
      </c>
      <c r="P1764" t="str">
        <f>_xlfn.XLOOKUP(Orders[[#This Row],[CustomerID]],Customers[CustomerID],Customers[Gender])</f>
        <v>Female</v>
      </c>
      <c r="Q1764">
        <f>_xlfn.XLOOKUP(Orders[[#This Row],[CustomerID]],Customers[CustomerID],Customers[CustomerAge])</f>
        <v>23</v>
      </c>
      <c r="R1764" t="str">
        <f>IF(Orders[[#This Row],[CustomerAge]]&gt;=35, "Older", "Young")</f>
        <v>Young</v>
      </c>
      <c r="S1764" t="str">
        <f>_xlfn.XLOOKUP(Orders[[#This Row],[ProductID]],Products[ProductID],Products[ProductName])</f>
        <v>Gold Earrings And Necklaces</v>
      </c>
      <c r="T1764" t="str">
        <f>_xlfn.XLOOKUP(Orders[[#This Row],[ProductID]],Products[ProductID],Products[Category])</f>
        <v>Accessories</v>
      </c>
    </row>
    <row r="1765" spans="1:20" x14ac:dyDescent="0.25">
      <c r="A1765" s="4" t="s">
        <v>1954</v>
      </c>
      <c r="B1765" s="5">
        <v>45969</v>
      </c>
      <c r="C1765" s="15">
        <f>WEEKNUM(Orders[[#This Row],[OrderDate]])</f>
        <v>45</v>
      </c>
      <c r="D1765" s="15" t="str">
        <f>TEXT(Orders[[#This Row],[OrderDate]],"mmmm")</f>
        <v>November</v>
      </c>
      <c r="E1765" s="4" t="s">
        <v>256</v>
      </c>
      <c r="F1765" s="4" t="s">
        <v>253</v>
      </c>
      <c r="G1765" s="4">
        <v>5</v>
      </c>
      <c r="H1765" s="12">
        <v>14214.1</v>
      </c>
      <c r="I1765" s="13">
        <v>12081.985000000001</v>
      </c>
      <c r="J1765" s="13">
        <f>Orders[[#This Row],[Quantity]]*Orders[[#This Row],[Selling Price]]</f>
        <v>71070.5</v>
      </c>
      <c r="K1765" s="13">
        <f>Orders[[#This Row],[Quantity]]*Orders[[#This Row],[Cost Price]]</f>
        <v>60409.925000000003</v>
      </c>
      <c r="L1765" s="13">
        <f>Orders[[#This Row],[Revenue]]-Orders[[#This Row],[Expenses]]</f>
        <v>10660.574999999997</v>
      </c>
      <c r="M1765" t="s">
        <v>2197</v>
      </c>
      <c r="N1765" t="str">
        <f>_xlfn.XLOOKUP(Orders[[#This Row],[CustomerID]],Customers[CustomerID],Customers[CustomerName])</f>
        <v>Efe Ojo</v>
      </c>
      <c r="O1765" t="str">
        <f>_xlfn.XLOOKUP(Orders[[#This Row],[CustomerID]],Customers[CustomerID],Customers[City])</f>
        <v>Georgia</v>
      </c>
      <c r="P1765" t="str">
        <f>_xlfn.XLOOKUP(Orders[[#This Row],[CustomerID]],Customers[CustomerID],Customers[Gender])</f>
        <v>Female</v>
      </c>
      <c r="Q1765">
        <f>_xlfn.XLOOKUP(Orders[[#This Row],[CustomerID]],Customers[CustomerID],Customers[CustomerAge])</f>
        <v>23</v>
      </c>
      <c r="R1765" t="str">
        <f>IF(Orders[[#This Row],[CustomerAge]]&gt;=35, "Older", "Young")</f>
        <v>Young</v>
      </c>
      <c r="S1765" t="str">
        <f>_xlfn.XLOOKUP(Orders[[#This Row],[ProductID]],Products[ProductID],Products[ProductName])</f>
        <v>Nose Rings</v>
      </c>
      <c r="T1765" t="str">
        <f>_xlfn.XLOOKUP(Orders[[#This Row],[ProductID]],Products[ProductID],Products[Category])</f>
        <v>Accessories</v>
      </c>
    </row>
    <row r="1766" spans="1:20" x14ac:dyDescent="0.25">
      <c r="A1766" s="4" t="s">
        <v>1955</v>
      </c>
      <c r="B1766" s="5">
        <v>45940</v>
      </c>
      <c r="C1766" s="15">
        <f>WEEKNUM(Orders[[#This Row],[OrderDate]])</f>
        <v>41</v>
      </c>
      <c r="D1766" s="15" t="str">
        <f>TEXT(Orders[[#This Row],[OrderDate]],"mmmm")</f>
        <v>October</v>
      </c>
      <c r="E1766" s="4" t="s">
        <v>605</v>
      </c>
      <c r="F1766" s="4" t="s">
        <v>12</v>
      </c>
      <c r="G1766" s="4">
        <v>3</v>
      </c>
      <c r="H1766" s="12">
        <v>3677.3</v>
      </c>
      <c r="I1766" s="13">
        <v>3125.7049999999999</v>
      </c>
      <c r="J1766" s="13">
        <f>Orders[[#This Row],[Quantity]]*Orders[[#This Row],[Selling Price]]</f>
        <v>11031.900000000001</v>
      </c>
      <c r="K1766" s="13">
        <f>Orders[[#This Row],[Quantity]]*Orders[[#This Row],[Cost Price]]</f>
        <v>9377.1149999999998</v>
      </c>
      <c r="L1766" s="13">
        <f>Orders[[#This Row],[Revenue]]-Orders[[#This Row],[Expenses]]</f>
        <v>1654.7850000000017</v>
      </c>
      <c r="M1766" t="s">
        <v>2201</v>
      </c>
      <c r="N1766" t="str">
        <f>_xlfn.XLOOKUP(Orders[[#This Row],[CustomerID]],Customers[CustomerID],Customers[CustomerName])</f>
        <v>Blessing Abubakar</v>
      </c>
      <c r="O1766" t="str">
        <f>_xlfn.XLOOKUP(Orders[[#This Row],[CustomerID]],Customers[CustomerID],Customers[City])</f>
        <v>Texas</v>
      </c>
      <c r="P1766" t="str">
        <f>_xlfn.XLOOKUP(Orders[[#This Row],[CustomerID]],Customers[CustomerID],Customers[Gender])</f>
        <v>Female</v>
      </c>
      <c r="Q1766">
        <f>_xlfn.XLOOKUP(Orders[[#This Row],[CustomerID]],Customers[CustomerID],Customers[CustomerAge])</f>
        <v>44</v>
      </c>
      <c r="R1766" t="str">
        <f>IF(Orders[[#This Row],[CustomerAge]]&gt;=35, "Older", "Young")</f>
        <v>Older</v>
      </c>
      <c r="S1766" t="str">
        <f>_xlfn.XLOOKUP(Orders[[#This Row],[ProductID]],Products[ProductID],Products[ProductName])</f>
        <v>Boubou</v>
      </c>
      <c r="T1766" t="str">
        <f>_xlfn.XLOOKUP(Orders[[#This Row],[ProductID]],Products[ProductID],Products[Category])</f>
        <v>Clothing</v>
      </c>
    </row>
    <row r="1767" spans="1:20" x14ac:dyDescent="0.25">
      <c r="A1767" s="4" t="s">
        <v>1956</v>
      </c>
      <c r="B1767" s="5">
        <v>46003</v>
      </c>
      <c r="C1767" s="15">
        <f>WEEKNUM(Orders[[#This Row],[OrderDate]])</f>
        <v>50</v>
      </c>
      <c r="D1767" s="15" t="str">
        <f>TEXT(Orders[[#This Row],[OrderDate]],"mmmm")</f>
        <v>December</v>
      </c>
      <c r="E1767" s="4" t="s">
        <v>439</v>
      </c>
      <c r="F1767" s="4" t="s">
        <v>253</v>
      </c>
      <c r="G1767" s="4">
        <v>8</v>
      </c>
      <c r="H1767" s="12">
        <v>15971.199999999999</v>
      </c>
      <c r="I1767" s="13">
        <v>13575.519999999999</v>
      </c>
      <c r="J1767" s="13">
        <f>Orders[[#This Row],[Quantity]]*Orders[[#This Row],[Selling Price]]</f>
        <v>127769.59999999999</v>
      </c>
      <c r="K1767" s="13">
        <f>Orders[[#This Row],[Quantity]]*Orders[[#This Row],[Cost Price]]</f>
        <v>108604.15999999999</v>
      </c>
      <c r="L1767" s="13">
        <f>Orders[[#This Row],[Revenue]]-Orders[[#This Row],[Expenses]]</f>
        <v>19165.440000000002</v>
      </c>
      <c r="M1767" t="s">
        <v>2210</v>
      </c>
      <c r="N1767" t="str">
        <f>_xlfn.XLOOKUP(Orders[[#This Row],[CustomerID]],Customers[CustomerID],Customers[CustomerName])</f>
        <v>Efe Abubakar</v>
      </c>
      <c r="O1767" t="str">
        <f>_xlfn.XLOOKUP(Orders[[#This Row],[CustomerID]],Customers[CustomerID],Customers[City])</f>
        <v>Texas</v>
      </c>
      <c r="P1767" t="str">
        <f>_xlfn.XLOOKUP(Orders[[#This Row],[CustomerID]],Customers[CustomerID],Customers[Gender])</f>
        <v>Female</v>
      </c>
      <c r="Q1767">
        <f>_xlfn.XLOOKUP(Orders[[#This Row],[CustomerID]],Customers[CustomerID],Customers[CustomerAge])</f>
        <v>50</v>
      </c>
      <c r="R1767" t="str">
        <f>IF(Orders[[#This Row],[CustomerAge]]&gt;=35, "Older", "Young")</f>
        <v>Older</v>
      </c>
      <c r="S1767" t="str">
        <f>_xlfn.XLOOKUP(Orders[[#This Row],[ProductID]],Products[ProductID],Products[ProductName])</f>
        <v>Nose Rings</v>
      </c>
      <c r="T1767" t="str">
        <f>_xlfn.XLOOKUP(Orders[[#This Row],[ProductID]],Products[ProductID],Products[Category])</f>
        <v>Accessories</v>
      </c>
    </row>
    <row r="1768" spans="1:20" x14ac:dyDescent="0.25">
      <c r="A1768" s="4" t="s">
        <v>1957</v>
      </c>
      <c r="B1768" s="5">
        <v>45975</v>
      </c>
      <c r="C1768" s="15">
        <f>WEEKNUM(Orders[[#This Row],[OrderDate]])</f>
        <v>46</v>
      </c>
      <c r="D1768" s="15" t="str">
        <f>TEXT(Orders[[#This Row],[OrderDate]],"mmmm")</f>
        <v>November</v>
      </c>
      <c r="E1768" s="4" t="s">
        <v>223</v>
      </c>
      <c r="F1768" s="4" t="s">
        <v>76</v>
      </c>
      <c r="G1768" s="4">
        <v>9</v>
      </c>
      <c r="H1768" s="12">
        <v>7497.9</v>
      </c>
      <c r="I1768" s="13">
        <v>6373.2150000000001</v>
      </c>
      <c r="J1768" s="13">
        <f>Orders[[#This Row],[Quantity]]*Orders[[#This Row],[Selling Price]]</f>
        <v>67481.099999999991</v>
      </c>
      <c r="K1768" s="13">
        <f>Orders[[#This Row],[Quantity]]*Orders[[#This Row],[Cost Price]]</f>
        <v>57358.934999999998</v>
      </c>
      <c r="L1768" s="13">
        <f>Orders[[#This Row],[Revenue]]-Orders[[#This Row],[Expenses]]</f>
        <v>10122.164999999994</v>
      </c>
      <c r="M1768" t="s">
        <v>2203</v>
      </c>
      <c r="N1768" t="str">
        <f>_xlfn.XLOOKUP(Orders[[#This Row],[CustomerID]],Customers[CustomerID],Customers[CustomerName])</f>
        <v>Blessing Danladi</v>
      </c>
      <c r="O1768" t="str">
        <f>_xlfn.XLOOKUP(Orders[[#This Row],[CustomerID]],Customers[CustomerID],Customers[City])</f>
        <v>Washington</v>
      </c>
      <c r="P1768" t="str">
        <f>_xlfn.XLOOKUP(Orders[[#This Row],[CustomerID]],Customers[CustomerID],Customers[Gender])</f>
        <v>Female</v>
      </c>
      <c r="Q1768">
        <f>_xlfn.XLOOKUP(Orders[[#This Row],[CustomerID]],Customers[CustomerID],Customers[CustomerAge])</f>
        <v>20</v>
      </c>
      <c r="R1768" t="str">
        <f>IF(Orders[[#This Row],[CustomerAge]]&gt;=35, "Older", "Young")</f>
        <v>Young</v>
      </c>
      <c r="S1768" t="str">
        <f>_xlfn.XLOOKUP(Orders[[#This Row],[ProductID]],Products[ProductID],Products[ProductName])</f>
        <v>Blender</v>
      </c>
      <c r="T1768" t="str">
        <f>_xlfn.XLOOKUP(Orders[[#This Row],[ProductID]],Products[ProductID],Products[Category])</f>
        <v>Electronics</v>
      </c>
    </row>
    <row r="1769" spans="1:20" x14ac:dyDescent="0.25">
      <c r="A1769" s="4" t="s">
        <v>1958</v>
      </c>
      <c r="B1769" s="5">
        <v>45951</v>
      </c>
      <c r="C1769" s="15">
        <f>WEEKNUM(Orders[[#This Row],[OrderDate]])</f>
        <v>43</v>
      </c>
      <c r="D1769" s="15" t="str">
        <f>TEXT(Orders[[#This Row],[OrderDate]],"mmmm")</f>
        <v>October</v>
      </c>
      <c r="E1769" s="4" t="s">
        <v>507</v>
      </c>
      <c r="F1769" s="4" t="s">
        <v>76</v>
      </c>
      <c r="G1769" s="4">
        <v>5</v>
      </c>
      <c r="H1769" s="12">
        <v>5828.3</v>
      </c>
      <c r="I1769" s="13">
        <v>4954.0550000000003</v>
      </c>
      <c r="J1769" s="13">
        <f>Orders[[#This Row],[Quantity]]*Orders[[#This Row],[Selling Price]]</f>
        <v>29141.5</v>
      </c>
      <c r="K1769" s="13">
        <f>Orders[[#This Row],[Quantity]]*Orders[[#This Row],[Cost Price]]</f>
        <v>24770.275000000001</v>
      </c>
      <c r="L1769" s="13">
        <f>Orders[[#This Row],[Revenue]]-Orders[[#This Row],[Expenses]]</f>
        <v>4371.2249999999985</v>
      </c>
      <c r="M1769" t="s">
        <v>2203</v>
      </c>
      <c r="N1769" t="str">
        <f>_xlfn.XLOOKUP(Orders[[#This Row],[CustomerID]],Customers[CustomerID],Customers[CustomerName])</f>
        <v>Temi Okonkwo</v>
      </c>
      <c r="O1769" t="str">
        <f>_xlfn.XLOOKUP(Orders[[#This Row],[CustomerID]],Customers[CustomerID],Customers[City])</f>
        <v>Washington</v>
      </c>
      <c r="P1769" t="str">
        <f>_xlfn.XLOOKUP(Orders[[#This Row],[CustomerID]],Customers[CustomerID],Customers[Gender])</f>
        <v>Female</v>
      </c>
      <c r="Q1769">
        <f>_xlfn.XLOOKUP(Orders[[#This Row],[CustomerID]],Customers[CustomerID],Customers[CustomerAge])</f>
        <v>35</v>
      </c>
      <c r="R1769" t="str">
        <f>IF(Orders[[#This Row],[CustomerAge]]&gt;=35, "Older", "Young")</f>
        <v>Older</v>
      </c>
      <c r="S1769" t="str">
        <f>_xlfn.XLOOKUP(Orders[[#This Row],[ProductID]],Products[ProductID],Products[ProductName])</f>
        <v>Blender</v>
      </c>
      <c r="T1769" t="str">
        <f>_xlfn.XLOOKUP(Orders[[#This Row],[ProductID]],Products[ProductID],Products[Category])</f>
        <v>Electronics</v>
      </c>
    </row>
    <row r="1770" spans="1:20" x14ac:dyDescent="0.25">
      <c r="A1770" s="4" t="s">
        <v>1959</v>
      </c>
      <c r="B1770" s="5">
        <v>45996</v>
      </c>
      <c r="C1770" s="15">
        <f>WEEKNUM(Orders[[#This Row],[OrderDate]])</f>
        <v>49</v>
      </c>
      <c r="D1770" s="15" t="str">
        <f>TEXT(Orders[[#This Row],[OrderDate]],"mmmm")</f>
        <v>December</v>
      </c>
      <c r="E1770" s="4" t="s">
        <v>314</v>
      </c>
      <c r="F1770" s="4" t="s">
        <v>151</v>
      </c>
      <c r="G1770" s="4">
        <v>8</v>
      </c>
      <c r="H1770" s="12">
        <v>17776.199999999997</v>
      </c>
      <c r="I1770" s="13">
        <v>15109.769999999997</v>
      </c>
      <c r="J1770" s="13">
        <f>Orders[[#This Row],[Quantity]]*Orders[[#This Row],[Selling Price]]</f>
        <v>142209.59999999998</v>
      </c>
      <c r="K1770" s="13">
        <f>Orders[[#This Row],[Quantity]]*Orders[[#This Row],[Cost Price]]</f>
        <v>120878.15999999997</v>
      </c>
      <c r="L1770" s="13">
        <f>Orders[[#This Row],[Revenue]]-Orders[[#This Row],[Expenses]]</f>
        <v>21331.440000000002</v>
      </c>
      <c r="M1770" t="s">
        <v>2202</v>
      </c>
      <c r="N1770" t="str">
        <f>_xlfn.XLOOKUP(Orders[[#This Row],[CustomerID]],Customers[CustomerID],Customers[CustomerName])</f>
        <v>Bisi Ojo</v>
      </c>
      <c r="O1770" t="str">
        <f>_xlfn.XLOOKUP(Orders[[#This Row],[CustomerID]],Customers[CustomerID],Customers[City])</f>
        <v>Washington</v>
      </c>
      <c r="P1770" t="str">
        <f>_xlfn.XLOOKUP(Orders[[#This Row],[CustomerID]],Customers[CustomerID],Customers[Gender])</f>
        <v>Female</v>
      </c>
      <c r="Q1770">
        <f>_xlfn.XLOOKUP(Orders[[#This Row],[CustomerID]],Customers[CustomerID],Customers[CustomerAge])</f>
        <v>18</v>
      </c>
      <c r="R1770" t="str">
        <f>IF(Orders[[#This Row],[CustomerAge]]&gt;=35, "Older", "Young")</f>
        <v>Young</v>
      </c>
      <c r="S1770" t="str">
        <f>_xlfn.XLOOKUP(Orders[[#This Row],[ProductID]],Products[ProductID],Products[ProductName])</f>
        <v>Checkers</v>
      </c>
      <c r="T1770" t="str">
        <f>_xlfn.XLOOKUP(Orders[[#This Row],[ProductID]],Products[ProductID],Products[Category])</f>
        <v>Games</v>
      </c>
    </row>
    <row r="1771" spans="1:20" x14ac:dyDescent="0.25">
      <c r="A1771" s="4" t="s">
        <v>1960</v>
      </c>
      <c r="B1771" s="5">
        <v>46005</v>
      </c>
      <c r="C1771" s="15">
        <f>WEEKNUM(Orders[[#This Row],[OrderDate]])</f>
        <v>51</v>
      </c>
      <c r="D1771" s="15" t="str">
        <f>TEXT(Orders[[#This Row],[OrderDate]],"mmmm")</f>
        <v>December</v>
      </c>
      <c r="E1771" s="4" t="s">
        <v>101</v>
      </c>
      <c r="F1771" s="4" t="s">
        <v>151</v>
      </c>
      <c r="G1771" s="4">
        <v>7</v>
      </c>
      <c r="H1771" s="12">
        <v>11138.599999999999</v>
      </c>
      <c r="I1771" s="13">
        <v>9467.81</v>
      </c>
      <c r="J1771" s="13">
        <f>Orders[[#This Row],[Quantity]]*Orders[[#This Row],[Selling Price]]</f>
        <v>77970.199999999983</v>
      </c>
      <c r="K1771" s="13">
        <f>Orders[[#This Row],[Quantity]]*Orders[[#This Row],[Cost Price]]</f>
        <v>66274.67</v>
      </c>
      <c r="L1771" s="13">
        <f>Orders[[#This Row],[Revenue]]-Orders[[#This Row],[Expenses]]</f>
        <v>11695.529999999984</v>
      </c>
      <c r="M1771" t="s">
        <v>2215</v>
      </c>
      <c r="N1771" t="str">
        <f>_xlfn.XLOOKUP(Orders[[#This Row],[CustomerID]],Customers[CustomerID],Customers[CustomerName])</f>
        <v>Blessing Eze</v>
      </c>
      <c r="O1771" t="str">
        <f>_xlfn.XLOOKUP(Orders[[#This Row],[CustomerID]],Customers[CustomerID],Customers[City])</f>
        <v>Texas</v>
      </c>
      <c r="P1771" t="str">
        <f>_xlfn.XLOOKUP(Orders[[#This Row],[CustomerID]],Customers[CustomerID],Customers[Gender])</f>
        <v>Female</v>
      </c>
      <c r="Q1771">
        <f>_xlfn.XLOOKUP(Orders[[#This Row],[CustomerID]],Customers[CustomerID],Customers[CustomerAge])</f>
        <v>55</v>
      </c>
      <c r="R1771" t="str">
        <f>IF(Orders[[#This Row],[CustomerAge]]&gt;=35, "Older", "Young")</f>
        <v>Older</v>
      </c>
      <c r="S1771" t="str">
        <f>_xlfn.XLOOKUP(Orders[[#This Row],[ProductID]],Products[ProductID],Products[ProductName])</f>
        <v>Checkers</v>
      </c>
      <c r="T1771" t="str">
        <f>_xlfn.XLOOKUP(Orders[[#This Row],[ProductID]],Products[ProductID],Products[Category])</f>
        <v>Games</v>
      </c>
    </row>
    <row r="1772" spans="1:20" x14ac:dyDescent="0.25">
      <c r="A1772" s="4" t="s">
        <v>1961</v>
      </c>
      <c r="B1772" s="5">
        <v>45934</v>
      </c>
      <c r="C1772" s="15">
        <f>WEEKNUM(Orders[[#This Row],[OrderDate]])</f>
        <v>40</v>
      </c>
      <c r="D1772" s="15" t="str">
        <f>TEXT(Orders[[#This Row],[OrderDate]],"mmmm")</f>
        <v>October</v>
      </c>
      <c r="E1772" s="4" t="s">
        <v>320</v>
      </c>
      <c r="F1772" s="4" t="s">
        <v>57</v>
      </c>
      <c r="G1772" s="4">
        <v>5</v>
      </c>
      <c r="H1772" s="12">
        <v>2700</v>
      </c>
      <c r="I1772" s="13">
        <v>2295</v>
      </c>
      <c r="J1772" s="13">
        <f>Orders[[#This Row],[Quantity]]*Orders[[#This Row],[Selling Price]]</f>
        <v>13500</v>
      </c>
      <c r="K1772" s="13">
        <f>Orders[[#This Row],[Quantity]]*Orders[[#This Row],[Cost Price]]</f>
        <v>11475</v>
      </c>
      <c r="L1772" s="13">
        <f>Orders[[#This Row],[Revenue]]-Orders[[#This Row],[Expenses]]</f>
        <v>2025</v>
      </c>
      <c r="M1772" t="s">
        <v>2201</v>
      </c>
      <c r="N1772" t="str">
        <f>_xlfn.XLOOKUP(Orders[[#This Row],[CustomerID]],Customers[CustomerID],Customers[CustomerName])</f>
        <v>Temi Okonkwo</v>
      </c>
      <c r="O1772" t="str">
        <f>_xlfn.XLOOKUP(Orders[[#This Row],[CustomerID]],Customers[CustomerID],Customers[City])</f>
        <v>Texas</v>
      </c>
      <c r="P1772" t="str">
        <f>_xlfn.XLOOKUP(Orders[[#This Row],[CustomerID]],Customers[CustomerID],Customers[Gender])</f>
        <v>Female</v>
      </c>
      <c r="Q1772">
        <f>_xlfn.XLOOKUP(Orders[[#This Row],[CustomerID]],Customers[CustomerID],Customers[CustomerAge])</f>
        <v>31</v>
      </c>
      <c r="R1772" t="str">
        <f>IF(Orders[[#This Row],[CustomerAge]]&gt;=35, "Older", "Young")</f>
        <v>Young</v>
      </c>
      <c r="S1772" t="str">
        <f>_xlfn.XLOOKUP(Orders[[#This Row],[ProductID]],Products[ProductID],Products[ProductName])</f>
        <v>Badminton Racket</v>
      </c>
      <c r="T1772" t="str">
        <f>_xlfn.XLOOKUP(Orders[[#This Row],[ProductID]],Products[ProductID],Products[Category])</f>
        <v>Sports</v>
      </c>
    </row>
    <row r="1773" spans="1:20" x14ac:dyDescent="0.25">
      <c r="A1773" s="4" t="s">
        <v>1962</v>
      </c>
      <c r="B1773" s="5">
        <v>45972</v>
      </c>
      <c r="C1773" s="15">
        <f>WEEKNUM(Orders[[#This Row],[OrderDate]])</f>
        <v>46</v>
      </c>
      <c r="D1773" s="15" t="str">
        <f>TEXT(Orders[[#This Row],[OrderDate]],"mmmm")</f>
        <v>November</v>
      </c>
      <c r="E1773" s="4" t="s">
        <v>146</v>
      </c>
      <c r="F1773" s="4" t="s">
        <v>66</v>
      </c>
      <c r="G1773" s="4">
        <v>3</v>
      </c>
      <c r="H1773" s="12">
        <v>16466.400000000001</v>
      </c>
      <c r="I1773" s="13">
        <v>13996.440000000002</v>
      </c>
      <c r="J1773" s="13">
        <f>Orders[[#This Row],[Quantity]]*Orders[[#This Row],[Selling Price]]</f>
        <v>49399.200000000004</v>
      </c>
      <c r="K1773" s="13">
        <f>Orders[[#This Row],[Quantity]]*Orders[[#This Row],[Cost Price]]</f>
        <v>41989.320000000007</v>
      </c>
      <c r="L1773" s="13">
        <f>Orders[[#This Row],[Revenue]]-Orders[[#This Row],[Expenses]]</f>
        <v>7409.8799999999974</v>
      </c>
      <c r="M1773" t="s">
        <v>2192</v>
      </c>
      <c r="N1773" t="str">
        <f>_xlfn.XLOOKUP(Orders[[#This Row],[CustomerID]],Customers[CustomerID],Customers[CustomerName])</f>
        <v>Mustafa Igwe</v>
      </c>
      <c r="O1773" t="str">
        <f>_xlfn.XLOOKUP(Orders[[#This Row],[CustomerID]],Customers[CustomerID],Customers[City])</f>
        <v>Texas</v>
      </c>
      <c r="P1773" t="str">
        <f>_xlfn.XLOOKUP(Orders[[#This Row],[CustomerID]],Customers[CustomerID],Customers[Gender])</f>
        <v>Male</v>
      </c>
      <c r="Q1773">
        <f>_xlfn.XLOOKUP(Orders[[#This Row],[CustomerID]],Customers[CustomerID],Customers[CustomerAge])</f>
        <v>27</v>
      </c>
      <c r="R1773" t="str">
        <f>IF(Orders[[#This Row],[CustomerAge]]&gt;=35, "Older", "Young")</f>
        <v>Young</v>
      </c>
      <c r="S1773" t="str">
        <f>_xlfn.XLOOKUP(Orders[[#This Row],[ProductID]],Products[ProductID],Products[ProductName])</f>
        <v>Microwave</v>
      </c>
      <c r="T1773" t="str">
        <f>_xlfn.XLOOKUP(Orders[[#This Row],[ProductID]],Products[ProductID],Products[Category])</f>
        <v>Electronics</v>
      </c>
    </row>
    <row r="1774" spans="1:20" x14ac:dyDescent="0.25">
      <c r="A1774" s="4" t="s">
        <v>1963</v>
      </c>
      <c r="B1774" s="5">
        <v>45995</v>
      </c>
      <c r="C1774" s="15">
        <f>WEEKNUM(Orders[[#This Row],[OrderDate]])</f>
        <v>49</v>
      </c>
      <c r="D1774" s="15" t="str">
        <f>TEXT(Orders[[#This Row],[OrderDate]],"mmmm")</f>
        <v>December</v>
      </c>
      <c r="E1774" s="4" t="s">
        <v>103</v>
      </c>
      <c r="F1774" s="4" t="s">
        <v>31</v>
      </c>
      <c r="G1774" s="4">
        <v>5</v>
      </c>
      <c r="H1774" s="12">
        <v>1333.8999999999999</v>
      </c>
      <c r="I1774" s="13">
        <v>1133.8149999999998</v>
      </c>
      <c r="J1774" s="13">
        <f>Orders[[#This Row],[Quantity]]*Orders[[#This Row],[Selling Price]]</f>
        <v>6669.4999999999991</v>
      </c>
      <c r="K1774" s="13">
        <f>Orders[[#This Row],[Quantity]]*Orders[[#This Row],[Cost Price]]</f>
        <v>5669.0749999999989</v>
      </c>
      <c r="L1774" s="13">
        <f>Orders[[#This Row],[Revenue]]-Orders[[#This Row],[Expenses]]</f>
        <v>1000.4250000000002</v>
      </c>
      <c r="M1774" t="s">
        <v>2207</v>
      </c>
      <c r="N1774" t="str">
        <f>_xlfn.XLOOKUP(Orders[[#This Row],[CustomerID]],Customers[CustomerID],Customers[CustomerName])</f>
        <v>Chioma Adeyemi</v>
      </c>
      <c r="O1774" t="str">
        <f>_xlfn.XLOOKUP(Orders[[#This Row],[CustomerID]],Customers[CustomerID],Customers[City])</f>
        <v>Georgia</v>
      </c>
      <c r="P1774" t="str">
        <f>_xlfn.XLOOKUP(Orders[[#This Row],[CustomerID]],Customers[CustomerID],Customers[Gender])</f>
        <v>Female</v>
      </c>
      <c r="Q1774">
        <f>_xlfn.XLOOKUP(Orders[[#This Row],[CustomerID]],Customers[CustomerID],Customers[CustomerAge])</f>
        <v>31</v>
      </c>
      <c r="R1774" t="str">
        <f>IF(Orders[[#This Row],[CustomerAge]]&gt;=35, "Older", "Young")</f>
        <v>Young</v>
      </c>
      <c r="S1774" t="str">
        <f>_xlfn.XLOOKUP(Orders[[#This Row],[ProductID]],Products[ProductID],Products[ProductName])</f>
        <v>Kids Games</v>
      </c>
      <c r="T1774" t="str">
        <f>_xlfn.XLOOKUP(Orders[[#This Row],[ProductID]],Products[ProductID],Products[Category])</f>
        <v>Games</v>
      </c>
    </row>
    <row r="1775" spans="1:20" x14ac:dyDescent="0.25">
      <c r="A1775" s="4" t="s">
        <v>1964</v>
      </c>
      <c r="B1775" s="5">
        <v>45954</v>
      </c>
      <c r="C1775" s="15">
        <f>WEEKNUM(Orders[[#This Row],[OrderDate]])</f>
        <v>43</v>
      </c>
      <c r="D1775" s="15" t="str">
        <f>TEXT(Orders[[#This Row],[OrderDate]],"mmmm")</f>
        <v>October</v>
      </c>
      <c r="E1775" s="4" t="s">
        <v>150</v>
      </c>
      <c r="F1775" s="4" t="s">
        <v>46</v>
      </c>
      <c r="G1775" s="4">
        <v>10</v>
      </c>
      <c r="H1775" s="12">
        <v>1981.5</v>
      </c>
      <c r="I1775" s="13">
        <v>1684.2750000000001</v>
      </c>
      <c r="J1775" s="13">
        <f>Orders[[#This Row],[Quantity]]*Orders[[#This Row],[Selling Price]]</f>
        <v>19815</v>
      </c>
      <c r="K1775" s="13">
        <f>Orders[[#This Row],[Quantity]]*Orders[[#This Row],[Cost Price]]</f>
        <v>16842.75</v>
      </c>
      <c r="L1775" s="13">
        <f>Orders[[#This Row],[Revenue]]-Orders[[#This Row],[Expenses]]</f>
        <v>2972.25</v>
      </c>
      <c r="M1775" t="s">
        <v>2203</v>
      </c>
      <c r="N1775" t="str">
        <f>_xlfn.XLOOKUP(Orders[[#This Row],[CustomerID]],Customers[CustomerID],Customers[CustomerName])</f>
        <v>Ronke Eze</v>
      </c>
      <c r="O1775" t="str">
        <f>_xlfn.XLOOKUP(Orders[[#This Row],[CustomerID]],Customers[CustomerID],Customers[City])</f>
        <v>Georgia</v>
      </c>
      <c r="P1775" t="str">
        <f>_xlfn.XLOOKUP(Orders[[#This Row],[CustomerID]],Customers[CustomerID],Customers[Gender])</f>
        <v>Female</v>
      </c>
      <c r="Q1775">
        <f>_xlfn.XLOOKUP(Orders[[#This Row],[CustomerID]],Customers[CustomerID],Customers[CustomerAge])</f>
        <v>23</v>
      </c>
      <c r="R1775" t="str">
        <f>IF(Orders[[#This Row],[CustomerAge]]&gt;=35, "Older", "Young")</f>
        <v>Young</v>
      </c>
      <c r="S1775" t="str">
        <f>_xlfn.XLOOKUP(Orders[[#This Row],[ProductID]],Products[ProductID],Products[ProductName])</f>
        <v>Turtle Neck</v>
      </c>
      <c r="T1775" t="str">
        <f>_xlfn.XLOOKUP(Orders[[#This Row],[ProductID]],Products[ProductID],Products[Category])</f>
        <v>Clothing</v>
      </c>
    </row>
    <row r="1776" spans="1:20" x14ac:dyDescent="0.25">
      <c r="A1776" s="4" t="s">
        <v>1965</v>
      </c>
      <c r="B1776" s="5">
        <v>45986</v>
      </c>
      <c r="C1776" s="15">
        <f>WEEKNUM(Orders[[#This Row],[OrderDate]])</f>
        <v>48</v>
      </c>
      <c r="D1776" s="15" t="str">
        <f>TEXT(Orders[[#This Row],[OrderDate]],"mmmm")</f>
        <v>November</v>
      </c>
      <c r="E1776" s="4" t="s">
        <v>320</v>
      </c>
      <c r="F1776" s="4" t="s">
        <v>9</v>
      </c>
      <c r="G1776" s="4">
        <v>6</v>
      </c>
      <c r="H1776" s="12">
        <v>14836.099999999999</v>
      </c>
      <c r="I1776" s="13">
        <v>12610.684999999999</v>
      </c>
      <c r="J1776" s="13">
        <f>Orders[[#This Row],[Quantity]]*Orders[[#This Row],[Selling Price]]</f>
        <v>89016.599999999991</v>
      </c>
      <c r="K1776" s="13">
        <f>Orders[[#This Row],[Quantity]]*Orders[[#This Row],[Cost Price]]</f>
        <v>75664.11</v>
      </c>
      <c r="L1776" s="13">
        <f>Orders[[#This Row],[Revenue]]-Orders[[#This Row],[Expenses]]</f>
        <v>13352.489999999991</v>
      </c>
      <c r="M1776" t="s">
        <v>2209</v>
      </c>
      <c r="N1776" t="str">
        <f>_xlfn.XLOOKUP(Orders[[#This Row],[CustomerID]],Customers[CustomerID],Customers[CustomerName])</f>
        <v>Temi Okonkwo</v>
      </c>
      <c r="O1776" t="str">
        <f>_xlfn.XLOOKUP(Orders[[#This Row],[CustomerID]],Customers[CustomerID],Customers[City])</f>
        <v>Texas</v>
      </c>
      <c r="P1776" t="str">
        <f>_xlfn.XLOOKUP(Orders[[#This Row],[CustomerID]],Customers[CustomerID],Customers[Gender])</f>
        <v>Female</v>
      </c>
      <c r="Q1776">
        <f>_xlfn.XLOOKUP(Orders[[#This Row],[CustomerID]],Customers[CustomerID],Customers[CustomerAge])</f>
        <v>31</v>
      </c>
      <c r="R1776" t="str">
        <f>IF(Orders[[#This Row],[CustomerAge]]&gt;=35, "Older", "Young")</f>
        <v>Young</v>
      </c>
      <c r="S1776" t="str">
        <f>_xlfn.XLOOKUP(Orders[[#This Row],[ProductID]],Products[ProductID],Products[ProductName])</f>
        <v>Beaded Earrings And Necklaces</v>
      </c>
      <c r="T1776" t="str">
        <f>_xlfn.XLOOKUP(Orders[[#This Row],[ProductID]],Products[ProductID],Products[Category])</f>
        <v>Accessories</v>
      </c>
    </row>
    <row r="1777" spans="1:20" x14ac:dyDescent="0.25">
      <c r="A1777" s="4" t="s">
        <v>1966</v>
      </c>
      <c r="B1777" s="5">
        <v>45970</v>
      </c>
      <c r="C1777" s="15">
        <f>WEEKNUM(Orders[[#This Row],[OrderDate]])</f>
        <v>46</v>
      </c>
      <c r="D1777" s="15" t="str">
        <f>TEXT(Orders[[#This Row],[OrderDate]],"mmmm")</f>
        <v>November</v>
      </c>
      <c r="E1777" s="4" t="s">
        <v>564</v>
      </c>
      <c r="F1777" s="4" t="s">
        <v>53</v>
      </c>
      <c r="G1777" s="4">
        <v>7</v>
      </c>
      <c r="H1777" s="12">
        <v>1143.3</v>
      </c>
      <c r="I1777" s="13">
        <v>971.80499999999995</v>
      </c>
      <c r="J1777" s="13">
        <f>Orders[[#This Row],[Quantity]]*Orders[[#This Row],[Selling Price]]</f>
        <v>8003.0999999999995</v>
      </c>
      <c r="K1777" s="13">
        <f>Orders[[#This Row],[Quantity]]*Orders[[#This Row],[Cost Price]]</f>
        <v>6802.6349999999993</v>
      </c>
      <c r="L1777" s="13">
        <f>Orders[[#This Row],[Revenue]]-Orders[[#This Row],[Expenses]]</f>
        <v>1200.4650000000001</v>
      </c>
      <c r="M1777" t="s">
        <v>2195</v>
      </c>
      <c r="N1777" t="str">
        <f>_xlfn.XLOOKUP(Orders[[#This Row],[CustomerID]],Customers[CustomerID],Customers[CustomerName])</f>
        <v>Blessing Eze</v>
      </c>
      <c r="O1777" t="str">
        <f>_xlfn.XLOOKUP(Orders[[#This Row],[CustomerID]],Customers[CustomerID],Customers[City])</f>
        <v>Georgia</v>
      </c>
      <c r="P1777" t="str">
        <f>_xlfn.XLOOKUP(Orders[[#This Row],[CustomerID]],Customers[CustomerID],Customers[Gender])</f>
        <v>Female</v>
      </c>
      <c r="Q1777">
        <f>_xlfn.XLOOKUP(Orders[[#This Row],[CustomerID]],Customers[CustomerID],Customers[CustomerAge])</f>
        <v>19</v>
      </c>
      <c r="R1777" t="str">
        <f>IF(Orders[[#This Row],[CustomerAge]]&gt;=35, "Older", "Young")</f>
        <v>Young</v>
      </c>
      <c r="S1777" t="str">
        <f>_xlfn.XLOOKUP(Orders[[#This Row],[ProductID]],Products[ProductID],Products[ProductName])</f>
        <v>Silver Bangles</v>
      </c>
      <c r="T1777" t="str">
        <f>_xlfn.XLOOKUP(Orders[[#This Row],[ProductID]],Products[ProductID],Products[Category])</f>
        <v>Accessories</v>
      </c>
    </row>
    <row r="1778" spans="1:20" x14ac:dyDescent="0.25">
      <c r="A1778" s="4" t="s">
        <v>1967</v>
      </c>
      <c r="B1778" s="5">
        <v>46020</v>
      </c>
      <c r="C1778" s="15">
        <f>WEEKNUM(Orders[[#This Row],[OrderDate]])</f>
        <v>53</v>
      </c>
      <c r="D1778" s="15" t="str">
        <f>TEXT(Orders[[#This Row],[OrderDate]],"mmmm")</f>
        <v>December</v>
      </c>
      <c r="E1778" s="4" t="s">
        <v>386</v>
      </c>
      <c r="F1778" s="4" t="s">
        <v>66</v>
      </c>
      <c r="G1778" s="4">
        <v>1</v>
      </c>
      <c r="H1778" s="12">
        <v>19724.2</v>
      </c>
      <c r="I1778" s="13">
        <v>16765.57</v>
      </c>
      <c r="J1778" s="13">
        <f>Orders[[#This Row],[Quantity]]*Orders[[#This Row],[Selling Price]]</f>
        <v>19724.2</v>
      </c>
      <c r="K1778" s="13">
        <f>Orders[[#This Row],[Quantity]]*Orders[[#This Row],[Cost Price]]</f>
        <v>16765.57</v>
      </c>
      <c r="L1778" s="13">
        <f>Orders[[#This Row],[Revenue]]-Orders[[#This Row],[Expenses]]</f>
        <v>2958.630000000001</v>
      </c>
      <c r="M1778" t="s">
        <v>2216</v>
      </c>
      <c r="N1778" t="str">
        <f>_xlfn.XLOOKUP(Orders[[#This Row],[CustomerID]],Customers[CustomerID],Customers[CustomerName])</f>
        <v>Chinedu Eze</v>
      </c>
      <c r="O1778" t="str">
        <f>_xlfn.XLOOKUP(Orders[[#This Row],[CustomerID]],Customers[CustomerID],Customers[City])</f>
        <v>Washington</v>
      </c>
      <c r="P1778" t="str">
        <f>_xlfn.XLOOKUP(Orders[[#This Row],[CustomerID]],Customers[CustomerID],Customers[Gender])</f>
        <v>Male</v>
      </c>
      <c r="Q1778">
        <f>_xlfn.XLOOKUP(Orders[[#This Row],[CustomerID]],Customers[CustomerID],Customers[CustomerAge])</f>
        <v>32</v>
      </c>
      <c r="R1778" t="str">
        <f>IF(Orders[[#This Row],[CustomerAge]]&gt;=35, "Older", "Young")</f>
        <v>Young</v>
      </c>
      <c r="S1778" t="str">
        <f>_xlfn.XLOOKUP(Orders[[#This Row],[ProductID]],Products[ProductID],Products[ProductName])</f>
        <v>Microwave</v>
      </c>
      <c r="T1778" t="str">
        <f>_xlfn.XLOOKUP(Orders[[#This Row],[ProductID]],Products[ProductID],Products[Category])</f>
        <v>Electronics</v>
      </c>
    </row>
    <row r="1779" spans="1:20" x14ac:dyDescent="0.25">
      <c r="A1779" s="4" t="s">
        <v>1968</v>
      </c>
      <c r="B1779" s="5">
        <v>45981</v>
      </c>
      <c r="C1779" s="15">
        <f>WEEKNUM(Orders[[#This Row],[OrderDate]])</f>
        <v>47</v>
      </c>
      <c r="D1779" s="15" t="str">
        <f>TEXT(Orders[[#This Row],[OrderDate]],"mmmm")</f>
        <v>November</v>
      </c>
      <c r="E1779" s="4" t="s">
        <v>237</v>
      </c>
      <c r="F1779" s="4" t="s">
        <v>57</v>
      </c>
      <c r="G1779" s="4">
        <v>9</v>
      </c>
      <c r="H1779" s="12">
        <v>11726.800000000001</v>
      </c>
      <c r="I1779" s="13">
        <v>9967.7800000000007</v>
      </c>
      <c r="J1779" s="13">
        <f>Orders[[#This Row],[Quantity]]*Orders[[#This Row],[Selling Price]]</f>
        <v>105541.20000000001</v>
      </c>
      <c r="K1779" s="13">
        <f>Orders[[#This Row],[Quantity]]*Orders[[#This Row],[Cost Price]]</f>
        <v>89710.02</v>
      </c>
      <c r="L1779" s="13">
        <f>Orders[[#This Row],[Revenue]]-Orders[[#This Row],[Expenses]]</f>
        <v>15831.180000000008</v>
      </c>
      <c r="M1779" t="s">
        <v>2218</v>
      </c>
      <c r="N1779" t="str">
        <f>_xlfn.XLOOKUP(Orders[[#This Row],[CustomerID]],Customers[CustomerID],Customers[CustomerName])</f>
        <v>Ronke Danladi</v>
      </c>
      <c r="O1779" t="str">
        <f>_xlfn.XLOOKUP(Orders[[#This Row],[CustomerID]],Customers[CustomerID],Customers[City])</f>
        <v>Florida</v>
      </c>
      <c r="P1779" t="str">
        <f>_xlfn.XLOOKUP(Orders[[#This Row],[CustomerID]],Customers[CustomerID],Customers[Gender])</f>
        <v>Female</v>
      </c>
      <c r="Q1779">
        <f>_xlfn.XLOOKUP(Orders[[#This Row],[CustomerID]],Customers[CustomerID],Customers[CustomerAge])</f>
        <v>25</v>
      </c>
      <c r="R1779" t="str">
        <f>IF(Orders[[#This Row],[CustomerAge]]&gt;=35, "Older", "Young")</f>
        <v>Young</v>
      </c>
      <c r="S1779" t="str">
        <f>_xlfn.XLOOKUP(Orders[[#This Row],[ProductID]],Products[ProductID],Products[ProductName])</f>
        <v>Badminton Racket</v>
      </c>
      <c r="T1779" t="str">
        <f>_xlfn.XLOOKUP(Orders[[#This Row],[ProductID]],Products[ProductID],Products[Category])</f>
        <v>Sports</v>
      </c>
    </row>
    <row r="1780" spans="1:20" x14ac:dyDescent="0.25">
      <c r="A1780" s="4" t="s">
        <v>1969</v>
      </c>
      <c r="B1780" s="5">
        <v>45982</v>
      </c>
      <c r="C1780" s="15">
        <f>WEEKNUM(Orders[[#This Row],[OrderDate]])</f>
        <v>47</v>
      </c>
      <c r="D1780" s="15" t="str">
        <f>TEXT(Orders[[#This Row],[OrderDate]],"mmmm")</f>
        <v>November</v>
      </c>
      <c r="E1780" s="4" t="s">
        <v>418</v>
      </c>
      <c r="F1780" s="4" t="s">
        <v>31</v>
      </c>
      <c r="G1780" s="4">
        <v>9</v>
      </c>
      <c r="H1780" s="12">
        <v>16132.6</v>
      </c>
      <c r="I1780" s="13">
        <v>13712.710000000001</v>
      </c>
      <c r="J1780" s="13">
        <f>Orders[[#This Row],[Quantity]]*Orders[[#This Row],[Selling Price]]</f>
        <v>145193.4</v>
      </c>
      <c r="K1780" s="13">
        <f>Orders[[#This Row],[Quantity]]*Orders[[#This Row],[Cost Price]]</f>
        <v>123414.39000000001</v>
      </c>
      <c r="L1780" s="13">
        <f>Orders[[#This Row],[Revenue]]-Orders[[#This Row],[Expenses]]</f>
        <v>21779.00999999998</v>
      </c>
      <c r="M1780" t="s">
        <v>2209</v>
      </c>
      <c r="N1780" t="str">
        <f>_xlfn.XLOOKUP(Orders[[#This Row],[CustomerID]],Customers[CustomerID],Customers[CustomerName])</f>
        <v>Amina Danladi</v>
      </c>
      <c r="O1780" t="str">
        <f>_xlfn.XLOOKUP(Orders[[#This Row],[CustomerID]],Customers[CustomerID],Customers[City])</f>
        <v>Illinois</v>
      </c>
      <c r="P1780" t="str">
        <f>_xlfn.XLOOKUP(Orders[[#This Row],[CustomerID]],Customers[CustomerID],Customers[Gender])</f>
        <v>Female</v>
      </c>
      <c r="Q1780">
        <f>_xlfn.XLOOKUP(Orders[[#This Row],[CustomerID]],Customers[CustomerID],Customers[CustomerAge])</f>
        <v>20</v>
      </c>
      <c r="R1780" t="str">
        <f>IF(Orders[[#This Row],[CustomerAge]]&gt;=35, "Older", "Young")</f>
        <v>Young</v>
      </c>
      <c r="S1780" t="str">
        <f>_xlfn.XLOOKUP(Orders[[#This Row],[ProductID]],Products[ProductID],Products[ProductName])</f>
        <v>Kids Games</v>
      </c>
      <c r="T1780" t="str">
        <f>_xlfn.XLOOKUP(Orders[[#This Row],[ProductID]],Products[ProductID],Products[Category])</f>
        <v>Games</v>
      </c>
    </row>
    <row r="1781" spans="1:20" x14ac:dyDescent="0.25">
      <c r="A1781" s="4" t="s">
        <v>1970</v>
      </c>
      <c r="B1781" s="5">
        <v>45937</v>
      </c>
      <c r="C1781" s="15">
        <f>WEEKNUM(Orders[[#This Row],[OrderDate]])</f>
        <v>41</v>
      </c>
      <c r="D1781" s="15" t="str">
        <f>TEXT(Orders[[#This Row],[OrderDate]],"mmmm")</f>
        <v>October</v>
      </c>
      <c r="E1781" s="4" t="s">
        <v>176</v>
      </c>
      <c r="F1781" s="4" t="s">
        <v>157</v>
      </c>
      <c r="G1781" s="4">
        <v>3</v>
      </c>
      <c r="H1781" s="12">
        <v>11282.3</v>
      </c>
      <c r="I1781" s="13">
        <v>9589.9549999999999</v>
      </c>
      <c r="J1781" s="13">
        <f>Orders[[#This Row],[Quantity]]*Orders[[#This Row],[Selling Price]]</f>
        <v>33846.899999999994</v>
      </c>
      <c r="K1781" s="13">
        <f>Orders[[#This Row],[Quantity]]*Orders[[#This Row],[Cost Price]]</f>
        <v>28769.864999999998</v>
      </c>
      <c r="L1781" s="13">
        <f>Orders[[#This Row],[Revenue]]-Orders[[#This Row],[Expenses]]</f>
        <v>5077.0349999999962</v>
      </c>
      <c r="M1781" t="s">
        <v>2198</v>
      </c>
      <c r="N1781" t="str">
        <f>_xlfn.XLOOKUP(Orders[[#This Row],[CustomerID]],Customers[CustomerID],Customers[CustomerName])</f>
        <v>Okon Eze</v>
      </c>
      <c r="O1781" t="str">
        <f>_xlfn.XLOOKUP(Orders[[#This Row],[CustomerID]],Customers[CustomerID],Customers[City])</f>
        <v>Florida</v>
      </c>
      <c r="P1781" t="str">
        <f>_xlfn.XLOOKUP(Orders[[#This Row],[CustomerID]],Customers[CustomerID],Customers[Gender])</f>
        <v>Male</v>
      </c>
      <c r="Q1781">
        <f>_xlfn.XLOOKUP(Orders[[#This Row],[CustomerID]],Customers[CustomerID],Customers[CustomerAge])</f>
        <v>26</v>
      </c>
      <c r="R1781" t="str">
        <f>IF(Orders[[#This Row],[CustomerAge]]&gt;=35, "Older", "Young")</f>
        <v>Young</v>
      </c>
      <c r="S1781" t="str">
        <f>_xlfn.XLOOKUP(Orders[[#This Row],[ProductID]],Products[ProductID],Products[ProductName])</f>
        <v>Football</v>
      </c>
      <c r="T1781" t="str">
        <f>_xlfn.XLOOKUP(Orders[[#This Row],[ProductID]],Products[ProductID],Products[Category])</f>
        <v>Sports</v>
      </c>
    </row>
    <row r="1782" spans="1:20" x14ac:dyDescent="0.25">
      <c r="A1782" s="4" t="s">
        <v>1971</v>
      </c>
      <c r="B1782" s="5">
        <v>45985</v>
      </c>
      <c r="C1782" s="15">
        <f>WEEKNUM(Orders[[#This Row],[OrderDate]])</f>
        <v>48</v>
      </c>
      <c r="D1782" s="15" t="str">
        <f>TEXT(Orders[[#This Row],[OrderDate]],"mmmm")</f>
        <v>November</v>
      </c>
      <c r="E1782" s="4" t="s">
        <v>136</v>
      </c>
      <c r="F1782" s="4" t="s">
        <v>28</v>
      </c>
      <c r="G1782" s="4">
        <v>8</v>
      </c>
      <c r="H1782" s="12">
        <v>7732</v>
      </c>
      <c r="I1782" s="13">
        <v>6572.2</v>
      </c>
      <c r="J1782" s="13">
        <f>Orders[[#This Row],[Quantity]]*Orders[[#This Row],[Selling Price]]</f>
        <v>61856</v>
      </c>
      <c r="K1782" s="13">
        <f>Orders[[#This Row],[Quantity]]*Orders[[#This Row],[Cost Price]]</f>
        <v>52577.599999999999</v>
      </c>
      <c r="L1782" s="13">
        <f>Orders[[#This Row],[Revenue]]-Orders[[#This Row],[Expenses]]</f>
        <v>9278.4000000000015</v>
      </c>
      <c r="M1782" t="s">
        <v>2192</v>
      </c>
      <c r="N1782" t="str">
        <f>_xlfn.XLOOKUP(Orders[[#This Row],[CustomerID]],Customers[CustomerID],Customers[CustomerName])</f>
        <v>Chinedu Obi</v>
      </c>
      <c r="O1782" t="str">
        <f>_xlfn.XLOOKUP(Orders[[#This Row],[CustomerID]],Customers[CustomerID],Customers[City])</f>
        <v>California</v>
      </c>
      <c r="P1782" t="str">
        <f>_xlfn.XLOOKUP(Orders[[#This Row],[CustomerID]],Customers[CustomerID],Customers[Gender])</f>
        <v>Male</v>
      </c>
      <c r="Q1782">
        <f>_xlfn.XLOOKUP(Orders[[#This Row],[CustomerID]],Customers[CustomerID],Customers[CustomerAge])</f>
        <v>27</v>
      </c>
      <c r="R1782" t="str">
        <f>IF(Orders[[#This Row],[CustomerAge]]&gt;=35, "Older", "Young")</f>
        <v>Young</v>
      </c>
      <c r="S1782" t="str">
        <f>_xlfn.XLOOKUP(Orders[[#This Row],[ProductID]],Products[ProductID],Products[ProductName])</f>
        <v>Sneakers</v>
      </c>
      <c r="T1782" t="str">
        <f>_xlfn.XLOOKUP(Orders[[#This Row],[ProductID]],Products[ProductID],Products[Category])</f>
        <v>Sports</v>
      </c>
    </row>
    <row r="1783" spans="1:20" x14ac:dyDescent="0.25">
      <c r="A1783" s="4" t="s">
        <v>1972</v>
      </c>
      <c r="B1783" s="5">
        <v>45969</v>
      </c>
      <c r="C1783" s="15">
        <f>WEEKNUM(Orders[[#This Row],[OrderDate]])</f>
        <v>45</v>
      </c>
      <c r="D1783" s="15" t="str">
        <f>TEXT(Orders[[#This Row],[OrderDate]],"mmmm")</f>
        <v>November</v>
      </c>
      <c r="E1783" s="4" t="s">
        <v>11</v>
      </c>
      <c r="F1783" s="4" t="s">
        <v>111</v>
      </c>
      <c r="G1783" s="4">
        <v>3</v>
      </c>
      <c r="H1783" s="12">
        <v>1582.4</v>
      </c>
      <c r="I1783" s="13">
        <v>1345.04</v>
      </c>
      <c r="J1783" s="13">
        <f>Orders[[#This Row],[Quantity]]*Orders[[#This Row],[Selling Price]]</f>
        <v>4747.2000000000007</v>
      </c>
      <c r="K1783" s="13">
        <f>Orders[[#This Row],[Quantity]]*Orders[[#This Row],[Cost Price]]</f>
        <v>4035.12</v>
      </c>
      <c r="L1783" s="13">
        <f>Orders[[#This Row],[Revenue]]-Orders[[#This Row],[Expenses]]</f>
        <v>712.08000000000084</v>
      </c>
      <c r="M1783" t="s">
        <v>2209</v>
      </c>
      <c r="N1783" t="str">
        <f>_xlfn.XLOOKUP(Orders[[#This Row],[CustomerID]],Customers[CustomerID],Customers[CustomerName])</f>
        <v>Efe Ojo</v>
      </c>
      <c r="O1783" t="str">
        <f>_xlfn.XLOOKUP(Orders[[#This Row],[CustomerID]],Customers[CustomerID],Customers[City])</f>
        <v>Texas</v>
      </c>
      <c r="P1783" t="str">
        <f>_xlfn.XLOOKUP(Orders[[#This Row],[CustomerID]],Customers[CustomerID],Customers[Gender])</f>
        <v>Female</v>
      </c>
      <c r="Q1783">
        <f>_xlfn.XLOOKUP(Orders[[#This Row],[CustomerID]],Customers[CustomerID],Customers[CustomerAge])</f>
        <v>55</v>
      </c>
      <c r="R1783" t="str">
        <f>IF(Orders[[#This Row],[CustomerAge]]&gt;=35, "Older", "Young")</f>
        <v>Older</v>
      </c>
      <c r="S1783" t="str">
        <f>_xlfn.XLOOKUP(Orders[[#This Row],[ProductID]],Products[ProductID],Products[ProductName])</f>
        <v>Refrigerator</v>
      </c>
      <c r="T1783" t="str">
        <f>_xlfn.XLOOKUP(Orders[[#This Row],[ProductID]],Products[ProductID],Products[Category])</f>
        <v>Electronics</v>
      </c>
    </row>
    <row r="1784" spans="1:20" x14ac:dyDescent="0.25">
      <c r="A1784" s="4" t="s">
        <v>1973</v>
      </c>
      <c r="B1784" s="5">
        <v>45951</v>
      </c>
      <c r="C1784" s="15">
        <f>WEEKNUM(Orders[[#This Row],[OrderDate]])</f>
        <v>43</v>
      </c>
      <c r="D1784" s="15" t="str">
        <f>TEXT(Orders[[#This Row],[OrderDate]],"mmmm")</f>
        <v>October</v>
      </c>
      <c r="E1784" s="4" t="s">
        <v>346</v>
      </c>
      <c r="F1784" s="4" t="s">
        <v>31</v>
      </c>
      <c r="G1784" s="4">
        <v>4</v>
      </c>
      <c r="H1784" s="12">
        <v>4613.8999999999996</v>
      </c>
      <c r="I1784" s="13">
        <v>3921.8149999999996</v>
      </c>
      <c r="J1784" s="13">
        <f>Orders[[#This Row],[Quantity]]*Orders[[#This Row],[Selling Price]]</f>
        <v>18455.599999999999</v>
      </c>
      <c r="K1784" s="13">
        <f>Orders[[#This Row],[Quantity]]*Orders[[#This Row],[Cost Price]]</f>
        <v>15687.259999999998</v>
      </c>
      <c r="L1784" s="13">
        <f>Orders[[#This Row],[Revenue]]-Orders[[#This Row],[Expenses]]</f>
        <v>2768.34</v>
      </c>
      <c r="M1784" t="s">
        <v>2201</v>
      </c>
      <c r="N1784" t="str">
        <f>_xlfn.XLOOKUP(Orders[[#This Row],[CustomerID]],Customers[CustomerID],Customers[CustomerName])</f>
        <v>Ngozi Danladi</v>
      </c>
      <c r="O1784" t="str">
        <f>_xlfn.XLOOKUP(Orders[[#This Row],[CustomerID]],Customers[CustomerID],Customers[City])</f>
        <v>California</v>
      </c>
      <c r="P1784" t="str">
        <f>_xlfn.XLOOKUP(Orders[[#This Row],[CustomerID]],Customers[CustomerID],Customers[Gender])</f>
        <v>Female</v>
      </c>
      <c r="Q1784">
        <f>_xlfn.XLOOKUP(Orders[[#This Row],[CustomerID]],Customers[CustomerID],Customers[CustomerAge])</f>
        <v>30</v>
      </c>
      <c r="R1784" t="str">
        <f>IF(Orders[[#This Row],[CustomerAge]]&gt;=35, "Older", "Young")</f>
        <v>Young</v>
      </c>
      <c r="S1784" t="str">
        <f>_xlfn.XLOOKUP(Orders[[#This Row],[ProductID]],Products[ProductID],Products[ProductName])</f>
        <v>Kids Games</v>
      </c>
      <c r="T1784" t="str">
        <f>_xlfn.XLOOKUP(Orders[[#This Row],[ProductID]],Products[ProductID],Products[Category])</f>
        <v>Games</v>
      </c>
    </row>
    <row r="1785" spans="1:20" x14ac:dyDescent="0.25">
      <c r="A1785" s="4" t="s">
        <v>1974</v>
      </c>
      <c r="B1785" s="5">
        <v>46003</v>
      </c>
      <c r="C1785" s="15">
        <f>WEEKNUM(Orders[[#This Row],[OrderDate]])</f>
        <v>50</v>
      </c>
      <c r="D1785" s="15" t="str">
        <f>TEXT(Orders[[#This Row],[OrderDate]],"mmmm")</f>
        <v>December</v>
      </c>
      <c r="E1785" s="4" t="s">
        <v>52</v>
      </c>
      <c r="F1785" s="4" t="s">
        <v>189</v>
      </c>
      <c r="G1785" s="4">
        <v>10</v>
      </c>
      <c r="H1785" s="12">
        <v>6132.7</v>
      </c>
      <c r="I1785" s="13">
        <v>5212.7950000000001</v>
      </c>
      <c r="J1785" s="13">
        <f>Orders[[#This Row],[Quantity]]*Orders[[#This Row],[Selling Price]]</f>
        <v>61327</v>
      </c>
      <c r="K1785" s="13">
        <f>Orders[[#This Row],[Quantity]]*Orders[[#This Row],[Cost Price]]</f>
        <v>52127.95</v>
      </c>
      <c r="L1785" s="13">
        <f>Orders[[#This Row],[Revenue]]-Orders[[#This Row],[Expenses]]</f>
        <v>9199.0500000000029</v>
      </c>
      <c r="M1785" t="s">
        <v>2214</v>
      </c>
      <c r="N1785" t="str">
        <f>_xlfn.XLOOKUP(Orders[[#This Row],[CustomerID]],Customers[CustomerID],Customers[CustomerName])</f>
        <v>Folasade Ojo</v>
      </c>
      <c r="O1785" t="str">
        <f>_xlfn.XLOOKUP(Orders[[#This Row],[CustomerID]],Customers[CustomerID],Customers[City])</f>
        <v>Texas</v>
      </c>
      <c r="P1785" t="str">
        <f>_xlfn.XLOOKUP(Orders[[#This Row],[CustomerID]],Customers[CustomerID],Customers[Gender])</f>
        <v>Female</v>
      </c>
      <c r="Q1785">
        <f>_xlfn.XLOOKUP(Orders[[#This Row],[CustomerID]],Customers[CustomerID],Customers[CustomerAge])</f>
        <v>29</v>
      </c>
      <c r="R1785" t="str">
        <f>IF(Orders[[#This Row],[CustomerAge]]&gt;=35, "Older", "Young")</f>
        <v>Young</v>
      </c>
      <c r="S1785" t="str">
        <f>_xlfn.XLOOKUP(Orders[[#This Row],[ProductID]],Products[ProductID],Products[ProductName])</f>
        <v>Scrabble</v>
      </c>
      <c r="T1785" t="str">
        <f>_xlfn.XLOOKUP(Orders[[#This Row],[ProductID]],Products[ProductID],Products[Category])</f>
        <v>Games</v>
      </c>
    </row>
    <row r="1786" spans="1:20" x14ac:dyDescent="0.25">
      <c r="A1786" s="4" t="s">
        <v>1975</v>
      </c>
      <c r="B1786" s="5">
        <v>45998</v>
      </c>
      <c r="C1786" s="15">
        <f>WEEKNUM(Orders[[#This Row],[OrderDate]])</f>
        <v>50</v>
      </c>
      <c r="D1786" s="15" t="str">
        <f>TEXT(Orders[[#This Row],[OrderDate]],"mmmm")</f>
        <v>December</v>
      </c>
      <c r="E1786" s="4" t="s">
        <v>386</v>
      </c>
      <c r="F1786" s="4" t="s">
        <v>15</v>
      </c>
      <c r="G1786" s="4">
        <v>4</v>
      </c>
      <c r="H1786" s="12">
        <v>11724.8</v>
      </c>
      <c r="I1786" s="13">
        <v>9966.08</v>
      </c>
      <c r="J1786" s="13">
        <f>Orders[[#This Row],[Quantity]]*Orders[[#This Row],[Selling Price]]</f>
        <v>46899.199999999997</v>
      </c>
      <c r="K1786" s="13">
        <f>Orders[[#This Row],[Quantity]]*Orders[[#This Row],[Cost Price]]</f>
        <v>39864.32</v>
      </c>
      <c r="L1786" s="13">
        <f>Orders[[#This Row],[Revenue]]-Orders[[#This Row],[Expenses]]</f>
        <v>7034.8799999999974</v>
      </c>
      <c r="M1786" t="s">
        <v>2202</v>
      </c>
      <c r="N1786" t="str">
        <f>_xlfn.XLOOKUP(Orders[[#This Row],[CustomerID]],Customers[CustomerID],Customers[CustomerName])</f>
        <v>Chinedu Eze</v>
      </c>
      <c r="O1786" t="str">
        <f>_xlfn.XLOOKUP(Orders[[#This Row],[CustomerID]],Customers[CustomerID],Customers[City])</f>
        <v>Washington</v>
      </c>
      <c r="P1786" t="str">
        <f>_xlfn.XLOOKUP(Orders[[#This Row],[CustomerID]],Customers[CustomerID],Customers[Gender])</f>
        <v>Male</v>
      </c>
      <c r="Q1786">
        <f>_xlfn.XLOOKUP(Orders[[#This Row],[CustomerID]],Customers[CustomerID],Customers[CustomerAge])</f>
        <v>32</v>
      </c>
      <c r="R1786" t="str">
        <f>IF(Orders[[#This Row],[CustomerAge]]&gt;=35, "Older", "Young")</f>
        <v>Young</v>
      </c>
      <c r="S1786" t="str">
        <f>_xlfn.XLOOKUP(Orders[[#This Row],[ProductID]],Products[ProductID],Products[ProductName])</f>
        <v>Monopoly</v>
      </c>
      <c r="T1786" t="str">
        <f>_xlfn.XLOOKUP(Orders[[#This Row],[ProductID]],Products[ProductID],Products[Category])</f>
        <v>Games</v>
      </c>
    </row>
    <row r="1787" spans="1:20" x14ac:dyDescent="0.25">
      <c r="A1787" s="4" t="s">
        <v>1976</v>
      </c>
      <c r="B1787" s="5">
        <v>45966</v>
      </c>
      <c r="C1787" s="15">
        <f>WEEKNUM(Orders[[#This Row],[OrderDate]])</f>
        <v>45</v>
      </c>
      <c r="D1787" s="15" t="str">
        <f>TEXT(Orders[[#This Row],[OrderDate]],"mmmm")</f>
        <v>November</v>
      </c>
      <c r="E1787" s="4" t="s">
        <v>352</v>
      </c>
      <c r="F1787" s="4" t="s">
        <v>31</v>
      </c>
      <c r="G1787" s="4">
        <v>5</v>
      </c>
      <c r="H1787" s="12">
        <v>6084.5</v>
      </c>
      <c r="I1787" s="13">
        <v>5171.8249999999998</v>
      </c>
      <c r="J1787" s="13">
        <f>Orders[[#This Row],[Quantity]]*Orders[[#This Row],[Selling Price]]</f>
        <v>30422.5</v>
      </c>
      <c r="K1787" s="13">
        <f>Orders[[#This Row],[Quantity]]*Orders[[#This Row],[Cost Price]]</f>
        <v>25859.125</v>
      </c>
      <c r="L1787" s="13">
        <f>Orders[[#This Row],[Revenue]]-Orders[[#This Row],[Expenses]]</f>
        <v>4563.375</v>
      </c>
      <c r="M1787" t="s">
        <v>2209</v>
      </c>
      <c r="N1787" t="str">
        <f>_xlfn.XLOOKUP(Orders[[#This Row],[CustomerID]],Customers[CustomerID],Customers[CustomerName])</f>
        <v>Zainab Eze</v>
      </c>
      <c r="O1787" t="str">
        <f>_xlfn.XLOOKUP(Orders[[#This Row],[CustomerID]],Customers[CustomerID],Customers[City])</f>
        <v>Texas</v>
      </c>
      <c r="P1787" t="str">
        <f>_xlfn.XLOOKUP(Orders[[#This Row],[CustomerID]],Customers[CustomerID],Customers[Gender])</f>
        <v>Female</v>
      </c>
      <c r="Q1787">
        <f>_xlfn.XLOOKUP(Orders[[#This Row],[CustomerID]],Customers[CustomerID],Customers[CustomerAge])</f>
        <v>40</v>
      </c>
      <c r="R1787" t="str">
        <f>IF(Orders[[#This Row],[CustomerAge]]&gt;=35, "Older", "Young")</f>
        <v>Older</v>
      </c>
      <c r="S1787" t="str">
        <f>_xlfn.XLOOKUP(Orders[[#This Row],[ProductID]],Products[ProductID],Products[ProductName])</f>
        <v>Kids Games</v>
      </c>
      <c r="T1787" t="str">
        <f>_xlfn.XLOOKUP(Orders[[#This Row],[ProductID]],Products[ProductID],Products[Category])</f>
        <v>Games</v>
      </c>
    </row>
    <row r="1788" spans="1:20" x14ac:dyDescent="0.25">
      <c r="A1788" s="4" t="s">
        <v>1977</v>
      </c>
      <c r="B1788" s="5">
        <v>45955</v>
      </c>
      <c r="C1788" s="15">
        <f>WEEKNUM(Orders[[#This Row],[OrderDate]])</f>
        <v>43</v>
      </c>
      <c r="D1788" s="15" t="str">
        <f>TEXT(Orders[[#This Row],[OrderDate]],"mmmm")</f>
        <v>October</v>
      </c>
      <c r="E1788" s="4" t="s">
        <v>180</v>
      </c>
      <c r="F1788" s="4" t="s">
        <v>120</v>
      </c>
      <c r="G1788" s="4">
        <v>6</v>
      </c>
      <c r="H1788" s="12">
        <v>6050</v>
      </c>
      <c r="I1788" s="13">
        <v>5142.5</v>
      </c>
      <c r="J1788" s="13">
        <f>Orders[[#This Row],[Quantity]]*Orders[[#This Row],[Selling Price]]</f>
        <v>36300</v>
      </c>
      <c r="K1788" s="13">
        <f>Orders[[#This Row],[Quantity]]*Orders[[#This Row],[Cost Price]]</f>
        <v>30855</v>
      </c>
      <c r="L1788" s="13">
        <f>Orders[[#This Row],[Revenue]]-Orders[[#This Row],[Expenses]]</f>
        <v>5445</v>
      </c>
      <c r="M1788" t="s">
        <v>2212</v>
      </c>
      <c r="N1788" t="str">
        <f>_xlfn.XLOOKUP(Orders[[#This Row],[CustomerID]],Customers[CustomerID],Customers[CustomerName])</f>
        <v>Jide Okonkwo</v>
      </c>
      <c r="O1788" t="str">
        <f>_xlfn.XLOOKUP(Orders[[#This Row],[CustomerID]],Customers[CustomerID],Customers[City])</f>
        <v>Texas</v>
      </c>
      <c r="P1788" t="str">
        <f>_xlfn.XLOOKUP(Orders[[#This Row],[CustomerID]],Customers[CustomerID],Customers[Gender])</f>
        <v>Male</v>
      </c>
      <c r="Q1788">
        <f>_xlfn.XLOOKUP(Orders[[#This Row],[CustomerID]],Customers[CustomerID],Customers[CustomerAge])</f>
        <v>25</v>
      </c>
      <c r="R1788" t="str">
        <f>IF(Orders[[#This Row],[CustomerAge]]&gt;=35, "Older", "Young")</f>
        <v>Young</v>
      </c>
      <c r="S1788" t="str">
        <f>_xlfn.XLOOKUP(Orders[[#This Row],[ProductID]],Products[ProductID],Products[ProductName])</f>
        <v>Chess</v>
      </c>
      <c r="T1788" t="str">
        <f>_xlfn.XLOOKUP(Orders[[#This Row],[ProductID]],Products[ProductID],Products[Category])</f>
        <v>Games</v>
      </c>
    </row>
    <row r="1789" spans="1:20" x14ac:dyDescent="0.25">
      <c r="A1789" s="4" t="s">
        <v>1978</v>
      </c>
      <c r="B1789" s="5">
        <v>45935</v>
      </c>
      <c r="C1789" s="15">
        <f>WEEKNUM(Orders[[#This Row],[OrderDate]])</f>
        <v>41</v>
      </c>
      <c r="D1789" s="15" t="str">
        <f>TEXT(Orders[[#This Row],[OrderDate]],"mmmm")</f>
        <v>October</v>
      </c>
      <c r="E1789" s="4" t="s">
        <v>757</v>
      </c>
      <c r="F1789" s="4" t="s">
        <v>60</v>
      </c>
      <c r="G1789" s="4">
        <v>4</v>
      </c>
      <c r="H1789" s="12">
        <v>2733.5</v>
      </c>
      <c r="I1789" s="13">
        <v>2323.4749999999999</v>
      </c>
      <c r="J1789" s="13">
        <f>Orders[[#This Row],[Quantity]]*Orders[[#This Row],[Selling Price]]</f>
        <v>10934</v>
      </c>
      <c r="K1789" s="13">
        <f>Orders[[#This Row],[Quantity]]*Orders[[#This Row],[Cost Price]]</f>
        <v>9293.9</v>
      </c>
      <c r="L1789" s="13">
        <f>Orders[[#This Row],[Revenue]]-Orders[[#This Row],[Expenses]]</f>
        <v>1640.1000000000004</v>
      </c>
      <c r="M1789" t="s">
        <v>2217</v>
      </c>
      <c r="N1789" t="str">
        <f>_xlfn.XLOOKUP(Orders[[#This Row],[CustomerID]],Customers[CustomerID],Customers[CustomerName])</f>
        <v>Okon Balogun</v>
      </c>
      <c r="O1789" t="str">
        <f>_xlfn.XLOOKUP(Orders[[#This Row],[CustomerID]],Customers[CustomerID],Customers[City])</f>
        <v>Texas</v>
      </c>
      <c r="P1789" t="str">
        <f>_xlfn.XLOOKUP(Orders[[#This Row],[CustomerID]],Customers[CustomerID],Customers[Gender])</f>
        <v>Male</v>
      </c>
      <c r="Q1789">
        <f>_xlfn.XLOOKUP(Orders[[#This Row],[CustomerID]],Customers[CustomerID],Customers[CustomerAge])</f>
        <v>20</v>
      </c>
      <c r="R1789" t="str">
        <f>IF(Orders[[#This Row],[CustomerAge]]&gt;=35, "Older", "Young")</f>
        <v>Young</v>
      </c>
      <c r="S1789" t="str">
        <f>_xlfn.XLOOKUP(Orders[[#This Row],[ProductID]],Products[ProductID],Products[ProductName])</f>
        <v>Silver Rings</v>
      </c>
      <c r="T1789" t="str">
        <f>_xlfn.XLOOKUP(Orders[[#This Row],[ProductID]],Products[ProductID],Products[Category])</f>
        <v>Accessories</v>
      </c>
    </row>
    <row r="1790" spans="1:20" x14ac:dyDescent="0.25">
      <c r="A1790" s="4" t="s">
        <v>1979</v>
      </c>
      <c r="B1790" s="5">
        <v>45982</v>
      </c>
      <c r="C1790" s="15">
        <f>WEEKNUM(Orders[[#This Row],[OrderDate]])</f>
        <v>47</v>
      </c>
      <c r="D1790" s="15" t="str">
        <f>TEXT(Orders[[#This Row],[OrderDate]],"mmmm")</f>
        <v>November</v>
      </c>
      <c r="E1790" s="4" t="s">
        <v>45</v>
      </c>
      <c r="F1790" s="4" t="s">
        <v>111</v>
      </c>
      <c r="G1790" s="4">
        <v>7</v>
      </c>
      <c r="H1790" s="12">
        <v>19395</v>
      </c>
      <c r="I1790" s="13">
        <v>16485.75</v>
      </c>
      <c r="J1790" s="13">
        <f>Orders[[#This Row],[Quantity]]*Orders[[#This Row],[Selling Price]]</f>
        <v>135765</v>
      </c>
      <c r="K1790" s="13">
        <f>Orders[[#This Row],[Quantity]]*Orders[[#This Row],[Cost Price]]</f>
        <v>115400.25</v>
      </c>
      <c r="L1790" s="13">
        <f>Orders[[#This Row],[Revenue]]-Orders[[#This Row],[Expenses]]</f>
        <v>20364.75</v>
      </c>
      <c r="M1790" t="s">
        <v>2198</v>
      </c>
      <c r="N1790" t="str">
        <f>_xlfn.XLOOKUP(Orders[[#This Row],[CustomerID]],Customers[CustomerID],Customers[CustomerName])</f>
        <v>Abiola Abubakar</v>
      </c>
      <c r="O1790" t="str">
        <f>_xlfn.XLOOKUP(Orders[[#This Row],[CustomerID]],Customers[CustomerID],Customers[City])</f>
        <v>Florida</v>
      </c>
      <c r="P1790" t="str">
        <f>_xlfn.XLOOKUP(Orders[[#This Row],[CustomerID]],Customers[CustomerID],Customers[Gender])</f>
        <v>Male</v>
      </c>
      <c r="Q1790">
        <f>_xlfn.XLOOKUP(Orders[[#This Row],[CustomerID]],Customers[CustomerID],Customers[CustomerAge])</f>
        <v>26</v>
      </c>
      <c r="R1790" t="str">
        <f>IF(Orders[[#This Row],[CustomerAge]]&gt;=35, "Older", "Young")</f>
        <v>Young</v>
      </c>
      <c r="S1790" t="str">
        <f>_xlfn.XLOOKUP(Orders[[#This Row],[ProductID]],Products[ProductID],Products[ProductName])</f>
        <v>Refrigerator</v>
      </c>
      <c r="T1790" t="str">
        <f>_xlfn.XLOOKUP(Orders[[#This Row],[ProductID]],Products[ProductID],Products[Category])</f>
        <v>Electronics</v>
      </c>
    </row>
    <row r="1791" spans="1:20" x14ac:dyDescent="0.25">
      <c r="A1791" s="4" t="s">
        <v>1980</v>
      </c>
      <c r="B1791" s="5">
        <v>46021</v>
      </c>
      <c r="C1791" s="15">
        <f>WEEKNUM(Orders[[#This Row],[OrderDate]])</f>
        <v>53</v>
      </c>
      <c r="D1791" s="15" t="str">
        <f>TEXT(Orders[[#This Row],[OrderDate]],"mmmm")</f>
        <v>December</v>
      </c>
      <c r="E1791" s="4" t="s">
        <v>87</v>
      </c>
      <c r="F1791" s="4" t="s">
        <v>9</v>
      </c>
      <c r="G1791" s="4">
        <v>1</v>
      </c>
      <c r="H1791" s="12">
        <v>9789.2999999999993</v>
      </c>
      <c r="I1791" s="13">
        <v>8320.9049999999988</v>
      </c>
      <c r="J1791" s="13">
        <f>Orders[[#This Row],[Quantity]]*Orders[[#This Row],[Selling Price]]</f>
        <v>9789.2999999999993</v>
      </c>
      <c r="K1791" s="13">
        <f>Orders[[#This Row],[Quantity]]*Orders[[#This Row],[Cost Price]]</f>
        <v>8320.9049999999988</v>
      </c>
      <c r="L1791" s="13">
        <f>Orders[[#This Row],[Revenue]]-Orders[[#This Row],[Expenses]]</f>
        <v>1468.3950000000004</v>
      </c>
      <c r="M1791" t="s">
        <v>2220</v>
      </c>
      <c r="N1791" t="str">
        <f>_xlfn.XLOOKUP(Orders[[#This Row],[CustomerID]],Customers[CustomerID],Customers[CustomerName])</f>
        <v>Efe Igwe</v>
      </c>
      <c r="O1791" t="str">
        <f>_xlfn.XLOOKUP(Orders[[#This Row],[CustomerID]],Customers[CustomerID],Customers[City])</f>
        <v>Illinois</v>
      </c>
      <c r="P1791" t="str">
        <f>_xlfn.XLOOKUP(Orders[[#This Row],[CustomerID]],Customers[CustomerID],Customers[Gender])</f>
        <v>Female</v>
      </c>
      <c r="Q1791">
        <f>_xlfn.XLOOKUP(Orders[[#This Row],[CustomerID]],Customers[CustomerID],Customers[CustomerAge])</f>
        <v>34</v>
      </c>
      <c r="R1791" t="str">
        <f>IF(Orders[[#This Row],[CustomerAge]]&gt;=35, "Older", "Young")</f>
        <v>Young</v>
      </c>
      <c r="S1791" t="str">
        <f>_xlfn.XLOOKUP(Orders[[#This Row],[ProductID]],Products[ProductID],Products[ProductName])</f>
        <v>Beaded Earrings And Necklaces</v>
      </c>
      <c r="T1791" t="str">
        <f>_xlfn.XLOOKUP(Orders[[#This Row],[ProductID]],Products[ProductID],Products[Category])</f>
        <v>Accessories</v>
      </c>
    </row>
    <row r="1792" spans="1:20" x14ac:dyDescent="0.25">
      <c r="A1792" s="4" t="s">
        <v>1981</v>
      </c>
      <c r="B1792" s="5">
        <v>45945</v>
      </c>
      <c r="C1792" s="15">
        <f>WEEKNUM(Orders[[#This Row],[OrderDate]])</f>
        <v>42</v>
      </c>
      <c r="D1792" s="15" t="str">
        <f>TEXT(Orders[[#This Row],[OrderDate]],"mmmm")</f>
        <v>October</v>
      </c>
      <c r="E1792" s="4" t="s">
        <v>68</v>
      </c>
      <c r="F1792" s="4" t="s">
        <v>15</v>
      </c>
      <c r="G1792" s="4">
        <v>1</v>
      </c>
      <c r="H1792" s="12">
        <v>2943</v>
      </c>
      <c r="I1792" s="13">
        <v>2501.5500000000002</v>
      </c>
      <c r="J1792" s="13">
        <f>Orders[[#This Row],[Quantity]]*Orders[[#This Row],[Selling Price]]</f>
        <v>2943</v>
      </c>
      <c r="K1792" s="13">
        <f>Orders[[#This Row],[Quantity]]*Orders[[#This Row],[Cost Price]]</f>
        <v>2501.5500000000002</v>
      </c>
      <c r="L1792" s="13">
        <f>Orders[[#This Row],[Revenue]]-Orders[[#This Row],[Expenses]]</f>
        <v>441.44999999999982</v>
      </c>
      <c r="M1792" t="s">
        <v>2193</v>
      </c>
      <c r="N1792" t="str">
        <f>_xlfn.XLOOKUP(Orders[[#This Row],[CustomerID]],Customers[CustomerID],Customers[CustomerName])</f>
        <v>Abiola Balogun</v>
      </c>
      <c r="O1792" t="str">
        <f>_xlfn.XLOOKUP(Orders[[#This Row],[CustomerID]],Customers[CustomerID],Customers[City])</f>
        <v>Texas</v>
      </c>
      <c r="P1792" t="str">
        <f>_xlfn.XLOOKUP(Orders[[#This Row],[CustomerID]],Customers[CustomerID],Customers[Gender])</f>
        <v>Male</v>
      </c>
      <c r="Q1792">
        <f>_xlfn.XLOOKUP(Orders[[#This Row],[CustomerID]],Customers[CustomerID],Customers[CustomerAge])</f>
        <v>29</v>
      </c>
      <c r="R1792" t="str">
        <f>IF(Orders[[#This Row],[CustomerAge]]&gt;=35, "Older", "Young")</f>
        <v>Young</v>
      </c>
      <c r="S1792" t="str">
        <f>_xlfn.XLOOKUP(Orders[[#This Row],[ProductID]],Products[ProductID],Products[ProductName])</f>
        <v>Monopoly</v>
      </c>
      <c r="T1792" t="str">
        <f>_xlfn.XLOOKUP(Orders[[#This Row],[ProductID]],Products[ProductID],Products[Category])</f>
        <v>Games</v>
      </c>
    </row>
    <row r="1793" spans="1:20" x14ac:dyDescent="0.25">
      <c r="A1793" s="4" t="s">
        <v>1982</v>
      </c>
      <c r="B1793" s="5">
        <v>45993</v>
      </c>
      <c r="C1793" s="15">
        <f>WEEKNUM(Orders[[#This Row],[OrderDate]])</f>
        <v>49</v>
      </c>
      <c r="D1793" s="15" t="str">
        <f>TEXT(Orders[[#This Row],[OrderDate]],"mmmm")</f>
        <v>December</v>
      </c>
      <c r="E1793" s="4" t="s">
        <v>19</v>
      </c>
      <c r="F1793" s="4" t="s">
        <v>66</v>
      </c>
      <c r="G1793" s="4">
        <v>5</v>
      </c>
      <c r="H1793" s="12">
        <v>680.19999999999993</v>
      </c>
      <c r="I1793" s="13">
        <v>578.16999999999996</v>
      </c>
      <c r="J1793" s="13">
        <f>Orders[[#This Row],[Quantity]]*Orders[[#This Row],[Selling Price]]</f>
        <v>3400.9999999999995</v>
      </c>
      <c r="K1793" s="13">
        <f>Orders[[#This Row],[Quantity]]*Orders[[#This Row],[Cost Price]]</f>
        <v>2890.85</v>
      </c>
      <c r="L1793" s="13">
        <f>Orders[[#This Row],[Revenue]]-Orders[[#This Row],[Expenses]]</f>
        <v>510.14999999999964</v>
      </c>
      <c r="M1793" t="s">
        <v>2208</v>
      </c>
      <c r="N1793" t="str">
        <f>_xlfn.XLOOKUP(Orders[[#This Row],[CustomerID]],Customers[CustomerID],Customers[CustomerName])</f>
        <v>Obi Adeyemi</v>
      </c>
      <c r="O1793" t="str">
        <f>_xlfn.XLOOKUP(Orders[[#This Row],[CustomerID]],Customers[CustomerID],Customers[City])</f>
        <v>California</v>
      </c>
      <c r="P1793" t="str">
        <f>_xlfn.XLOOKUP(Orders[[#This Row],[CustomerID]],Customers[CustomerID],Customers[Gender])</f>
        <v>Male</v>
      </c>
      <c r="Q1793">
        <f>_xlfn.XLOOKUP(Orders[[#This Row],[CustomerID]],Customers[CustomerID],Customers[CustomerAge])</f>
        <v>24</v>
      </c>
      <c r="R1793" t="str">
        <f>IF(Orders[[#This Row],[CustomerAge]]&gt;=35, "Older", "Young")</f>
        <v>Young</v>
      </c>
      <c r="S1793" t="str">
        <f>_xlfn.XLOOKUP(Orders[[#This Row],[ProductID]],Products[ProductID],Products[ProductName])</f>
        <v>Microwave</v>
      </c>
      <c r="T1793" t="str">
        <f>_xlfn.XLOOKUP(Orders[[#This Row],[ProductID]],Products[ProductID],Products[Category])</f>
        <v>Electronics</v>
      </c>
    </row>
    <row r="1794" spans="1:20" x14ac:dyDescent="0.25">
      <c r="A1794" s="4" t="s">
        <v>1983</v>
      </c>
      <c r="B1794" s="5">
        <v>45956</v>
      </c>
      <c r="C1794" s="15">
        <f>WEEKNUM(Orders[[#This Row],[OrderDate]])</f>
        <v>44</v>
      </c>
      <c r="D1794" s="15" t="str">
        <f>TEXT(Orders[[#This Row],[OrderDate]],"mmmm")</f>
        <v>October</v>
      </c>
      <c r="E1794" s="4" t="s">
        <v>83</v>
      </c>
      <c r="F1794" s="4" t="s">
        <v>20</v>
      </c>
      <c r="G1794" s="4">
        <v>3</v>
      </c>
      <c r="H1794" s="12">
        <v>4022.7</v>
      </c>
      <c r="I1794" s="13">
        <v>3419.2950000000001</v>
      </c>
      <c r="J1794" s="13">
        <f>Orders[[#This Row],[Quantity]]*Orders[[#This Row],[Selling Price]]</f>
        <v>12068.099999999999</v>
      </c>
      <c r="K1794" s="13">
        <f>Orders[[#This Row],[Quantity]]*Orders[[#This Row],[Cost Price]]</f>
        <v>10257.885</v>
      </c>
      <c r="L1794" s="13">
        <f>Orders[[#This Row],[Revenue]]-Orders[[#This Row],[Expenses]]</f>
        <v>1810.2149999999983</v>
      </c>
      <c r="M1794" t="s">
        <v>2196</v>
      </c>
      <c r="N1794" t="str">
        <f>_xlfn.XLOOKUP(Orders[[#This Row],[CustomerID]],Customers[CustomerID],Customers[CustomerName])</f>
        <v>Funke Danladi</v>
      </c>
      <c r="O1794" t="str">
        <f>_xlfn.XLOOKUP(Orders[[#This Row],[CustomerID]],Customers[CustomerID],Customers[City])</f>
        <v>Florida</v>
      </c>
      <c r="P1794" t="str">
        <f>_xlfn.XLOOKUP(Orders[[#This Row],[CustomerID]],Customers[CustomerID],Customers[Gender])</f>
        <v>Female</v>
      </c>
      <c r="Q1794">
        <f>_xlfn.XLOOKUP(Orders[[#This Row],[CustomerID]],Customers[CustomerID],Customers[CustomerAge])</f>
        <v>26</v>
      </c>
      <c r="R1794" t="str">
        <f>IF(Orders[[#This Row],[CustomerAge]]&gt;=35, "Older", "Young")</f>
        <v>Young</v>
      </c>
      <c r="S1794" t="str">
        <f>_xlfn.XLOOKUP(Orders[[#This Row],[ProductID]],Products[ProductID],Products[ProductName])</f>
        <v>Gym Bag</v>
      </c>
      <c r="T1794" t="str">
        <f>_xlfn.XLOOKUP(Orders[[#This Row],[ProductID]],Products[ProductID],Products[Category])</f>
        <v>Gym</v>
      </c>
    </row>
    <row r="1795" spans="1:20" x14ac:dyDescent="0.25">
      <c r="A1795" s="4" t="s">
        <v>1984</v>
      </c>
      <c r="B1795" s="5">
        <v>46012</v>
      </c>
      <c r="C1795" s="15">
        <f>WEEKNUM(Orders[[#This Row],[OrderDate]])</f>
        <v>52</v>
      </c>
      <c r="D1795" s="15" t="str">
        <f>TEXT(Orders[[#This Row],[OrderDate]],"mmmm")</f>
        <v>December</v>
      </c>
      <c r="E1795" s="4" t="s">
        <v>264</v>
      </c>
      <c r="F1795" s="4" t="s">
        <v>37</v>
      </c>
      <c r="G1795" s="4">
        <v>10</v>
      </c>
      <c r="H1795" s="12">
        <v>5967.3</v>
      </c>
      <c r="I1795" s="13">
        <v>5072.2049999999999</v>
      </c>
      <c r="J1795" s="13">
        <f>Orders[[#This Row],[Quantity]]*Orders[[#This Row],[Selling Price]]</f>
        <v>59673</v>
      </c>
      <c r="K1795" s="13">
        <f>Orders[[#This Row],[Quantity]]*Orders[[#This Row],[Cost Price]]</f>
        <v>50722.05</v>
      </c>
      <c r="L1795" s="13">
        <f>Orders[[#This Row],[Revenue]]-Orders[[#This Row],[Expenses]]</f>
        <v>8950.9499999999971</v>
      </c>
      <c r="M1795" t="s">
        <v>2219</v>
      </c>
      <c r="N1795" t="str">
        <f>_xlfn.XLOOKUP(Orders[[#This Row],[CustomerID]],Customers[CustomerID],Customers[CustomerName])</f>
        <v>Ronke Adeyemi</v>
      </c>
      <c r="O1795" t="str">
        <f>_xlfn.XLOOKUP(Orders[[#This Row],[CustomerID]],Customers[CustomerID],Customers[City])</f>
        <v>Georgia</v>
      </c>
      <c r="P1795" t="str">
        <f>_xlfn.XLOOKUP(Orders[[#This Row],[CustomerID]],Customers[CustomerID],Customers[Gender])</f>
        <v>Female</v>
      </c>
      <c r="Q1795">
        <f>_xlfn.XLOOKUP(Orders[[#This Row],[CustomerID]],Customers[CustomerID],Customers[CustomerAge])</f>
        <v>19</v>
      </c>
      <c r="R1795" t="str">
        <f>IF(Orders[[#This Row],[CustomerAge]]&gt;=35, "Older", "Young")</f>
        <v>Young</v>
      </c>
      <c r="S1795" t="str">
        <f>_xlfn.XLOOKUP(Orders[[#This Row],[ProductID]],Products[ProductID],Products[ProductName])</f>
        <v>Iron</v>
      </c>
      <c r="T1795" t="str">
        <f>_xlfn.XLOOKUP(Orders[[#This Row],[ProductID]],Products[ProductID],Products[Category])</f>
        <v>Electronics</v>
      </c>
    </row>
    <row r="1796" spans="1:20" x14ac:dyDescent="0.25">
      <c r="A1796" s="4" t="s">
        <v>1985</v>
      </c>
      <c r="B1796" s="5">
        <v>46017</v>
      </c>
      <c r="C1796" s="15">
        <f>WEEKNUM(Orders[[#This Row],[OrderDate]])</f>
        <v>52</v>
      </c>
      <c r="D1796" s="15" t="str">
        <f>TEXT(Orders[[#This Row],[OrderDate]],"mmmm")</f>
        <v>December</v>
      </c>
      <c r="E1796" s="4" t="s">
        <v>186</v>
      </c>
      <c r="F1796" s="4" t="s">
        <v>84</v>
      </c>
      <c r="G1796" s="4">
        <v>4</v>
      </c>
      <c r="H1796" s="12">
        <v>3908.8999999999996</v>
      </c>
      <c r="I1796" s="13">
        <v>3322.5649999999996</v>
      </c>
      <c r="J1796" s="13">
        <f>Orders[[#This Row],[Quantity]]*Orders[[#This Row],[Selling Price]]</f>
        <v>15635.599999999999</v>
      </c>
      <c r="K1796" s="13">
        <f>Orders[[#This Row],[Quantity]]*Orders[[#This Row],[Cost Price]]</f>
        <v>13290.259999999998</v>
      </c>
      <c r="L1796" s="13">
        <f>Orders[[#This Row],[Revenue]]-Orders[[#This Row],[Expenses]]</f>
        <v>2345.34</v>
      </c>
      <c r="M1796" t="s">
        <v>2201</v>
      </c>
      <c r="N1796" t="str">
        <f>_xlfn.XLOOKUP(Orders[[#This Row],[CustomerID]],Customers[CustomerID],Customers[CustomerName])</f>
        <v>Ronke Eze</v>
      </c>
      <c r="O1796" t="str">
        <f>_xlfn.XLOOKUP(Orders[[#This Row],[CustomerID]],Customers[CustomerID],Customers[City])</f>
        <v>Texas</v>
      </c>
      <c r="P1796" t="str">
        <f>_xlfn.XLOOKUP(Orders[[#This Row],[CustomerID]],Customers[CustomerID],Customers[Gender])</f>
        <v>Female</v>
      </c>
      <c r="Q1796">
        <f>_xlfn.XLOOKUP(Orders[[#This Row],[CustomerID]],Customers[CustomerID],Customers[CustomerAge])</f>
        <v>37</v>
      </c>
      <c r="R1796" t="str">
        <f>IF(Orders[[#This Row],[CustomerAge]]&gt;=35, "Older", "Young")</f>
        <v>Older</v>
      </c>
      <c r="S1796" t="str">
        <f>_xlfn.XLOOKUP(Orders[[#This Row],[ProductID]],Products[ProductID],Products[ProductName])</f>
        <v>Gym Wears</v>
      </c>
      <c r="T1796" t="str">
        <f>_xlfn.XLOOKUP(Orders[[#This Row],[ProductID]],Products[ProductID],Products[Category])</f>
        <v>Clothing</v>
      </c>
    </row>
    <row r="1797" spans="1:20" x14ac:dyDescent="0.25">
      <c r="A1797" s="4" t="s">
        <v>1986</v>
      </c>
      <c r="B1797" s="5">
        <v>46011</v>
      </c>
      <c r="C1797" s="15">
        <f>WEEKNUM(Orders[[#This Row],[OrderDate]])</f>
        <v>51</v>
      </c>
      <c r="D1797" s="15" t="str">
        <f>TEXT(Orders[[#This Row],[OrderDate]],"mmmm")</f>
        <v>December</v>
      </c>
      <c r="E1797" s="4" t="s">
        <v>116</v>
      </c>
      <c r="F1797" s="4" t="s">
        <v>84</v>
      </c>
      <c r="G1797" s="4">
        <v>8</v>
      </c>
      <c r="H1797" s="12">
        <v>4588.8999999999996</v>
      </c>
      <c r="I1797" s="13">
        <v>3900.5649999999996</v>
      </c>
      <c r="J1797" s="13">
        <f>Orders[[#This Row],[Quantity]]*Orders[[#This Row],[Selling Price]]</f>
        <v>36711.199999999997</v>
      </c>
      <c r="K1797" s="13">
        <f>Orders[[#This Row],[Quantity]]*Orders[[#This Row],[Cost Price]]</f>
        <v>31204.519999999997</v>
      </c>
      <c r="L1797" s="13">
        <f>Orders[[#This Row],[Revenue]]-Orders[[#This Row],[Expenses]]</f>
        <v>5506.68</v>
      </c>
      <c r="M1797" t="s">
        <v>2213</v>
      </c>
      <c r="N1797" t="str">
        <f>_xlfn.XLOOKUP(Orders[[#This Row],[CustomerID]],Customers[CustomerID],Customers[CustomerName])</f>
        <v>Uche Bello</v>
      </c>
      <c r="O1797" t="str">
        <f>_xlfn.XLOOKUP(Orders[[#This Row],[CustomerID]],Customers[CustomerID],Customers[City])</f>
        <v>Texas</v>
      </c>
      <c r="P1797" t="str">
        <f>_xlfn.XLOOKUP(Orders[[#This Row],[CustomerID]],Customers[CustomerID],Customers[Gender])</f>
        <v>Male</v>
      </c>
      <c r="Q1797">
        <f>_xlfn.XLOOKUP(Orders[[#This Row],[CustomerID]],Customers[CustomerID],Customers[CustomerAge])</f>
        <v>21</v>
      </c>
      <c r="R1797" t="str">
        <f>IF(Orders[[#This Row],[CustomerAge]]&gt;=35, "Older", "Young")</f>
        <v>Young</v>
      </c>
      <c r="S1797" t="str">
        <f>_xlfn.XLOOKUP(Orders[[#This Row],[ProductID]],Products[ProductID],Products[ProductName])</f>
        <v>Gym Wears</v>
      </c>
      <c r="T1797" t="str">
        <f>_xlfn.XLOOKUP(Orders[[#This Row],[ProductID]],Products[ProductID],Products[Category])</f>
        <v>Clothing</v>
      </c>
    </row>
    <row r="1798" spans="1:20" x14ac:dyDescent="0.25">
      <c r="A1798" s="4" t="s">
        <v>1987</v>
      </c>
      <c r="B1798" s="5">
        <v>45939</v>
      </c>
      <c r="C1798" s="15">
        <f>WEEKNUM(Orders[[#This Row],[OrderDate]])</f>
        <v>41</v>
      </c>
      <c r="D1798" s="15" t="str">
        <f>TEXT(Orders[[#This Row],[OrderDate]],"mmmm")</f>
        <v>October</v>
      </c>
      <c r="E1798" s="4" t="s">
        <v>400</v>
      </c>
      <c r="F1798" s="4" t="s">
        <v>28</v>
      </c>
      <c r="G1798" s="4">
        <v>5</v>
      </c>
      <c r="H1798" s="12">
        <v>9785.9</v>
      </c>
      <c r="I1798" s="13">
        <v>8318.0149999999994</v>
      </c>
      <c r="J1798" s="13">
        <f>Orders[[#This Row],[Quantity]]*Orders[[#This Row],[Selling Price]]</f>
        <v>48929.5</v>
      </c>
      <c r="K1798" s="13">
        <f>Orders[[#This Row],[Quantity]]*Orders[[#This Row],[Cost Price]]</f>
        <v>41590.074999999997</v>
      </c>
      <c r="L1798" s="13">
        <f>Orders[[#This Row],[Revenue]]-Orders[[#This Row],[Expenses]]</f>
        <v>7339.4250000000029</v>
      </c>
      <c r="M1798" t="s">
        <v>2194</v>
      </c>
      <c r="N1798" t="str">
        <f>_xlfn.XLOOKUP(Orders[[#This Row],[CustomerID]],Customers[CustomerID],Customers[CustomerName])</f>
        <v>Obi Igwe</v>
      </c>
      <c r="O1798" t="str">
        <f>_xlfn.XLOOKUP(Orders[[#This Row],[CustomerID]],Customers[CustomerID],Customers[City])</f>
        <v>Florida</v>
      </c>
      <c r="P1798" t="str">
        <f>_xlfn.XLOOKUP(Orders[[#This Row],[CustomerID]],Customers[CustomerID],Customers[Gender])</f>
        <v>Male</v>
      </c>
      <c r="Q1798">
        <f>_xlfn.XLOOKUP(Orders[[#This Row],[CustomerID]],Customers[CustomerID],Customers[CustomerAge])</f>
        <v>35</v>
      </c>
      <c r="R1798" t="str">
        <f>IF(Orders[[#This Row],[CustomerAge]]&gt;=35, "Older", "Young")</f>
        <v>Older</v>
      </c>
      <c r="S1798" t="str">
        <f>_xlfn.XLOOKUP(Orders[[#This Row],[ProductID]],Products[ProductID],Products[ProductName])</f>
        <v>Sneakers</v>
      </c>
      <c r="T1798" t="str">
        <f>_xlfn.XLOOKUP(Orders[[#This Row],[ProductID]],Products[ProductID],Products[Category])</f>
        <v>Sports</v>
      </c>
    </row>
    <row r="1799" spans="1:20" x14ac:dyDescent="0.25">
      <c r="A1799" s="4" t="s">
        <v>1988</v>
      </c>
      <c r="B1799" s="5">
        <v>45936</v>
      </c>
      <c r="C1799" s="15">
        <f>WEEKNUM(Orders[[#This Row],[OrderDate]])</f>
        <v>41</v>
      </c>
      <c r="D1799" s="15" t="str">
        <f>TEXT(Orders[[#This Row],[OrderDate]],"mmmm")</f>
        <v>October</v>
      </c>
      <c r="E1799" s="4" t="s">
        <v>311</v>
      </c>
      <c r="F1799" s="4" t="s">
        <v>111</v>
      </c>
      <c r="G1799" s="4">
        <v>1</v>
      </c>
      <c r="H1799" s="12">
        <v>8986.9000000000015</v>
      </c>
      <c r="I1799" s="13">
        <v>7638.8650000000016</v>
      </c>
      <c r="J1799" s="13">
        <f>Orders[[#This Row],[Quantity]]*Orders[[#This Row],[Selling Price]]</f>
        <v>8986.9000000000015</v>
      </c>
      <c r="K1799" s="13">
        <f>Orders[[#This Row],[Quantity]]*Orders[[#This Row],[Cost Price]]</f>
        <v>7638.8650000000016</v>
      </c>
      <c r="L1799" s="13">
        <f>Orders[[#This Row],[Revenue]]-Orders[[#This Row],[Expenses]]</f>
        <v>1348.0349999999999</v>
      </c>
      <c r="M1799" t="s">
        <v>2220</v>
      </c>
      <c r="N1799" t="str">
        <f>_xlfn.XLOOKUP(Orders[[#This Row],[CustomerID]],Customers[CustomerID],Customers[CustomerName])</f>
        <v>Bisi Bello</v>
      </c>
      <c r="O1799" t="str">
        <f>_xlfn.XLOOKUP(Orders[[#This Row],[CustomerID]],Customers[CustomerID],Customers[City])</f>
        <v>Georgia</v>
      </c>
      <c r="P1799" t="str">
        <f>_xlfn.XLOOKUP(Orders[[#This Row],[CustomerID]],Customers[CustomerID],Customers[Gender])</f>
        <v>Female</v>
      </c>
      <c r="Q1799">
        <f>_xlfn.XLOOKUP(Orders[[#This Row],[CustomerID]],Customers[CustomerID],Customers[CustomerAge])</f>
        <v>31</v>
      </c>
      <c r="R1799" t="str">
        <f>IF(Orders[[#This Row],[CustomerAge]]&gt;=35, "Older", "Young")</f>
        <v>Young</v>
      </c>
      <c r="S1799" t="str">
        <f>_xlfn.XLOOKUP(Orders[[#This Row],[ProductID]],Products[ProductID],Products[ProductName])</f>
        <v>Refrigerator</v>
      </c>
      <c r="T1799" t="str">
        <f>_xlfn.XLOOKUP(Orders[[#This Row],[ProductID]],Products[ProductID],Products[Category])</f>
        <v>Electronics</v>
      </c>
    </row>
    <row r="1800" spans="1:20" x14ac:dyDescent="0.25">
      <c r="A1800" s="4" t="s">
        <v>1989</v>
      </c>
      <c r="B1800" s="5">
        <v>45958</v>
      </c>
      <c r="C1800" s="15">
        <f>WEEKNUM(Orders[[#This Row],[OrderDate]])</f>
        <v>44</v>
      </c>
      <c r="D1800" s="15" t="str">
        <f>TEXT(Orders[[#This Row],[OrderDate]],"mmmm")</f>
        <v>October</v>
      </c>
      <c r="E1800" s="4" t="s">
        <v>150</v>
      </c>
      <c r="F1800" s="4" t="s">
        <v>57</v>
      </c>
      <c r="G1800" s="4">
        <v>6</v>
      </c>
      <c r="H1800" s="12">
        <v>8627.5</v>
      </c>
      <c r="I1800" s="13">
        <v>7333.375</v>
      </c>
      <c r="J1800" s="13">
        <f>Orders[[#This Row],[Quantity]]*Orders[[#This Row],[Selling Price]]</f>
        <v>51765</v>
      </c>
      <c r="K1800" s="13">
        <f>Orders[[#This Row],[Quantity]]*Orders[[#This Row],[Cost Price]]</f>
        <v>44000.25</v>
      </c>
      <c r="L1800" s="13">
        <f>Orders[[#This Row],[Revenue]]-Orders[[#This Row],[Expenses]]</f>
        <v>7764.75</v>
      </c>
      <c r="M1800" t="s">
        <v>2201</v>
      </c>
      <c r="N1800" t="str">
        <f>_xlfn.XLOOKUP(Orders[[#This Row],[CustomerID]],Customers[CustomerID],Customers[CustomerName])</f>
        <v>Ronke Eze</v>
      </c>
      <c r="O1800" t="str">
        <f>_xlfn.XLOOKUP(Orders[[#This Row],[CustomerID]],Customers[CustomerID],Customers[City])</f>
        <v>Georgia</v>
      </c>
      <c r="P1800" t="str">
        <f>_xlfn.XLOOKUP(Orders[[#This Row],[CustomerID]],Customers[CustomerID],Customers[Gender])</f>
        <v>Female</v>
      </c>
      <c r="Q1800">
        <f>_xlfn.XLOOKUP(Orders[[#This Row],[CustomerID]],Customers[CustomerID],Customers[CustomerAge])</f>
        <v>23</v>
      </c>
      <c r="R1800" t="str">
        <f>IF(Orders[[#This Row],[CustomerAge]]&gt;=35, "Older", "Young")</f>
        <v>Young</v>
      </c>
      <c r="S1800" t="str">
        <f>_xlfn.XLOOKUP(Orders[[#This Row],[ProductID]],Products[ProductID],Products[ProductName])</f>
        <v>Badminton Racket</v>
      </c>
      <c r="T1800" t="str">
        <f>_xlfn.XLOOKUP(Orders[[#This Row],[ProductID]],Products[ProductID],Products[Category])</f>
        <v>Sports</v>
      </c>
    </row>
    <row r="1801" spans="1:20" x14ac:dyDescent="0.25">
      <c r="A1801" s="4" t="s">
        <v>1990</v>
      </c>
      <c r="B1801" s="5">
        <v>45999</v>
      </c>
      <c r="C1801" s="15">
        <f>WEEKNUM(Orders[[#This Row],[OrderDate]])</f>
        <v>50</v>
      </c>
      <c r="D1801" s="15" t="str">
        <f>TEXT(Orders[[#This Row],[OrderDate]],"mmmm")</f>
        <v>December</v>
      </c>
      <c r="E1801" s="4" t="s">
        <v>43</v>
      </c>
      <c r="F1801" s="4" t="s">
        <v>28</v>
      </c>
      <c r="G1801" s="4">
        <v>5</v>
      </c>
      <c r="H1801" s="12">
        <v>7773.6</v>
      </c>
      <c r="I1801" s="13">
        <v>6607.56</v>
      </c>
      <c r="J1801" s="13">
        <f>Orders[[#This Row],[Quantity]]*Orders[[#This Row],[Selling Price]]</f>
        <v>38868</v>
      </c>
      <c r="K1801" s="13">
        <f>Orders[[#This Row],[Quantity]]*Orders[[#This Row],[Cost Price]]</f>
        <v>33037.800000000003</v>
      </c>
      <c r="L1801" s="13">
        <f>Orders[[#This Row],[Revenue]]-Orders[[#This Row],[Expenses]]</f>
        <v>5830.1999999999971</v>
      </c>
      <c r="M1801" t="s">
        <v>2195</v>
      </c>
      <c r="N1801" t="str">
        <f>_xlfn.XLOOKUP(Orders[[#This Row],[CustomerID]],Customers[CustomerID],Customers[CustomerName])</f>
        <v>Mustafa Danladi</v>
      </c>
      <c r="O1801" t="str">
        <f>_xlfn.XLOOKUP(Orders[[#This Row],[CustomerID]],Customers[CustomerID],Customers[City])</f>
        <v>Georgia</v>
      </c>
      <c r="P1801" t="str">
        <f>_xlfn.XLOOKUP(Orders[[#This Row],[CustomerID]],Customers[CustomerID],Customers[Gender])</f>
        <v>Male</v>
      </c>
      <c r="Q1801">
        <f>_xlfn.XLOOKUP(Orders[[#This Row],[CustomerID]],Customers[CustomerID],Customers[CustomerAge])</f>
        <v>49</v>
      </c>
      <c r="R1801" t="str">
        <f>IF(Orders[[#This Row],[CustomerAge]]&gt;=35, "Older", "Young")</f>
        <v>Older</v>
      </c>
      <c r="S1801" t="str">
        <f>_xlfn.XLOOKUP(Orders[[#This Row],[ProductID]],Products[ProductID],Products[ProductName])</f>
        <v>Sneakers</v>
      </c>
      <c r="T1801" t="str">
        <f>_xlfn.XLOOKUP(Orders[[#This Row],[ProductID]],Products[ProductID],Products[Category])</f>
        <v>Sports</v>
      </c>
    </row>
    <row r="1802" spans="1:20" x14ac:dyDescent="0.25">
      <c r="A1802" s="4" t="s">
        <v>1991</v>
      </c>
      <c r="B1802" s="5">
        <v>45955</v>
      </c>
      <c r="C1802" s="15">
        <f>WEEKNUM(Orders[[#This Row],[OrderDate]])</f>
        <v>43</v>
      </c>
      <c r="D1802" s="15" t="str">
        <f>TEXT(Orders[[#This Row],[OrderDate]],"mmmm")</f>
        <v>October</v>
      </c>
      <c r="E1802" s="4" t="s">
        <v>73</v>
      </c>
      <c r="F1802" s="4" t="s">
        <v>57</v>
      </c>
      <c r="G1802" s="4">
        <v>9</v>
      </c>
      <c r="H1802" s="12">
        <v>3251.2</v>
      </c>
      <c r="I1802" s="13">
        <v>2763.52</v>
      </c>
      <c r="J1802" s="13">
        <f>Orders[[#This Row],[Quantity]]*Orders[[#This Row],[Selling Price]]</f>
        <v>29260.799999999999</v>
      </c>
      <c r="K1802" s="13">
        <f>Orders[[#This Row],[Quantity]]*Orders[[#This Row],[Cost Price]]</f>
        <v>24871.68</v>
      </c>
      <c r="L1802" s="13">
        <f>Orders[[#This Row],[Revenue]]-Orders[[#This Row],[Expenses]]</f>
        <v>4389.119999999999</v>
      </c>
      <c r="M1802" t="s">
        <v>2214</v>
      </c>
      <c r="N1802" t="str">
        <f>_xlfn.XLOOKUP(Orders[[#This Row],[CustomerID]],Customers[CustomerID],Customers[CustomerName])</f>
        <v>Ronke Okonkwo</v>
      </c>
      <c r="O1802" t="str">
        <f>_xlfn.XLOOKUP(Orders[[#This Row],[CustomerID]],Customers[CustomerID],Customers[City])</f>
        <v>California</v>
      </c>
      <c r="P1802" t="str">
        <f>_xlfn.XLOOKUP(Orders[[#This Row],[CustomerID]],Customers[CustomerID],Customers[Gender])</f>
        <v>Female</v>
      </c>
      <c r="Q1802">
        <f>_xlfn.XLOOKUP(Orders[[#This Row],[CustomerID]],Customers[CustomerID],Customers[CustomerAge])</f>
        <v>20</v>
      </c>
      <c r="R1802" t="str">
        <f>IF(Orders[[#This Row],[CustomerAge]]&gt;=35, "Older", "Young")</f>
        <v>Young</v>
      </c>
      <c r="S1802" t="str">
        <f>_xlfn.XLOOKUP(Orders[[#This Row],[ProductID]],Products[ProductID],Products[ProductName])</f>
        <v>Badminton Racket</v>
      </c>
      <c r="T1802" t="str">
        <f>_xlfn.XLOOKUP(Orders[[#This Row],[ProductID]],Products[ProductID],Products[Category])</f>
        <v>Sports</v>
      </c>
    </row>
    <row r="1803" spans="1:20" x14ac:dyDescent="0.25">
      <c r="A1803" s="4" t="s">
        <v>1992</v>
      </c>
      <c r="B1803" s="5">
        <v>46001</v>
      </c>
      <c r="C1803" s="15">
        <f>WEEKNUM(Orders[[#This Row],[OrderDate]])</f>
        <v>50</v>
      </c>
      <c r="D1803" s="15" t="str">
        <f>TEXT(Orders[[#This Row],[OrderDate]],"mmmm")</f>
        <v>December</v>
      </c>
      <c r="E1803" s="4" t="s">
        <v>388</v>
      </c>
      <c r="F1803" s="4" t="s">
        <v>23</v>
      </c>
      <c r="G1803" s="4">
        <v>4</v>
      </c>
      <c r="H1803" s="12">
        <v>8476.7999999999993</v>
      </c>
      <c r="I1803" s="13">
        <v>7205.28</v>
      </c>
      <c r="J1803" s="13">
        <f>Orders[[#This Row],[Quantity]]*Orders[[#This Row],[Selling Price]]</f>
        <v>33907.199999999997</v>
      </c>
      <c r="K1803" s="13">
        <f>Orders[[#This Row],[Quantity]]*Orders[[#This Row],[Cost Price]]</f>
        <v>28821.119999999999</v>
      </c>
      <c r="L1803" s="13">
        <f>Orders[[#This Row],[Revenue]]-Orders[[#This Row],[Expenses]]</f>
        <v>5086.0799999999981</v>
      </c>
      <c r="M1803" t="s">
        <v>2206</v>
      </c>
      <c r="N1803" t="str">
        <f>_xlfn.XLOOKUP(Orders[[#This Row],[CustomerID]],Customers[CustomerID],Customers[CustomerName])</f>
        <v>Folasade Okonkwo</v>
      </c>
      <c r="O1803" t="str">
        <f>_xlfn.XLOOKUP(Orders[[#This Row],[CustomerID]],Customers[CustomerID],Customers[City])</f>
        <v>Washington</v>
      </c>
      <c r="P1803" t="str">
        <f>_xlfn.XLOOKUP(Orders[[#This Row],[CustomerID]],Customers[CustomerID],Customers[Gender])</f>
        <v>Female</v>
      </c>
      <c r="Q1803">
        <f>_xlfn.XLOOKUP(Orders[[#This Row],[CustomerID]],Customers[CustomerID],Customers[CustomerAge])</f>
        <v>52</v>
      </c>
      <c r="R1803" t="str">
        <f>IF(Orders[[#This Row],[CustomerAge]]&gt;=35, "Older", "Young")</f>
        <v>Older</v>
      </c>
      <c r="S1803" t="str">
        <f>_xlfn.XLOOKUP(Orders[[#This Row],[ProductID]],Products[ProductID],Products[ProductName])</f>
        <v>Gym Gloves</v>
      </c>
      <c r="T1803" t="str">
        <f>_xlfn.XLOOKUP(Orders[[#This Row],[ProductID]],Products[ProductID],Products[Category])</f>
        <v>Gym</v>
      </c>
    </row>
    <row r="1804" spans="1:20" x14ac:dyDescent="0.25">
      <c r="A1804" s="4" t="s">
        <v>1993</v>
      </c>
      <c r="B1804" s="5">
        <v>46019</v>
      </c>
      <c r="C1804" s="15">
        <f>WEEKNUM(Orders[[#This Row],[OrderDate]])</f>
        <v>53</v>
      </c>
      <c r="D1804" s="15" t="str">
        <f>TEXT(Orders[[#This Row],[OrderDate]],"mmmm")</f>
        <v>December</v>
      </c>
      <c r="E1804" s="4" t="s">
        <v>163</v>
      </c>
      <c r="F1804" s="4" t="s">
        <v>127</v>
      </c>
      <c r="G1804" s="4">
        <v>8</v>
      </c>
      <c r="H1804" s="12">
        <v>15481.5</v>
      </c>
      <c r="I1804" s="13">
        <v>13159.275</v>
      </c>
      <c r="J1804" s="13">
        <f>Orders[[#This Row],[Quantity]]*Orders[[#This Row],[Selling Price]]</f>
        <v>123852</v>
      </c>
      <c r="K1804" s="13">
        <f>Orders[[#This Row],[Quantity]]*Orders[[#This Row],[Cost Price]]</f>
        <v>105274.2</v>
      </c>
      <c r="L1804" s="13">
        <f>Orders[[#This Row],[Revenue]]-Orders[[#This Row],[Expenses]]</f>
        <v>18577.800000000003</v>
      </c>
      <c r="M1804" t="s">
        <v>2215</v>
      </c>
      <c r="N1804" t="str">
        <f>_xlfn.XLOOKUP(Orders[[#This Row],[CustomerID]],Customers[CustomerID],Customers[CustomerName])</f>
        <v>Folasade Danladi</v>
      </c>
      <c r="O1804" t="str">
        <f>_xlfn.XLOOKUP(Orders[[#This Row],[CustomerID]],Customers[CustomerID],Customers[City])</f>
        <v>Texas</v>
      </c>
      <c r="P1804" t="str">
        <f>_xlfn.XLOOKUP(Orders[[#This Row],[CustomerID]],Customers[CustomerID],Customers[Gender])</f>
        <v>Female</v>
      </c>
      <c r="Q1804">
        <f>_xlfn.XLOOKUP(Orders[[#This Row],[CustomerID]],Customers[CustomerID],Customers[CustomerAge])</f>
        <v>32</v>
      </c>
      <c r="R1804" t="str">
        <f>IF(Orders[[#This Row],[CustomerAge]]&gt;=35, "Older", "Young")</f>
        <v>Young</v>
      </c>
      <c r="S1804" t="str">
        <f>_xlfn.XLOOKUP(Orders[[#This Row],[ProductID]],Products[ProductID],Products[ProductName])</f>
        <v>Tops</v>
      </c>
      <c r="T1804" t="str">
        <f>_xlfn.XLOOKUP(Orders[[#This Row],[ProductID]],Products[ProductID],Products[Category])</f>
        <v>Clothing</v>
      </c>
    </row>
    <row r="1805" spans="1:20" x14ac:dyDescent="0.25">
      <c r="A1805" s="4" t="s">
        <v>1994</v>
      </c>
      <c r="B1805" s="5">
        <v>46014</v>
      </c>
      <c r="C1805" s="15">
        <f>WEEKNUM(Orders[[#This Row],[OrderDate]])</f>
        <v>52</v>
      </c>
      <c r="D1805" s="15" t="str">
        <f>TEXT(Orders[[#This Row],[OrderDate]],"mmmm")</f>
        <v>December</v>
      </c>
      <c r="E1805" s="4" t="s">
        <v>282</v>
      </c>
      <c r="F1805" s="4" t="s">
        <v>84</v>
      </c>
      <c r="G1805" s="4">
        <v>1</v>
      </c>
      <c r="H1805" s="12">
        <v>15793.5</v>
      </c>
      <c r="I1805" s="13">
        <v>13424.475</v>
      </c>
      <c r="J1805" s="13">
        <f>Orders[[#This Row],[Quantity]]*Orders[[#This Row],[Selling Price]]</f>
        <v>15793.5</v>
      </c>
      <c r="K1805" s="13">
        <f>Orders[[#This Row],[Quantity]]*Orders[[#This Row],[Cost Price]]</f>
        <v>13424.475</v>
      </c>
      <c r="L1805" s="13">
        <f>Orders[[#This Row],[Revenue]]-Orders[[#This Row],[Expenses]]</f>
        <v>2369.0249999999996</v>
      </c>
      <c r="M1805" t="s">
        <v>2198</v>
      </c>
      <c r="N1805" t="str">
        <f>_xlfn.XLOOKUP(Orders[[#This Row],[CustomerID]],Customers[CustomerID],Customers[CustomerName])</f>
        <v>Bisi Ojo</v>
      </c>
      <c r="O1805" t="str">
        <f>_xlfn.XLOOKUP(Orders[[#This Row],[CustomerID]],Customers[CustomerID],Customers[City])</f>
        <v>Texas</v>
      </c>
      <c r="P1805" t="str">
        <f>_xlfn.XLOOKUP(Orders[[#This Row],[CustomerID]],Customers[CustomerID],Customers[Gender])</f>
        <v>Female</v>
      </c>
      <c r="Q1805">
        <f>_xlfn.XLOOKUP(Orders[[#This Row],[CustomerID]],Customers[CustomerID],Customers[CustomerAge])</f>
        <v>26</v>
      </c>
      <c r="R1805" t="str">
        <f>IF(Orders[[#This Row],[CustomerAge]]&gt;=35, "Older", "Young")</f>
        <v>Young</v>
      </c>
      <c r="S1805" t="str">
        <f>_xlfn.XLOOKUP(Orders[[#This Row],[ProductID]],Products[ProductID],Products[ProductName])</f>
        <v>Gym Wears</v>
      </c>
      <c r="T1805" t="str">
        <f>_xlfn.XLOOKUP(Orders[[#This Row],[ProductID]],Products[ProductID],Products[Category])</f>
        <v>Clothing</v>
      </c>
    </row>
    <row r="1806" spans="1:20" x14ac:dyDescent="0.25">
      <c r="A1806" s="4" t="s">
        <v>1995</v>
      </c>
      <c r="B1806" s="5">
        <v>45997</v>
      </c>
      <c r="C1806" s="15">
        <f>WEEKNUM(Orders[[#This Row],[OrderDate]])</f>
        <v>49</v>
      </c>
      <c r="D1806" s="15" t="str">
        <f>TEXT(Orders[[#This Row],[OrderDate]],"mmmm")</f>
        <v>December</v>
      </c>
      <c r="E1806" s="4" t="s">
        <v>444</v>
      </c>
      <c r="F1806" s="4" t="s">
        <v>125</v>
      </c>
      <c r="G1806" s="4">
        <v>4</v>
      </c>
      <c r="H1806" s="12">
        <v>6742.3</v>
      </c>
      <c r="I1806" s="13">
        <v>5730.9549999999999</v>
      </c>
      <c r="J1806" s="13">
        <f>Orders[[#This Row],[Quantity]]*Orders[[#This Row],[Selling Price]]</f>
        <v>26969.200000000001</v>
      </c>
      <c r="K1806" s="13">
        <f>Orders[[#This Row],[Quantity]]*Orders[[#This Row],[Cost Price]]</f>
        <v>22923.82</v>
      </c>
      <c r="L1806" s="13">
        <f>Orders[[#This Row],[Revenue]]-Orders[[#This Row],[Expenses]]</f>
        <v>4045.380000000001</v>
      </c>
      <c r="M1806" t="s">
        <v>2211</v>
      </c>
      <c r="N1806" t="str">
        <f>_xlfn.XLOOKUP(Orders[[#This Row],[CustomerID]],Customers[CustomerID],Customers[CustomerName])</f>
        <v>Blessing Eze</v>
      </c>
      <c r="O1806" t="str">
        <f>_xlfn.XLOOKUP(Orders[[#This Row],[CustomerID]],Customers[CustomerID],Customers[City])</f>
        <v>Texas</v>
      </c>
      <c r="P1806" t="str">
        <f>_xlfn.XLOOKUP(Orders[[#This Row],[CustomerID]],Customers[CustomerID],Customers[Gender])</f>
        <v>Female</v>
      </c>
      <c r="Q1806">
        <f>_xlfn.XLOOKUP(Orders[[#This Row],[CustomerID]],Customers[CustomerID],Customers[CustomerAge])</f>
        <v>24</v>
      </c>
      <c r="R1806" t="str">
        <f>IF(Orders[[#This Row],[CustomerAge]]&gt;=35, "Older", "Young")</f>
        <v>Young</v>
      </c>
      <c r="S1806" t="str">
        <f>_xlfn.XLOOKUP(Orders[[#This Row],[ProductID]],Products[ProductID],Products[ProductName])</f>
        <v>Earrings</v>
      </c>
      <c r="T1806" t="str">
        <f>_xlfn.XLOOKUP(Orders[[#This Row],[ProductID]],Products[ProductID],Products[Category])</f>
        <v>Accessories</v>
      </c>
    </row>
    <row r="1807" spans="1:20" x14ac:dyDescent="0.25">
      <c r="A1807" s="4" t="s">
        <v>1996</v>
      </c>
      <c r="B1807" s="5">
        <v>45938</v>
      </c>
      <c r="C1807" s="15">
        <f>WEEKNUM(Orders[[#This Row],[OrderDate]])</f>
        <v>41</v>
      </c>
      <c r="D1807" s="15" t="str">
        <f>TEXT(Orders[[#This Row],[OrderDate]],"mmmm")</f>
        <v>October</v>
      </c>
      <c r="E1807" s="4" t="s">
        <v>201</v>
      </c>
      <c r="F1807" s="4" t="s">
        <v>28</v>
      </c>
      <c r="G1807" s="4">
        <v>2</v>
      </c>
      <c r="H1807" s="12">
        <v>8047.6</v>
      </c>
      <c r="I1807" s="13">
        <v>6840.46</v>
      </c>
      <c r="J1807" s="13">
        <f>Orders[[#This Row],[Quantity]]*Orders[[#This Row],[Selling Price]]</f>
        <v>16095.2</v>
      </c>
      <c r="K1807" s="13">
        <f>Orders[[#This Row],[Quantity]]*Orders[[#This Row],[Cost Price]]</f>
        <v>13680.92</v>
      </c>
      <c r="L1807" s="13">
        <f>Orders[[#This Row],[Revenue]]-Orders[[#This Row],[Expenses]]</f>
        <v>2414.2800000000007</v>
      </c>
      <c r="M1807" t="s">
        <v>2219</v>
      </c>
      <c r="N1807" t="str">
        <f>_xlfn.XLOOKUP(Orders[[#This Row],[CustomerID]],Customers[CustomerID],Customers[CustomerName])</f>
        <v>Sani Igwe</v>
      </c>
      <c r="O1807" t="str">
        <f>_xlfn.XLOOKUP(Orders[[#This Row],[CustomerID]],Customers[CustomerID],Customers[City])</f>
        <v>Georgia</v>
      </c>
      <c r="P1807" t="str">
        <f>_xlfn.XLOOKUP(Orders[[#This Row],[CustomerID]],Customers[CustomerID],Customers[Gender])</f>
        <v>Male</v>
      </c>
      <c r="Q1807">
        <f>_xlfn.XLOOKUP(Orders[[#This Row],[CustomerID]],Customers[CustomerID],Customers[CustomerAge])</f>
        <v>20</v>
      </c>
      <c r="R1807" t="str">
        <f>IF(Orders[[#This Row],[CustomerAge]]&gt;=35, "Older", "Young")</f>
        <v>Young</v>
      </c>
      <c r="S1807" t="str">
        <f>_xlfn.XLOOKUP(Orders[[#This Row],[ProductID]],Products[ProductID],Products[ProductName])</f>
        <v>Sneakers</v>
      </c>
      <c r="T1807" t="str">
        <f>_xlfn.XLOOKUP(Orders[[#This Row],[ProductID]],Products[ProductID],Products[Category])</f>
        <v>Sports</v>
      </c>
    </row>
    <row r="1808" spans="1:20" x14ac:dyDescent="0.25">
      <c r="A1808" s="4" t="s">
        <v>1997</v>
      </c>
      <c r="B1808" s="5">
        <v>45986</v>
      </c>
      <c r="C1808" s="15">
        <f>WEEKNUM(Orders[[#This Row],[OrderDate]])</f>
        <v>48</v>
      </c>
      <c r="D1808" s="15" t="str">
        <f>TEXT(Orders[[#This Row],[OrderDate]],"mmmm")</f>
        <v>November</v>
      </c>
      <c r="E1808" s="4" t="s">
        <v>87</v>
      </c>
      <c r="F1808" s="4" t="s">
        <v>15</v>
      </c>
      <c r="G1808" s="4">
        <v>10</v>
      </c>
      <c r="H1808" s="12">
        <v>4187.5</v>
      </c>
      <c r="I1808" s="13">
        <v>3559.375</v>
      </c>
      <c r="J1808" s="13">
        <f>Orders[[#This Row],[Quantity]]*Orders[[#This Row],[Selling Price]]</f>
        <v>41875</v>
      </c>
      <c r="K1808" s="13">
        <f>Orders[[#This Row],[Quantity]]*Orders[[#This Row],[Cost Price]]</f>
        <v>35593.75</v>
      </c>
      <c r="L1808" s="13">
        <f>Orders[[#This Row],[Revenue]]-Orders[[#This Row],[Expenses]]</f>
        <v>6281.25</v>
      </c>
      <c r="M1808" t="s">
        <v>2200</v>
      </c>
      <c r="N1808" t="str">
        <f>_xlfn.XLOOKUP(Orders[[#This Row],[CustomerID]],Customers[CustomerID],Customers[CustomerName])</f>
        <v>Efe Igwe</v>
      </c>
      <c r="O1808" t="str">
        <f>_xlfn.XLOOKUP(Orders[[#This Row],[CustomerID]],Customers[CustomerID],Customers[City])</f>
        <v>Illinois</v>
      </c>
      <c r="P1808" t="str">
        <f>_xlfn.XLOOKUP(Orders[[#This Row],[CustomerID]],Customers[CustomerID],Customers[Gender])</f>
        <v>Female</v>
      </c>
      <c r="Q1808">
        <f>_xlfn.XLOOKUP(Orders[[#This Row],[CustomerID]],Customers[CustomerID],Customers[CustomerAge])</f>
        <v>34</v>
      </c>
      <c r="R1808" t="str">
        <f>IF(Orders[[#This Row],[CustomerAge]]&gt;=35, "Older", "Young")</f>
        <v>Young</v>
      </c>
      <c r="S1808" t="str">
        <f>_xlfn.XLOOKUP(Orders[[#This Row],[ProductID]],Products[ProductID],Products[ProductName])</f>
        <v>Monopoly</v>
      </c>
      <c r="T1808" t="str">
        <f>_xlfn.XLOOKUP(Orders[[#This Row],[ProductID]],Products[ProductID],Products[Category])</f>
        <v>Games</v>
      </c>
    </row>
    <row r="1809" spans="1:20" x14ac:dyDescent="0.25">
      <c r="A1809" s="4" t="s">
        <v>1998</v>
      </c>
      <c r="B1809" s="5">
        <v>45968</v>
      </c>
      <c r="C1809" s="15">
        <f>WEEKNUM(Orders[[#This Row],[OrderDate]])</f>
        <v>45</v>
      </c>
      <c r="D1809" s="15" t="str">
        <f>TEXT(Orders[[#This Row],[OrderDate]],"mmmm")</f>
        <v>November</v>
      </c>
      <c r="E1809" s="4" t="s">
        <v>96</v>
      </c>
      <c r="F1809" s="4" t="s">
        <v>34</v>
      </c>
      <c r="G1809" s="4">
        <v>1</v>
      </c>
      <c r="H1809" s="12">
        <v>4498</v>
      </c>
      <c r="I1809" s="13">
        <v>3823.3</v>
      </c>
      <c r="J1809" s="13">
        <f>Orders[[#This Row],[Quantity]]*Orders[[#This Row],[Selling Price]]</f>
        <v>4498</v>
      </c>
      <c r="K1809" s="13">
        <f>Orders[[#This Row],[Quantity]]*Orders[[#This Row],[Cost Price]]</f>
        <v>3823.3</v>
      </c>
      <c r="L1809" s="13">
        <f>Orders[[#This Row],[Revenue]]-Orders[[#This Row],[Expenses]]</f>
        <v>674.69999999999982</v>
      </c>
      <c r="M1809" t="s">
        <v>2210</v>
      </c>
      <c r="N1809" t="str">
        <f>_xlfn.XLOOKUP(Orders[[#This Row],[CustomerID]],Customers[CustomerID],Customers[CustomerName])</f>
        <v>Amina Abubakar</v>
      </c>
      <c r="O1809" t="str">
        <f>_xlfn.XLOOKUP(Orders[[#This Row],[CustomerID]],Customers[CustomerID],Customers[City])</f>
        <v>Texas</v>
      </c>
      <c r="P1809" t="str">
        <f>_xlfn.XLOOKUP(Orders[[#This Row],[CustomerID]],Customers[CustomerID],Customers[Gender])</f>
        <v>Female</v>
      </c>
      <c r="Q1809">
        <f>_xlfn.XLOOKUP(Orders[[#This Row],[CustomerID]],Customers[CustomerID],Customers[CustomerAge])</f>
        <v>35</v>
      </c>
      <c r="R1809" t="str">
        <f>IF(Orders[[#This Row],[CustomerAge]]&gt;=35, "Older", "Young")</f>
        <v>Older</v>
      </c>
      <c r="S1809" t="str">
        <f>_xlfn.XLOOKUP(Orders[[#This Row],[ProductID]],Products[ProductID],Products[ProductName])</f>
        <v>Gold Bracelets</v>
      </c>
      <c r="T1809" t="str">
        <f>_xlfn.XLOOKUP(Orders[[#This Row],[ProductID]],Products[ProductID],Products[Category])</f>
        <v>Accessories</v>
      </c>
    </row>
    <row r="1810" spans="1:20" x14ac:dyDescent="0.25">
      <c r="A1810" s="4" t="s">
        <v>1999</v>
      </c>
      <c r="B1810" s="5">
        <v>45931</v>
      </c>
      <c r="C1810" s="15">
        <f>WEEKNUM(Orders[[#This Row],[OrderDate]])</f>
        <v>40</v>
      </c>
      <c r="D1810" s="15" t="str">
        <f>TEXT(Orders[[#This Row],[OrderDate]],"mmmm")</f>
        <v>October</v>
      </c>
      <c r="E1810" s="4" t="s">
        <v>91</v>
      </c>
      <c r="F1810" s="4" t="s">
        <v>25</v>
      </c>
      <c r="G1810" s="4">
        <v>6</v>
      </c>
      <c r="H1810" s="12">
        <v>2045.6</v>
      </c>
      <c r="I1810" s="13">
        <v>1738.76</v>
      </c>
      <c r="J1810" s="13">
        <f>Orders[[#This Row],[Quantity]]*Orders[[#This Row],[Selling Price]]</f>
        <v>12273.599999999999</v>
      </c>
      <c r="K1810" s="13">
        <f>Orders[[#This Row],[Quantity]]*Orders[[#This Row],[Cost Price]]</f>
        <v>10432.56</v>
      </c>
      <c r="L1810" s="13">
        <f>Orders[[#This Row],[Revenue]]-Orders[[#This Row],[Expenses]]</f>
        <v>1841.0399999999991</v>
      </c>
      <c r="M1810" t="s">
        <v>2196</v>
      </c>
      <c r="N1810" t="str">
        <f>_xlfn.XLOOKUP(Orders[[#This Row],[CustomerID]],Customers[CustomerID],Customers[CustomerName])</f>
        <v>Uche Abubakar</v>
      </c>
      <c r="O1810" t="str">
        <f>_xlfn.XLOOKUP(Orders[[#This Row],[CustomerID]],Customers[CustomerID],Customers[City])</f>
        <v>Florida</v>
      </c>
      <c r="P1810" t="str">
        <f>_xlfn.XLOOKUP(Orders[[#This Row],[CustomerID]],Customers[CustomerID],Customers[Gender])</f>
        <v>Male</v>
      </c>
      <c r="Q1810">
        <f>_xlfn.XLOOKUP(Orders[[#This Row],[CustomerID]],Customers[CustomerID],Customers[CustomerAge])</f>
        <v>28</v>
      </c>
      <c r="R1810" t="str">
        <f>IF(Orders[[#This Row],[CustomerAge]]&gt;=35, "Older", "Young")</f>
        <v>Young</v>
      </c>
      <c r="S1810" t="str">
        <f>_xlfn.XLOOKUP(Orders[[#This Row],[ProductID]],Products[ProductID],Products[ProductName])</f>
        <v>Gold Rings</v>
      </c>
      <c r="T1810" t="str">
        <f>_xlfn.XLOOKUP(Orders[[#This Row],[ProductID]],Products[ProductID],Products[Category])</f>
        <v>Accessories</v>
      </c>
    </row>
    <row r="1811" spans="1:20" x14ac:dyDescent="0.25">
      <c r="A1811" s="4" t="s">
        <v>2000</v>
      </c>
      <c r="B1811" s="5">
        <v>45939</v>
      </c>
      <c r="C1811" s="15">
        <f>WEEKNUM(Orders[[#This Row],[OrderDate]])</f>
        <v>41</v>
      </c>
      <c r="D1811" s="15" t="str">
        <f>TEXT(Orders[[#This Row],[OrderDate]],"mmmm")</f>
        <v>October</v>
      </c>
      <c r="E1811" s="4" t="s">
        <v>150</v>
      </c>
      <c r="F1811" s="4" t="s">
        <v>208</v>
      </c>
      <c r="G1811" s="4">
        <v>2</v>
      </c>
      <c r="H1811" s="12">
        <v>19719.2</v>
      </c>
      <c r="I1811" s="13">
        <v>16761.32</v>
      </c>
      <c r="J1811" s="13">
        <f>Orders[[#This Row],[Quantity]]*Orders[[#This Row],[Selling Price]]</f>
        <v>39438.400000000001</v>
      </c>
      <c r="K1811" s="13">
        <f>Orders[[#This Row],[Quantity]]*Orders[[#This Row],[Cost Price]]</f>
        <v>33522.639999999999</v>
      </c>
      <c r="L1811" s="13">
        <f>Orders[[#This Row],[Revenue]]-Orders[[#This Row],[Expenses]]</f>
        <v>5915.760000000002</v>
      </c>
      <c r="M1811" t="s">
        <v>2203</v>
      </c>
      <c r="N1811" t="str">
        <f>_xlfn.XLOOKUP(Orders[[#This Row],[CustomerID]],Customers[CustomerID],Customers[CustomerName])</f>
        <v>Ronke Eze</v>
      </c>
      <c r="O1811" t="str">
        <f>_xlfn.XLOOKUP(Orders[[#This Row],[CustomerID]],Customers[CustomerID],Customers[City])</f>
        <v>Georgia</v>
      </c>
      <c r="P1811" t="str">
        <f>_xlfn.XLOOKUP(Orders[[#This Row],[CustomerID]],Customers[CustomerID],Customers[Gender])</f>
        <v>Female</v>
      </c>
      <c r="Q1811">
        <f>_xlfn.XLOOKUP(Orders[[#This Row],[CustomerID]],Customers[CustomerID],Customers[CustomerAge])</f>
        <v>23</v>
      </c>
      <c r="R1811" t="str">
        <f>IF(Orders[[#This Row],[CustomerAge]]&gt;=35, "Older", "Young")</f>
        <v>Young</v>
      </c>
      <c r="S1811" t="str">
        <f>_xlfn.XLOOKUP(Orders[[#This Row],[ProductID]],Products[ProductID],Products[ProductName])</f>
        <v>Skipping Rope</v>
      </c>
      <c r="T1811" t="str">
        <f>_xlfn.XLOOKUP(Orders[[#This Row],[ProductID]],Products[ProductID],Products[Category])</f>
        <v>Sports</v>
      </c>
    </row>
    <row r="1812" spans="1:20" x14ac:dyDescent="0.25">
      <c r="A1812" s="4" t="s">
        <v>2001</v>
      </c>
      <c r="B1812" s="5">
        <v>45952</v>
      </c>
      <c r="C1812" s="15">
        <f>WEEKNUM(Orders[[#This Row],[OrderDate]])</f>
        <v>43</v>
      </c>
      <c r="D1812" s="15" t="str">
        <f>TEXT(Orders[[#This Row],[OrderDate]],"mmmm")</f>
        <v>October</v>
      </c>
      <c r="E1812" s="4" t="s">
        <v>517</v>
      </c>
      <c r="F1812" s="4" t="s">
        <v>353</v>
      </c>
      <c r="G1812" s="4">
        <v>9</v>
      </c>
      <c r="H1812" s="12">
        <v>2694.4</v>
      </c>
      <c r="I1812" s="13">
        <v>2290.2400000000002</v>
      </c>
      <c r="J1812" s="13">
        <f>Orders[[#This Row],[Quantity]]*Orders[[#This Row],[Selling Price]]</f>
        <v>24249.600000000002</v>
      </c>
      <c r="K1812" s="13">
        <f>Orders[[#This Row],[Quantity]]*Orders[[#This Row],[Cost Price]]</f>
        <v>20612.160000000003</v>
      </c>
      <c r="L1812" s="13">
        <f>Orders[[#This Row],[Revenue]]-Orders[[#This Row],[Expenses]]</f>
        <v>3637.4399999999987</v>
      </c>
      <c r="M1812" t="s">
        <v>2219</v>
      </c>
      <c r="N1812" t="str">
        <f>_xlfn.XLOOKUP(Orders[[#This Row],[CustomerID]],Customers[CustomerID],Customers[CustomerName])</f>
        <v>Efe Adeyemi</v>
      </c>
      <c r="O1812" t="str">
        <f>_xlfn.XLOOKUP(Orders[[#This Row],[CustomerID]],Customers[CustomerID],Customers[City])</f>
        <v>Florida</v>
      </c>
      <c r="P1812" t="str">
        <f>_xlfn.XLOOKUP(Orders[[#This Row],[CustomerID]],Customers[CustomerID],Customers[Gender])</f>
        <v>Female</v>
      </c>
      <c r="Q1812">
        <f>_xlfn.XLOOKUP(Orders[[#This Row],[CustomerID]],Customers[CustomerID],Customers[CustomerAge])</f>
        <v>25</v>
      </c>
      <c r="R1812" t="str">
        <f>IF(Orders[[#This Row],[CustomerAge]]&gt;=35, "Older", "Young")</f>
        <v>Young</v>
      </c>
      <c r="S1812" t="str">
        <f>_xlfn.XLOOKUP(Orders[[#This Row],[ProductID]],Products[ProductID],Products[ProductName])</f>
        <v>Silver Earrings And Necklaces</v>
      </c>
      <c r="T1812" t="str">
        <f>_xlfn.XLOOKUP(Orders[[#This Row],[ProductID]],Products[ProductID],Products[Category])</f>
        <v>Accessories</v>
      </c>
    </row>
    <row r="1813" spans="1:20" x14ac:dyDescent="0.25">
      <c r="A1813" s="4" t="s">
        <v>2002</v>
      </c>
      <c r="B1813" s="5">
        <v>45994</v>
      </c>
      <c r="C1813" s="15">
        <f>WEEKNUM(Orders[[#This Row],[OrderDate]])</f>
        <v>49</v>
      </c>
      <c r="D1813" s="15" t="str">
        <f>TEXT(Orders[[#This Row],[OrderDate]],"mmmm")</f>
        <v>December</v>
      </c>
      <c r="E1813" s="4" t="s">
        <v>295</v>
      </c>
      <c r="F1813" s="4" t="s">
        <v>46</v>
      </c>
      <c r="G1813" s="4">
        <v>1</v>
      </c>
      <c r="H1813" s="12">
        <v>5800.4</v>
      </c>
      <c r="I1813" s="13">
        <v>4930.34</v>
      </c>
      <c r="J1813" s="13">
        <f>Orders[[#This Row],[Quantity]]*Orders[[#This Row],[Selling Price]]</f>
        <v>5800.4</v>
      </c>
      <c r="K1813" s="13">
        <f>Orders[[#This Row],[Quantity]]*Orders[[#This Row],[Cost Price]]</f>
        <v>4930.34</v>
      </c>
      <c r="L1813" s="13">
        <f>Orders[[#This Row],[Revenue]]-Orders[[#This Row],[Expenses]]</f>
        <v>870.05999999999949</v>
      </c>
      <c r="M1813" t="s">
        <v>2193</v>
      </c>
      <c r="N1813" t="str">
        <f>_xlfn.XLOOKUP(Orders[[#This Row],[CustomerID]],Customers[CustomerID],Customers[CustomerName])</f>
        <v>Sani Obi</v>
      </c>
      <c r="O1813" t="str">
        <f>_xlfn.XLOOKUP(Orders[[#This Row],[CustomerID]],Customers[CustomerID],Customers[City])</f>
        <v>Texas</v>
      </c>
      <c r="P1813" t="str">
        <f>_xlfn.XLOOKUP(Orders[[#This Row],[CustomerID]],Customers[CustomerID],Customers[Gender])</f>
        <v>Male</v>
      </c>
      <c r="Q1813">
        <f>_xlfn.XLOOKUP(Orders[[#This Row],[CustomerID]],Customers[CustomerID],Customers[CustomerAge])</f>
        <v>31</v>
      </c>
      <c r="R1813" t="str">
        <f>IF(Orders[[#This Row],[CustomerAge]]&gt;=35, "Older", "Young")</f>
        <v>Young</v>
      </c>
      <c r="S1813" t="str">
        <f>_xlfn.XLOOKUP(Orders[[#This Row],[ProductID]],Products[ProductID],Products[ProductName])</f>
        <v>Turtle Neck</v>
      </c>
      <c r="T1813" t="str">
        <f>_xlfn.XLOOKUP(Orders[[#This Row],[ProductID]],Products[ProductID],Products[Category])</f>
        <v>Clothing</v>
      </c>
    </row>
    <row r="1814" spans="1:20" x14ac:dyDescent="0.25">
      <c r="A1814" s="4" t="s">
        <v>2003</v>
      </c>
      <c r="B1814" s="5">
        <v>45994</v>
      </c>
      <c r="C1814" s="15">
        <f>WEEKNUM(Orders[[#This Row],[OrderDate]])</f>
        <v>49</v>
      </c>
      <c r="D1814" s="15" t="str">
        <f>TEXT(Orders[[#This Row],[OrderDate]],"mmmm")</f>
        <v>December</v>
      </c>
      <c r="E1814" s="4" t="s">
        <v>205</v>
      </c>
      <c r="F1814" s="4" t="s">
        <v>157</v>
      </c>
      <c r="G1814" s="4">
        <v>6</v>
      </c>
      <c r="H1814" s="12">
        <v>13454.6</v>
      </c>
      <c r="I1814" s="13">
        <v>11436.41</v>
      </c>
      <c r="J1814" s="13">
        <f>Orders[[#This Row],[Quantity]]*Orders[[#This Row],[Selling Price]]</f>
        <v>80727.600000000006</v>
      </c>
      <c r="K1814" s="13">
        <f>Orders[[#This Row],[Quantity]]*Orders[[#This Row],[Cost Price]]</f>
        <v>68618.459999999992</v>
      </c>
      <c r="L1814" s="13">
        <f>Orders[[#This Row],[Revenue]]-Orders[[#This Row],[Expenses]]</f>
        <v>12109.140000000014</v>
      </c>
      <c r="M1814" t="s">
        <v>2198</v>
      </c>
      <c r="N1814" t="str">
        <f>_xlfn.XLOOKUP(Orders[[#This Row],[CustomerID]],Customers[CustomerID],Customers[CustomerName])</f>
        <v>Jide Adeyemi</v>
      </c>
      <c r="O1814" t="str">
        <f>_xlfn.XLOOKUP(Orders[[#This Row],[CustomerID]],Customers[CustomerID],Customers[City])</f>
        <v>Washington</v>
      </c>
      <c r="P1814" t="str">
        <f>_xlfn.XLOOKUP(Orders[[#This Row],[CustomerID]],Customers[CustomerID],Customers[Gender])</f>
        <v>Male</v>
      </c>
      <c r="Q1814">
        <f>_xlfn.XLOOKUP(Orders[[#This Row],[CustomerID]],Customers[CustomerID],Customers[CustomerAge])</f>
        <v>19</v>
      </c>
      <c r="R1814" t="str">
        <f>IF(Orders[[#This Row],[CustomerAge]]&gt;=35, "Older", "Young")</f>
        <v>Young</v>
      </c>
      <c r="S1814" t="str">
        <f>_xlfn.XLOOKUP(Orders[[#This Row],[ProductID]],Products[ProductID],Products[ProductName])</f>
        <v>Football</v>
      </c>
      <c r="T1814" t="str">
        <f>_xlfn.XLOOKUP(Orders[[#This Row],[ProductID]],Products[ProductID],Products[Category])</f>
        <v>Sports</v>
      </c>
    </row>
    <row r="1815" spans="1:20" x14ac:dyDescent="0.25">
      <c r="A1815" s="4" t="s">
        <v>2004</v>
      </c>
      <c r="B1815" s="5">
        <v>45970</v>
      </c>
      <c r="C1815" s="15">
        <f>WEEKNUM(Orders[[#This Row],[OrderDate]])</f>
        <v>46</v>
      </c>
      <c r="D1815" s="15" t="str">
        <f>TEXT(Orders[[#This Row],[OrderDate]],"mmmm")</f>
        <v>November</v>
      </c>
      <c r="E1815" s="4" t="s">
        <v>374</v>
      </c>
      <c r="F1815" s="4" t="s">
        <v>60</v>
      </c>
      <c r="G1815" s="4">
        <v>2</v>
      </c>
      <c r="H1815" s="12">
        <v>15255.1</v>
      </c>
      <c r="I1815" s="13">
        <v>12966.835000000001</v>
      </c>
      <c r="J1815" s="13">
        <f>Orders[[#This Row],[Quantity]]*Orders[[#This Row],[Selling Price]]</f>
        <v>30510.2</v>
      </c>
      <c r="K1815" s="13">
        <f>Orders[[#This Row],[Quantity]]*Orders[[#This Row],[Cost Price]]</f>
        <v>25933.670000000002</v>
      </c>
      <c r="L1815" s="13">
        <f>Orders[[#This Row],[Revenue]]-Orders[[#This Row],[Expenses]]</f>
        <v>4576.5299999999988</v>
      </c>
      <c r="M1815" t="s">
        <v>2208</v>
      </c>
      <c r="N1815" t="str">
        <f>_xlfn.XLOOKUP(Orders[[#This Row],[CustomerID]],Customers[CustomerID],Customers[CustomerName])</f>
        <v>Uche Okonkwo</v>
      </c>
      <c r="O1815" t="str">
        <f>_xlfn.XLOOKUP(Orders[[#This Row],[CustomerID]],Customers[CustomerID],Customers[City])</f>
        <v>Texas</v>
      </c>
      <c r="P1815" t="str">
        <f>_xlfn.XLOOKUP(Orders[[#This Row],[CustomerID]],Customers[CustomerID],Customers[Gender])</f>
        <v>Male</v>
      </c>
      <c r="Q1815">
        <f>_xlfn.XLOOKUP(Orders[[#This Row],[CustomerID]],Customers[CustomerID],Customers[CustomerAge])</f>
        <v>27</v>
      </c>
      <c r="R1815" t="str">
        <f>IF(Orders[[#This Row],[CustomerAge]]&gt;=35, "Older", "Young")</f>
        <v>Young</v>
      </c>
      <c r="S1815" t="str">
        <f>_xlfn.XLOOKUP(Orders[[#This Row],[ProductID]],Products[ProductID],Products[ProductName])</f>
        <v>Silver Rings</v>
      </c>
      <c r="T1815" t="str">
        <f>_xlfn.XLOOKUP(Orders[[#This Row],[ProductID]],Products[ProductID],Products[Category])</f>
        <v>Accessories</v>
      </c>
    </row>
    <row r="1816" spans="1:20" x14ac:dyDescent="0.25">
      <c r="A1816" s="4" t="s">
        <v>2005</v>
      </c>
      <c r="B1816" s="5">
        <v>46010</v>
      </c>
      <c r="C1816" s="15">
        <f>WEEKNUM(Orders[[#This Row],[OrderDate]])</f>
        <v>51</v>
      </c>
      <c r="D1816" s="15" t="str">
        <f>TEXT(Orders[[#This Row],[OrderDate]],"mmmm")</f>
        <v>December</v>
      </c>
      <c r="E1816" s="4" t="s">
        <v>41</v>
      </c>
      <c r="F1816" s="4" t="s">
        <v>57</v>
      </c>
      <c r="G1816" s="4">
        <v>3</v>
      </c>
      <c r="H1816" s="12">
        <v>16229.6</v>
      </c>
      <c r="I1816" s="13">
        <v>13795.16</v>
      </c>
      <c r="J1816" s="13">
        <f>Orders[[#This Row],[Quantity]]*Orders[[#This Row],[Selling Price]]</f>
        <v>48688.800000000003</v>
      </c>
      <c r="K1816" s="13">
        <f>Orders[[#This Row],[Quantity]]*Orders[[#This Row],[Cost Price]]</f>
        <v>41385.479999999996</v>
      </c>
      <c r="L1816" s="13">
        <f>Orders[[#This Row],[Revenue]]-Orders[[#This Row],[Expenses]]</f>
        <v>7303.320000000007</v>
      </c>
      <c r="M1816" t="s">
        <v>2218</v>
      </c>
      <c r="N1816" t="str">
        <f>_xlfn.XLOOKUP(Orders[[#This Row],[CustomerID]],Customers[CustomerID],Customers[CustomerName])</f>
        <v>Mustafa Balogun</v>
      </c>
      <c r="O1816" t="str">
        <f>_xlfn.XLOOKUP(Orders[[#This Row],[CustomerID]],Customers[CustomerID],Customers[City])</f>
        <v>Texas</v>
      </c>
      <c r="P1816" t="str">
        <f>_xlfn.XLOOKUP(Orders[[#This Row],[CustomerID]],Customers[CustomerID],Customers[Gender])</f>
        <v>Male</v>
      </c>
      <c r="Q1816">
        <f>_xlfn.XLOOKUP(Orders[[#This Row],[CustomerID]],Customers[CustomerID],Customers[CustomerAge])</f>
        <v>40</v>
      </c>
      <c r="R1816" t="str">
        <f>IF(Orders[[#This Row],[CustomerAge]]&gt;=35, "Older", "Young")</f>
        <v>Older</v>
      </c>
      <c r="S1816" t="str">
        <f>_xlfn.XLOOKUP(Orders[[#This Row],[ProductID]],Products[ProductID],Products[ProductName])</f>
        <v>Badminton Racket</v>
      </c>
      <c r="T1816" t="str">
        <f>_xlfn.XLOOKUP(Orders[[#This Row],[ProductID]],Products[ProductID],Products[Category])</f>
        <v>Sports</v>
      </c>
    </row>
    <row r="1817" spans="1:20" x14ac:dyDescent="0.25">
      <c r="A1817" s="4" t="s">
        <v>2006</v>
      </c>
      <c r="B1817" s="5">
        <v>46021</v>
      </c>
      <c r="C1817" s="15">
        <f>WEEKNUM(Orders[[#This Row],[OrderDate]])</f>
        <v>53</v>
      </c>
      <c r="D1817" s="15" t="str">
        <f>TEXT(Orders[[#This Row],[OrderDate]],"mmmm")</f>
        <v>December</v>
      </c>
      <c r="E1817" s="4" t="s">
        <v>30</v>
      </c>
      <c r="F1817" s="4" t="s">
        <v>353</v>
      </c>
      <c r="G1817" s="4">
        <v>4</v>
      </c>
      <c r="H1817" s="12">
        <v>13582.4</v>
      </c>
      <c r="I1817" s="13">
        <v>11545.039999999999</v>
      </c>
      <c r="J1817" s="13">
        <f>Orders[[#This Row],[Quantity]]*Orders[[#This Row],[Selling Price]]</f>
        <v>54329.599999999999</v>
      </c>
      <c r="K1817" s="13">
        <f>Orders[[#This Row],[Quantity]]*Orders[[#This Row],[Cost Price]]</f>
        <v>46180.159999999996</v>
      </c>
      <c r="L1817" s="13">
        <f>Orders[[#This Row],[Revenue]]-Orders[[#This Row],[Expenses]]</f>
        <v>8149.4400000000023</v>
      </c>
      <c r="M1817" t="s">
        <v>2194</v>
      </c>
      <c r="N1817" t="str">
        <f>_xlfn.XLOOKUP(Orders[[#This Row],[CustomerID]],Customers[CustomerID],Customers[CustomerName])</f>
        <v>Amina Danladi</v>
      </c>
      <c r="O1817" t="str">
        <f>_xlfn.XLOOKUP(Orders[[#This Row],[CustomerID]],Customers[CustomerID],Customers[City])</f>
        <v>Florida</v>
      </c>
      <c r="P1817" t="str">
        <f>_xlfn.XLOOKUP(Orders[[#This Row],[CustomerID]],Customers[CustomerID],Customers[Gender])</f>
        <v>Female</v>
      </c>
      <c r="Q1817">
        <f>_xlfn.XLOOKUP(Orders[[#This Row],[CustomerID]],Customers[CustomerID],Customers[CustomerAge])</f>
        <v>42</v>
      </c>
      <c r="R1817" t="str">
        <f>IF(Orders[[#This Row],[CustomerAge]]&gt;=35, "Older", "Young")</f>
        <v>Older</v>
      </c>
      <c r="S1817" t="str">
        <f>_xlfn.XLOOKUP(Orders[[#This Row],[ProductID]],Products[ProductID],Products[ProductName])</f>
        <v>Silver Earrings And Necklaces</v>
      </c>
      <c r="T1817" t="str">
        <f>_xlfn.XLOOKUP(Orders[[#This Row],[ProductID]],Products[ProductID],Products[Category])</f>
        <v>Accessories</v>
      </c>
    </row>
    <row r="1818" spans="1:20" x14ac:dyDescent="0.25">
      <c r="A1818" s="4" t="s">
        <v>2007</v>
      </c>
      <c r="B1818" s="5">
        <v>45954</v>
      </c>
      <c r="C1818" s="15">
        <f>WEEKNUM(Orders[[#This Row],[OrderDate]])</f>
        <v>43</v>
      </c>
      <c r="D1818" s="15" t="str">
        <f>TEXT(Orders[[#This Row],[OrderDate]],"mmmm")</f>
        <v>October</v>
      </c>
      <c r="E1818" s="4" t="s">
        <v>174</v>
      </c>
      <c r="F1818" s="4" t="s">
        <v>151</v>
      </c>
      <c r="G1818" s="4">
        <v>7</v>
      </c>
      <c r="H1818" s="12">
        <v>2542.1</v>
      </c>
      <c r="I1818" s="13">
        <v>2160.7849999999999</v>
      </c>
      <c r="J1818" s="13">
        <f>Orders[[#This Row],[Quantity]]*Orders[[#This Row],[Selling Price]]</f>
        <v>17794.7</v>
      </c>
      <c r="K1818" s="13">
        <f>Orders[[#This Row],[Quantity]]*Orders[[#This Row],[Cost Price]]</f>
        <v>15125.494999999999</v>
      </c>
      <c r="L1818" s="13">
        <f>Orders[[#This Row],[Revenue]]-Orders[[#This Row],[Expenses]]</f>
        <v>2669.2050000000017</v>
      </c>
      <c r="M1818" t="s">
        <v>2192</v>
      </c>
      <c r="N1818" t="str">
        <f>_xlfn.XLOOKUP(Orders[[#This Row],[CustomerID]],Customers[CustomerID],Customers[CustomerName])</f>
        <v>Zainab Obi</v>
      </c>
      <c r="O1818" t="str">
        <f>_xlfn.XLOOKUP(Orders[[#This Row],[CustomerID]],Customers[CustomerID],Customers[City])</f>
        <v>California</v>
      </c>
      <c r="P1818" t="str">
        <f>_xlfn.XLOOKUP(Orders[[#This Row],[CustomerID]],Customers[CustomerID],Customers[Gender])</f>
        <v>Female</v>
      </c>
      <c r="Q1818">
        <f>_xlfn.XLOOKUP(Orders[[#This Row],[CustomerID]],Customers[CustomerID],Customers[CustomerAge])</f>
        <v>18</v>
      </c>
      <c r="R1818" t="str">
        <f>IF(Orders[[#This Row],[CustomerAge]]&gt;=35, "Older", "Young")</f>
        <v>Young</v>
      </c>
      <c r="S1818" t="str">
        <f>_xlfn.XLOOKUP(Orders[[#This Row],[ProductID]],Products[ProductID],Products[ProductName])</f>
        <v>Checkers</v>
      </c>
      <c r="T1818" t="str">
        <f>_xlfn.XLOOKUP(Orders[[#This Row],[ProductID]],Products[ProductID],Products[Category])</f>
        <v>Games</v>
      </c>
    </row>
    <row r="1819" spans="1:20" x14ac:dyDescent="0.25">
      <c r="A1819" s="4" t="s">
        <v>2008</v>
      </c>
      <c r="B1819" s="5">
        <v>45974</v>
      </c>
      <c r="C1819" s="15">
        <f>WEEKNUM(Orders[[#This Row],[OrderDate]])</f>
        <v>46</v>
      </c>
      <c r="D1819" s="15" t="str">
        <f>TEXT(Orders[[#This Row],[OrderDate]],"mmmm")</f>
        <v>November</v>
      </c>
      <c r="E1819" s="4" t="s">
        <v>346</v>
      </c>
      <c r="F1819" s="4" t="s">
        <v>23</v>
      </c>
      <c r="G1819" s="4">
        <v>4</v>
      </c>
      <c r="H1819" s="12">
        <v>596.70000000000005</v>
      </c>
      <c r="I1819" s="13">
        <v>507.19500000000005</v>
      </c>
      <c r="J1819" s="13">
        <f>Orders[[#This Row],[Quantity]]*Orders[[#This Row],[Selling Price]]</f>
        <v>2386.8000000000002</v>
      </c>
      <c r="K1819" s="13">
        <f>Orders[[#This Row],[Quantity]]*Orders[[#This Row],[Cost Price]]</f>
        <v>2028.7800000000002</v>
      </c>
      <c r="L1819" s="13">
        <f>Orders[[#This Row],[Revenue]]-Orders[[#This Row],[Expenses]]</f>
        <v>358.02</v>
      </c>
      <c r="M1819" t="s">
        <v>2201</v>
      </c>
      <c r="N1819" t="str">
        <f>_xlfn.XLOOKUP(Orders[[#This Row],[CustomerID]],Customers[CustomerID],Customers[CustomerName])</f>
        <v>Ngozi Danladi</v>
      </c>
      <c r="O1819" t="str">
        <f>_xlfn.XLOOKUP(Orders[[#This Row],[CustomerID]],Customers[CustomerID],Customers[City])</f>
        <v>California</v>
      </c>
      <c r="P1819" t="str">
        <f>_xlfn.XLOOKUP(Orders[[#This Row],[CustomerID]],Customers[CustomerID],Customers[Gender])</f>
        <v>Female</v>
      </c>
      <c r="Q1819">
        <f>_xlfn.XLOOKUP(Orders[[#This Row],[CustomerID]],Customers[CustomerID],Customers[CustomerAge])</f>
        <v>30</v>
      </c>
      <c r="R1819" t="str">
        <f>IF(Orders[[#This Row],[CustomerAge]]&gt;=35, "Older", "Young")</f>
        <v>Young</v>
      </c>
      <c r="S1819" t="str">
        <f>_xlfn.XLOOKUP(Orders[[#This Row],[ProductID]],Products[ProductID],Products[ProductName])</f>
        <v>Gym Gloves</v>
      </c>
      <c r="T1819" t="str">
        <f>_xlfn.XLOOKUP(Orders[[#This Row],[ProductID]],Products[ProductID],Products[Category])</f>
        <v>Gym</v>
      </c>
    </row>
    <row r="1820" spans="1:20" x14ac:dyDescent="0.25">
      <c r="A1820" s="4" t="s">
        <v>2009</v>
      </c>
      <c r="B1820" s="5">
        <v>45969</v>
      </c>
      <c r="C1820" s="15">
        <f>WEEKNUM(Orders[[#This Row],[OrderDate]])</f>
        <v>45</v>
      </c>
      <c r="D1820" s="15" t="str">
        <f>TEXT(Orders[[#This Row],[OrderDate]],"mmmm")</f>
        <v>November</v>
      </c>
      <c r="E1820" s="4" t="s">
        <v>48</v>
      </c>
      <c r="F1820" s="4" t="s">
        <v>46</v>
      </c>
      <c r="G1820" s="4">
        <v>1</v>
      </c>
      <c r="H1820" s="12">
        <v>15025.9</v>
      </c>
      <c r="I1820" s="13">
        <v>12772.014999999999</v>
      </c>
      <c r="J1820" s="13">
        <f>Orders[[#This Row],[Quantity]]*Orders[[#This Row],[Selling Price]]</f>
        <v>15025.9</v>
      </c>
      <c r="K1820" s="13">
        <f>Orders[[#This Row],[Quantity]]*Orders[[#This Row],[Cost Price]]</f>
        <v>12772.014999999999</v>
      </c>
      <c r="L1820" s="13">
        <f>Orders[[#This Row],[Revenue]]-Orders[[#This Row],[Expenses]]</f>
        <v>2253.8850000000002</v>
      </c>
      <c r="M1820" t="s">
        <v>2193</v>
      </c>
      <c r="N1820" t="str">
        <f>_xlfn.XLOOKUP(Orders[[#This Row],[CustomerID]],Customers[CustomerID],Customers[CustomerName])</f>
        <v>Mustafa Obi</v>
      </c>
      <c r="O1820" t="str">
        <f>_xlfn.XLOOKUP(Orders[[#This Row],[CustomerID]],Customers[CustomerID],Customers[City])</f>
        <v>California</v>
      </c>
      <c r="P1820" t="str">
        <f>_xlfn.XLOOKUP(Orders[[#This Row],[CustomerID]],Customers[CustomerID],Customers[Gender])</f>
        <v>Male</v>
      </c>
      <c r="Q1820">
        <f>_xlfn.XLOOKUP(Orders[[#This Row],[CustomerID]],Customers[CustomerID],Customers[CustomerAge])</f>
        <v>23</v>
      </c>
      <c r="R1820" t="str">
        <f>IF(Orders[[#This Row],[CustomerAge]]&gt;=35, "Older", "Young")</f>
        <v>Young</v>
      </c>
      <c r="S1820" t="str">
        <f>_xlfn.XLOOKUP(Orders[[#This Row],[ProductID]],Products[ProductID],Products[ProductName])</f>
        <v>Turtle Neck</v>
      </c>
      <c r="T1820" t="str">
        <f>_xlfn.XLOOKUP(Orders[[#This Row],[ProductID]],Products[ProductID],Products[Category])</f>
        <v>Clothing</v>
      </c>
    </row>
    <row r="1821" spans="1:20" x14ac:dyDescent="0.25">
      <c r="A1821" s="4" t="s">
        <v>2010</v>
      </c>
      <c r="B1821" s="5">
        <v>45947</v>
      </c>
      <c r="C1821" s="15">
        <f>WEEKNUM(Orders[[#This Row],[OrderDate]])</f>
        <v>42</v>
      </c>
      <c r="D1821" s="15" t="str">
        <f>TEXT(Orders[[#This Row],[OrderDate]],"mmmm")</f>
        <v>October</v>
      </c>
      <c r="E1821" s="4" t="s">
        <v>75</v>
      </c>
      <c r="F1821" s="4" t="s">
        <v>34</v>
      </c>
      <c r="G1821" s="4">
        <v>7</v>
      </c>
      <c r="H1821" s="12">
        <v>4592.6000000000004</v>
      </c>
      <c r="I1821" s="13">
        <v>3903.7100000000005</v>
      </c>
      <c r="J1821" s="13">
        <f>Orders[[#This Row],[Quantity]]*Orders[[#This Row],[Selling Price]]</f>
        <v>32148.200000000004</v>
      </c>
      <c r="K1821" s="13">
        <f>Orders[[#This Row],[Quantity]]*Orders[[#This Row],[Cost Price]]</f>
        <v>27325.970000000005</v>
      </c>
      <c r="L1821" s="13">
        <f>Orders[[#This Row],[Revenue]]-Orders[[#This Row],[Expenses]]</f>
        <v>4822.2299999999996</v>
      </c>
      <c r="M1821" t="s">
        <v>2206</v>
      </c>
      <c r="N1821" t="str">
        <f>_xlfn.XLOOKUP(Orders[[#This Row],[CustomerID]],Customers[CustomerID],Customers[CustomerName])</f>
        <v>Tunde Danladi</v>
      </c>
      <c r="O1821" t="str">
        <f>_xlfn.XLOOKUP(Orders[[#This Row],[CustomerID]],Customers[CustomerID],Customers[City])</f>
        <v>Texas</v>
      </c>
      <c r="P1821" t="str">
        <f>_xlfn.XLOOKUP(Orders[[#This Row],[CustomerID]],Customers[CustomerID],Customers[Gender])</f>
        <v>Male</v>
      </c>
      <c r="Q1821">
        <f>_xlfn.XLOOKUP(Orders[[#This Row],[CustomerID]],Customers[CustomerID],Customers[CustomerAge])</f>
        <v>47</v>
      </c>
      <c r="R1821" t="str">
        <f>IF(Orders[[#This Row],[CustomerAge]]&gt;=35, "Older", "Young")</f>
        <v>Older</v>
      </c>
      <c r="S1821" t="str">
        <f>_xlfn.XLOOKUP(Orders[[#This Row],[ProductID]],Products[ProductID],Products[ProductName])</f>
        <v>Gold Bracelets</v>
      </c>
      <c r="T1821" t="str">
        <f>_xlfn.XLOOKUP(Orders[[#This Row],[ProductID]],Products[ProductID],Products[Category])</f>
        <v>Accessories</v>
      </c>
    </row>
    <row r="1822" spans="1:20" x14ac:dyDescent="0.25">
      <c r="A1822" s="4" t="s">
        <v>2011</v>
      </c>
      <c r="B1822" s="5">
        <v>45963</v>
      </c>
      <c r="C1822" s="15">
        <f>WEEKNUM(Orders[[#This Row],[OrderDate]])</f>
        <v>45</v>
      </c>
      <c r="D1822" s="15" t="str">
        <f>TEXT(Orders[[#This Row],[OrderDate]],"mmmm")</f>
        <v>November</v>
      </c>
      <c r="E1822" s="4" t="s">
        <v>59</v>
      </c>
      <c r="F1822" s="4" t="s">
        <v>120</v>
      </c>
      <c r="G1822" s="4">
        <v>1</v>
      </c>
      <c r="H1822" s="12">
        <v>8259.1</v>
      </c>
      <c r="I1822" s="13">
        <v>7020.2350000000006</v>
      </c>
      <c r="J1822" s="13">
        <f>Orders[[#This Row],[Quantity]]*Orders[[#This Row],[Selling Price]]</f>
        <v>8259.1</v>
      </c>
      <c r="K1822" s="13">
        <f>Orders[[#This Row],[Quantity]]*Orders[[#This Row],[Cost Price]]</f>
        <v>7020.2350000000006</v>
      </c>
      <c r="L1822" s="13">
        <f>Orders[[#This Row],[Revenue]]-Orders[[#This Row],[Expenses]]</f>
        <v>1238.8649999999998</v>
      </c>
      <c r="M1822" t="s">
        <v>2204</v>
      </c>
      <c r="N1822" t="str">
        <f>_xlfn.XLOOKUP(Orders[[#This Row],[CustomerID]],Customers[CustomerID],Customers[CustomerName])</f>
        <v>Adanma Danladi</v>
      </c>
      <c r="O1822" t="str">
        <f>_xlfn.XLOOKUP(Orders[[#This Row],[CustomerID]],Customers[CustomerID],Customers[City])</f>
        <v>Texas</v>
      </c>
      <c r="P1822" t="str">
        <f>_xlfn.XLOOKUP(Orders[[#This Row],[CustomerID]],Customers[CustomerID],Customers[Gender])</f>
        <v>Female</v>
      </c>
      <c r="Q1822">
        <f>_xlfn.XLOOKUP(Orders[[#This Row],[CustomerID]],Customers[CustomerID],Customers[CustomerAge])</f>
        <v>24</v>
      </c>
      <c r="R1822" t="str">
        <f>IF(Orders[[#This Row],[CustomerAge]]&gt;=35, "Older", "Young")</f>
        <v>Young</v>
      </c>
      <c r="S1822" t="str">
        <f>_xlfn.XLOOKUP(Orders[[#This Row],[ProductID]],Products[ProductID],Products[ProductName])</f>
        <v>Chess</v>
      </c>
      <c r="T1822" t="str">
        <f>_xlfn.XLOOKUP(Orders[[#This Row],[ProductID]],Products[ProductID],Products[Category])</f>
        <v>Games</v>
      </c>
    </row>
    <row r="1823" spans="1:20" x14ac:dyDescent="0.25">
      <c r="A1823" s="4" t="s">
        <v>2012</v>
      </c>
      <c r="B1823" s="5">
        <v>45997</v>
      </c>
      <c r="C1823" s="15">
        <f>WEEKNUM(Orders[[#This Row],[OrderDate]])</f>
        <v>49</v>
      </c>
      <c r="D1823" s="15" t="str">
        <f>TEXT(Orders[[#This Row],[OrderDate]],"mmmm")</f>
        <v>December</v>
      </c>
      <c r="E1823" s="4" t="s">
        <v>116</v>
      </c>
      <c r="F1823" s="4" t="s">
        <v>84</v>
      </c>
      <c r="G1823" s="4">
        <v>9</v>
      </c>
      <c r="H1823" s="12">
        <v>7929.2</v>
      </c>
      <c r="I1823" s="13">
        <v>6739.82</v>
      </c>
      <c r="J1823" s="13">
        <f>Orders[[#This Row],[Quantity]]*Orders[[#This Row],[Selling Price]]</f>
        <v>71362.8</v>
      </c>
      <c r="K1823" s="13">
        <f>Orders[[#This Row],[Quantity]]*Orders[[#This Row],[Cost Price]]</f>
        <v>60658.38</v>
      </c>
      <c r="L1823" s="13">
        <f>Orders[[#This Row],[Revenue]]-Orders[[#This Row],[Expenses]]</f>
        <v>10704.420000000006</v>
      </c>
      <c r="M1823" t="s">
        <v>2204</v>
      </c>
      <c r="N1823" t="str">
        <f>_xlfn.XLOOKUP(Orders[[#This Row],[CustomerID]],Customers[CustomerID],Customers[CustomerName])</f>
        <v>Uche Bello</v>
      </c>
      <c r="O1823" t="str">
        <f>_xlfn.XLOOKUP(Orders[[#This Row],[CustomerID]],Customers[CustomerID],Customers[City])</f>
        <v>Texas</v>
      </c>
      <c r="P1823" t="str">
        <f>_xlfn.XLOOKUP(Orders[[#This Row],[CustomerID]],Customers[CustomerID],Customers[Gender])</f>
        <v>Male</v>
      </c>
      <c r="Q1823">
        <f>_xlfn.XLOOKUP(Orders[[#This Row],[CustomerID]],Customers[CustomerID],Customers[CustomerAge])</f>
        <v>21</v>
      </c>
      <c r="R1823" t="str">
        <f>IF(Orders[[#This Row],[CustomerAge]]&gt;=35, "Older", "Young")</f>
        <v>Young</v>
      </c>
      <c r="S1823" t="str">
        <f>_xlfn.XLOOKUP(Orders[[#This Row],[ProductID]],Products[ProductID],Products[ProductName])</f>
        <v>Gym Wears</v>
      </c>
      <c r="T1823" t="str">
        <f>_xlfn.XLOOKUP(Orders[[#This Row],[ProductID]],Products[ProductID],Products[Category])</f>
        <v>Clothing</v>
      </c>
    </row>
    <row r="1824" spans="1:20" x14ac:dyDescent="0.25">
      <c r="A1824" s="4" t="s">
        <v>2013</v>
      </c>
      <c r="B1824" s="5">
        <v>45984</v>
      </c>
      <c r="C1824" s="15">
        <f>WEEKNUM(Orders[[#This Row],[OrderDate]])</f>
        <v>48</v>
      </c>
      <c r="D1824" s="15" t="str">
        <f>TEXT(Orders[[#This Row],[OrderDate]],"mmmm")</f>
        <v>November</v>
      </c>
      <c r="E1824" s="4" t="s">
        <v>52</v>
      </c>
      <c r="F1824" s="4" t="s">
        <v>76</v>
      </c>
      <c r="G1824" s="4">
        <v>9</v>
      </c>
      <c r="H1824" s="12">
        <v>2598.2999999999997</v>
      </c>
      <c r="I1824" s="13">
        <v>2208.5549999999998</v>
      </c>
      <c r="J1824" s="13">
        <f>Orders[[#This Row],[Quantity]]*Orders[[#This Row],[Selling Price]]</f>
        <v>23384.699999999997</v>
      </c>
      <c r="K1824" s="13">
        <f>Orders[[#This Row],[Quantity]]*Orders[[#This Row],[Cost Price]]</f>
        <v>19876.994999999999</v>
      </c>
      <c r="L1824" s="13">
        <f>Orders[[#This Row],[Revenue]]-Orders[[#This Row],[Expenses]]</f>
        <v>3507.7049999999981</v>
      </c>
      <c r="M1824" t="s">
        <v>2204</v>
      </c>
      <c r="N1824" t="str">
        <f>_xlfn.XLOOKUP(Orders[[#This Row],[CustomerID]],Customers[CustomerID],Customers[CustomerName])</f>
        <v>Folasade Ojo</v>
      </c>
      <c r="O1824" t="str">
        <f>_xlfn.XLOOKUP(Orders[[#This Row],[CustomerID]],Customers[CustomerID],Customers[City])</f>
        <v>Texas</v>
      </c>
      <c r="P1824" t="str">
        <f>_xlfn.XLOOKUP(Orders[[#This Row],[CustomerID]],Customers[CustomerID],Customers[Gender])</f>
        <v>Female</v>
      </c>
      <c r="Q1824">
        <f>_xlfn.XLOOKUP(Orders[[#This Row],[CustomerID]],Customers[CustomerID],Customers[CustomerAge])</f>
        <v>29</v>
      </c>
      <c r="R1824" t="str">
        <f>IF(Orders[[#This Row],[CustomerAge]]&gt;=35, "Older", "Young")</f>
        <v>Young</v>
      </c>
      <c r="S1824" t="str">
        <f>_xlfn.XLOOKUP(Orders[[#This Row],[ProductID]],Products[ProductID],Products[ProductName])</f>
        <v>Blender</v>
      </c>
      <c r="T1824" t="str">
        <f>_xlfn.XLOOKUP(Orders[[#This Row],[ProductID]],Products[ProductID],Products[Category])</f>
        <v>Electronics</v>
      </c>
    </row>
    <row r="1825" spans="1:20" x14ac:dyDescent="0.25">
      <c r="A1825" s="4" t="s">
        <v>2014</v>
      </c>
      <c r="B1825" s="5">
        <v>45949</v>
      </c>
      <c r="C1825" s="15">
        <f>WEEKNUM(Orders[[#This Row],[OrderDate]])</f>
        <v>43</v>
      </c>
      <c r="D1825" s="15" t="str">
        <f>TEXT(Orders[[#This Row],[OrderDate]],"mmmm")</f>
        <v>October</v>
      </c>
      <c r="E1825" s="4" t="s">
        <v>416</v>
      </c>
      <c r="F1825" s="4" t="s">
        <v>84</v>
      </c>
      <c r="G1825" s="4">
        <v>9</v>
      </c>
      <c r="H1825" s="12">
        <v>11035.9</v>
      </c>
      <c r="I1825" s="13">
        <v>9380.5149999999994</v>
      </c>
      <c r="J1825" s="13">
        <f>Orders[[#This Row],[Quantity]]*Orders[[#This Row],[Selling Price]]</f>
        <v>99323.099999999991</v>
      </c>
      <c r="K1825" s="13">
        <f>Orders[[#This Row],[Quantity]]*Orders[[#This Row],[Cost Price]]</f>
        <v>84424.634999999995</v>
      </c>
      <c r="L1825" s="13">
        <f>Orders[[#This Row],[Revenue]]-Orders[[#This Row],[Expenses]]</f>
        <v>14898.464999999997</v>
      </c>
      <c r="M1825" t="s">
        <v>2194</v>
      </c>
      <c r="N1825" t="str">
        <f>_xlfn.XLOOKUP(Orders[[#This Row],[CustomerID]],Customers[CustomerID],Customers[CustomerName])</f>
        <v>Chinedu Igwe</v>
      </c>
      <c r="O1825" t="str">
        <f>_xlfn.XLOOKUP(Orders[[#This Row],[CustomerID]],Customers[CustomerID],Customers[City])</f>
        <v>Texas</v>
      </c>
      <c r="P1825" t="str">
        <f>_xlfn.XLOOKUP(Orders[[#This Row],[CustomerID]],Customers[CustomerID],Customers[Gender])</f>
        <v>Male</v>
      </c>
      <c r="Q1825">
        <f>_xlfn.XLOOKUP(Orders[[#This Row],[CustomerID]],Customers[CustomerID],Customers[CustomerAge])</f>
        <v>26</v>
      </c>
      <c r="R1825" t="str">
        <f>IF(Orders[[#This Row],[CustomerAge]]&gt;=35, "Older", "Young")</f>
        <v>Young</v>
      </c>
      <c r="S1825" t="str">
        <f>_xlfn.XLOOKUP(Orders[[#This Row],[ProductID]],Products[ProductID],Products[ProductName])</f>
        <v>Gym Wears</v>
      </c>
      <c r="T1825" t="str">
        <f>_xlfn.XLOOKUP(Orders[[#This Row],[ProductID]],Products[ProductID],Products[Category])</f>
        <v>Clothing</v>
      </c>
    </row>
    <row r="1826" spans="1:20" x14ac:dyDescent="0.25">
      <c r="A1826" s="4" t="s">
        <v>2015</v>
      </c>
      <c r="B1826" s="5">
        <v>45948</v>
      </c>
      <c r="C1826" s="15">
        <f>WEEKNUM(Orders[[#This Row],[OrderDate]])</f>
        <v>42</v>
      </c>
      <c r="D1826" s="15" t="str">
        <f>TEXT(Orders[[#This Row],[OrderDate]],"mmmm")</f>
        <v>October</v>
      </c>
      <c r="E1826" s="4" t="s">
        <v>426</v>
      </c>
      <c r="F1826" s="4" t="s">
        <v>63</v>
      </c>
      <c r="G1826" s="4">
        <v>9</v>
      </c>
      <c r="H1826" s="12">
        <v>14402.7</v>
      </c>
      <c r="I1826" s="13">
        <v>12242.295</v>
      </c>
      <c r="J1826" s="13">
        <f>Orders[[#This Row],[Quantity]]*Orders[[#This Row],[Selling Price]]</f>
        <v>129624.3</v>
      </c>
      <c r="K1826" s="13">
        <f>Orders[[#This Row],[Quantity]]*Orders[[#This Row],[Cost Price]]</f>
        <v>110180.655</v>
      </c>
      <c r="L1826" s="13">
        <f>Orders[[#This Row],[Revenue]]-Orders[[#This Row],[Expenses]]</f>
        <v>19443.645000000004</v>
      </c>
      <c r="M1826" t="s">
        <v>2198</v>
      </c>
      <c r="N1826" t="str">
        <f>_xlfn.XLOOKUP(Orders[[#This Row],[CustomerID]],Customers[CustomerID],Customers[CustomerName])</f>
        <v>Chinedu Ojo</v>
      </c>
      <c r="O1826" t="str">
        <f>_xlfn.XLOOKUP(Orders[[#This Row],[CustomerID]],Customers[CustomerID],Customers[City])</f>
        <v>Washington</v>
      </c>
      <c r="P1826" t="str">
        <f>_xlfn.XLOOKUP(Orders[[#This Row],[CustomerID]],Customers[CustomerID],Customers[Gender])</f>
        <v>Male</v>
      </c>
      <c r="Q1826">
        <f>_xlfn.XLOOKUP(Orders[[#This Row],[CustomerID]],Customers[CustomerID],Customers[CustomerAge])</f>
        <v>18</v>
      </c>
      <c r="R1826" t="str">
        <f>IF(Orders[[#This Row],[CustomerAge]]&gt;=35, "Older", "Young")</f>
        <v>Young</v>
      </c>
      <c r="S1826" t="str">
        <f>_xlfn.XLOOKUP(Orders[[#This Row],[ProductID]],Products[ProductID],Products[ProductName])</f>
        <v>Tennis Bat</v>
      </c>
      <c r="T1826" t="str">
        <f>_xlfn.XLOOKUP(Orders[[#This Row],[ProductID]],Products[ProductID],Products[Category])</f>
        <v>Sports</v>
      </c>
    </row>
    <row r="1827" spans="1:20" x14ac:dyDescent="0.25">
      <c r="A1827" s="4" t="s">
        <v>2016</v>
      </c>
      <c r="B1827" s="5">
        <v>45968</v>
      </c>
      <c r="C1827" s="15">
        <f>WEEKNUM(Orders[[#This Row],[OrderDate]])</f>
        <v>45</v>
      </c>
      <c r="D1827" s="15" t="str">
        <f>TEXT(Orders[[#This Row],[OrderDate]],"mmmm")</f>
        <v>November</v>
      </c>
      <c r="E1827" s="4" t="s">
        <v>546</v>
      </c>
      <c r="F1827" s="4" t="s">
        <v>353</v>
      </c>
      <c r="G1827" s="4">
        <v>10</v>
      </c>
      <c r="H1827" s="12">
        <v>10520</v>
      </c>
      <c r="I1827" s="13">
        <v>8942</v>
      </c>
      <c r="J1827" s="13">
        <f>Orders[[#This Row],[Quantity]]*Orders[[#This Row],[Selling Price]]</f>
        <v>105200</v>
      </c>
      <c r="K1827" s="13">
        <f>Orders[[#This Row],[Quantity]]*Orders[[#This Row],[Cost Price]]</f>
        <v>89420</v>
      </c>
      <c r="L1827" s="13">
        <f>Orders[[#This Row],[Revenue]]-Orders[[#This Row],[Expenses]]</f>
        <v>15780</v>
      </c>
      <c r="M1827" t="s">
        <v>2214</v>
      </c>
      <c r="N1827" t="str">
        <f>_xlfn.XLOOKUP(Orders[[#This Row],[CustomerID]],Customers[CustomerID],Customers[CustomerName])</f>
        <v>Bisi Eze</v>
      </c>
      <c r="O1827" t="str">
        <f>_xlfn.XLOOKUP(Orders[[#This Row],[CustomerID]],Customers[CustomerID],Customers[City])</f>
        <v>Texas</v>
      </c>
      <c r="P1827" t="str">
        <f>_xlfn.XLOOKUP(Orders[[#This Row],[CustomerID]],Customers[CustomerID],Customers[Gender])</f>
        <v>Female</v>
      </c>
      <c r="Q1827">
        <f>_xlfn.XLOOKUP(Orders[[#This Row],[CustomerID]],Customers[CustomerID],Customers[CustomerAge])</f>
        <v>32</v>
      </c>
      <c r="R1827" t="str">
        <f>IF(Orders[[#This Row],[CustomerAge]]&gt;=35, "Older", "Young")</f>
        <v>Young</v>
      </c>
      <c r="S1827" t="str">
        <f>_xlfn.XLOOKUP(Orders[[#This Row],[ProductID]],Products[ProductID],Products[ProductName])</f>
        <v>Silver Earrings And Necklaces</v>
      </c>
      <c r="T1827" t="str">
        <f>_xlfn.XLOOKUP(Orders[[#This Row],[ProductID]],Products[ProductID],Products[Category])</f>
        <v>Accessories</v>
      </c>
    </row>
    <row r="1828" spans="1:20" x14ac:dyDescent="0.25">
      <c r="A1828" s="4" t="s">
        <v>2017</v>
      </c>
      <c r="B1828" s="5">
        <v>45963</v>
      </c>
      <c r="C1828" s="15">
        <f>WEEKNUM(Orders[[#This Row],[OrderDate]])</f>
        <v>45</v>
      </c>
      <c r="D1828" s="15" t="str">
        <f>TEXT(Orders[[#This Row],[OrderDate]],"mmmm")</f>
        <v>November</v>
      </c>
      <c r="E1828" s="4" t="s">
        <v>221</v>
      </c>
      <c r="F1828" s="4" t="s">
        <v>151</v>
      </c>
      <c r="G1828" s="4">
        <v>10</v>
      </c>
      <c r="H1828" s="12">
        <v>632.4</v>
      </c>
      <c r="I1828" s="13">
        <v>537.54</v>
      </c>
      <c r="J1828" s="13">
        <f>Orders[[#This Row],[Quantity]]*Orders[[#This Row],[Selling Price]]</f>
        <v>6324</v>
      </c>
      <c r="K1828" s="13">
        <f>Orders[[#This Row],[Quantity]]*Orders[[#This Row],[Cost Price]]</f>
        <v>5375.4</v>
      </c>
      <c r="L1828" s="13">
        <f>Orders[[#This Row],[Revenue]]-Orders[[#This Row],[Expenses]]</f>
        <v>948.60000000000036</v>
      </c>
      <c r="M1828" t="s">
        <v>2202</v>
      </c>
      <c r="N1828" t="str">
        <f>_xlfn.XLOOKUP(Orders[[#This Row],[CustomerID]],Customers[CustomerID],Customers[CustomerName])</f>
        <v>Obi Bello</v>
      </c>
      <c r="O1828" t="str">
        <f>_xlfn.XLOOKUP(Orders[[#This Row],[CustomerID]],Customers[CustomerID],Customers[City])</f>
        <v>Texas</v>
      </c>
      <c r="P1828" t="str">
        <f>_xlfn.XLOOKUP(Orders[[#This Row],[CustomerID]],Customers[CustomerID],Customers[Gender])</f>
        <v>Male</v>
      </c>
      <c r="Q1828">
        <f>_xlfn.XLOOKUP(Orders[[#This Row],[CustomerID]],Customers[CustomerID],Customers[CustomerAge])</f>
        <v>18</v>
      </c>
      <c r="R1828" t="str">
        <f>IF(Orders[[#This Row],[CustomerAge]]&gt;=35, "Older", "Young")</f>
        <v>Young</v>
      </c>
      <c r="S1828" t="str">
        <f>_xlfn.XLOOKUP(Orders[[#This Row],[ProductID]],Products[ProductID],Products[ProductName])</f>
        <v>Checkers</v>
      </c>
      <c r="T1828" t="str">
        <f>_xlfn.XLOOKUP(Orders[[#This Row],[ProductID]],Products[ProductID],Products[Category])</f>
        <v>Games</v>
      </c>
    </row>
    <row r="1829" spans="1:20" x14ac:dyDescent="0.25">
      <c r="A1829" s="4" t="s">
        <v>2018</v>
      </c>
      <c r="B1829" s="5">
        <v>45983</v>
      </c>
      <c r="C1829" s="15">
        <f>WEEKNUM(Orders[[#This Row],[OrderDate]])</f>
        <v>47</v>
      </c>
      <c r="D1829" s="15" t="str">
        <f>TEXT(Orders[[#This Row],[OrderDate]],"mmmm")</f>
        <v>November</v>
      </c>
      <c r="E1829" s="4" t="s">
        <v>507</v>
      </c>
      <c r="F1829" s="4" t="s">
        <v>9</v>
      </c>
      <c r="G1829" s="4">
        <v>6</v>
      </c>
      <c r="H1829" s="12">
        <v>6269.5</v>
      </c>
      <c r="I1829" s="13">
        <v>5329.0749999999998</v>
      </c>
      <c r="J1829" s="13">
        <f>Orders[[#This Row],[Quantity]]*Orders[[#This Row],[Selling Price]]</f>
        <v>37617</v>
      </c>
      <c r="K1829" s="13">
        <f>Orders[[#This Row],[Quantity]]*Orders[[#This Row],[Cost Price]]</f>
        <v>31974.449999999997</v>
      </c>
      <c r="L1829" s="13">
        <f>Orders[[#This Row],[Revenue]]-Orders[[#This Row],[Expenses]]</f>
        <v>5642.5500000000029</v>
      </c>
      <c r="M1829" t="s">
        <v>2217</v>
      </c>
      <c r="N1829" t="str">
        <f>_xlfn.XLOOKUP(Orders[[#This Row],[CustomerID]],Customers[CustomerID],Customers[CustomerName])</f>
        <v>Temi Okonkwo</v>
      </c>
      <c r="O1829" t="str">
        <f>_xlfn.XLOOKUP(Orders[[#This Row],[CustomerID]],Customers[CustomerID],Customers[City])</f>
        <v>Washington</v>
      </c>
      <c r="P1829" t="str">
        <f>_xlfn.XLOOKUP(Orders[[#This Row],[CustomerID]],Customers[CustomerID],Customers[Gender])</f>
        <v>Female</v>
      </c>
      <c r="Q1829">
        <f>_xlfn.XLOOKUP(Orders[[#This Row],[CustomerID]],Customers[CustomerID],Customers[CustomerAge])</f>
        <v>35</v>
      </c>
      <c r="R1829" t="str">
        <f>IF(Orders[[#This Row],[CustomerAge]]&gt;=35, "Older", "Young")</f>
        <v>Older</v>
      </c>
      <c r="S1829" t="str">
        <f>_xlfn.XLOOKUP(Orders[[#This Row],[ProductID]],Products[ProductID],Products[ProductName])</f>
        <v>Beaded Earrings And Necklaces</v>
      </c>
      <c r="T1829" t="str">
        <f>_xlfn.XLOOKUP(Orders[[#This Row],[ProductID]],Products[ProductID],Products[Category])</f>
        <v>Accessories</v>
      </c>
    </row>
    <row r="1830" spans="1:20" x14ac:dyDescent="0.25">
      <c r="A1830" s="4" t="s">
        <v>2019</v>
      </c>
      <c r="B1830" s="5">
        <v>45935</v>
      </c>
      <c r="C1830" s="15">
        <f>WEEKNUM(Orders[[#This Row],[OrderDate]])</f>
        <v>41</v>
      </c>
      <c r="D1830" s="15" t="str">
        <f>TEXT(Orders[[#This Row],[OrderDate]],"mmmm")</f>
        <v>October</v>
      </c>
      <c r="E1830" s="4" t="s">
        <v>324</v>
      </c>
      <c r="F1830" s="4" t="s">
        <v>168</v>
      </c>
      <c r="G1830" s="4">
        <v>2</v>
      </c>
      <c r="H1830" s="12">
        <v>19009.400000000001</v>
      </c>
      <c r="I1830" s="13">
        <v>16157.990000000002</v>
      </c>
      <c r="J1830" s="13">
        <f>Orders[[#This Row],[Quantity]]*Orders[[#This Row],[Selling Price]]</f>
        <v>38018.800000000003</v>
      </c>
      <c r="K1830" s="13">
        <f>Orders[[#This Row],[Quantity]]*Orders[[#This Row],[Cost Price]]</f>
        <v>32315.980000000003</v>
      </c>
      <c r="L1830" s="13">
        <f>Orders[[#This Row],[Revenue]]-Orders[[#This Row],[Expenses]]</f>
        <v>5702.82</v>
      </c>
      <c r="M1830" t="s">
        <v>2207</v>
      </c>
      <c r="N1830" t="str">
        <f>_xlfn.XLOOKUP(Orders[[#This Row],[CustomerID]],Customers[CustomerID],Customers[CustomerName])</f>
        <v>Tunde Okonkwo</v>
      </c>
      <c r="O1830" t="str">
        <f>_xlfn.XLOOKUP(Orders[[#This Row],[CustomerID]],Customers[CustomerID],Customers[City])</f>
        <v>Texas</v>
      </c>
      <c r="P1830" t="str">
        <f>_xlfn.XLOOKUP(Orders[[#This Row],[CustomerID]],Customers[CustomerID],Customers[Gender])</f>
        <v>Male</v>
      </c>
      <c r="Q1830">
        <f>_xlfn.XLOOKUP(Orders[[#This Row],[CustomerID]],Customers[CustomerID],Customers[CustomerAge])</f>
        <v>25</v>
      </c>
      <c r="R1830" t="str">
        <f>IF(Orders[[#This Row],[CustomerAge]]&gt;=35, "Older", "Young")</f>
        <v>Young</v>
      </c>
      <c r="S1830" t="str">
        <f>_xlfn.XLOOKUP(Orders[[#This Row],[ProductID]],Products[ProductID],Products[ProductName])</f>
        <v>Dumb Bells</v>
      </c>
      <c r="T1830" t="str">
        <f>_xlfn.XLOOKUP(Orders[[#This Row],[ProductID]],Products[ProductID],Products[Category])</f>
        <v>Gym</v>
      </c>
    </row>
    <row r="1831" spans="1:20" x14ac:dyDescent="0.25">
      <c r="A1831" s="4" t="s">
        <v>2020</v>
      </c>
      <c r="B1831" s="5">
        <v>45990</v>
      </c>
      <c r="C1831" s="15">
        <f>WEEKNUM(Orders[[#This Row],[OrderDate]])</f>
        <v>48</v>
      </c>
      <c r="D1831" s="15" t="str">
        <f>TEXT(Orders[[#This Row],[OrderDate]],"mmmm")</f>
        <v>November</v>
      </c>
      <c r="E1831" s="4" t="s">
        <v>333</v>
      </c>
      <c r="F1831" s="4" t="s">
        <v>92</v>
      </c>
      <c r="G1831" s="4">
        <v>10</v>
      </c>
      <c r="H1831" s="12">
        <v>6514.2999999999993</v>
      </c>
      <c r="I1831" s="13">
        <v>5537.1549999999997</v>
      </c>
      <c r="J1831" s="13">
        <f>Orders[[#This Row],[Quantity]]*Orders[[#This Row],[Selling Price]]</f>
        <v>65142.999999999993</v>
      </c>
      <c r="K1831" s="13">
        <f>Orders[[#This Row],[Quantity]]*Orders[[#This Row],[Cost Price]]</f>
        <v>55371.549999999996</v>
      </c>
      <c r="L1831" s="13">
        <f>Orders[[#This Row],[Revenue]]-Orders[[#This Row],[Expenses]]</f>
        <v>9771.4499999999971</v>
      </c>
      <c r="M1831" t="s">
        <v>2192</v>
      </c>
      <c r="N1831" t="str">
        <f>_xlfn.XLOOKUP(Orders[[#This Row],[CustomerID]],Customers[CustomerID],Customers[CustomerName])</f>
        <v>Emeka Obi</v>
      </c>
      <c r="O1831" t="str">
        <f>_xlfn.XLOOKUP(Orders[[#This Row],[CustomerID]],Customers[CustomerID],Customers[City])</f>
        <v>Washington</v>
      </c>
      <c r="P1831" t="str">
        <f>_xlfn.XLOOKUP(Orders[[#This Row],[CustomerID]],Customers[CustomerID],Customers[Gender])</f>
        <v>Male</v>
      </c>
      <c r="Q1831">
        <f>_xlfn.XLOOKUP(Orders[[#This Row],[CustomerID]],Customers[CustomerID],Customers[CustomerAge])</f>
        <v>44</v>
      </c>
      <c r="R1831" t="str">
        <f>IF(Orders[[#This Row],[CustomerAge]]&gt;=35, "Older", "Young")</f>
        <v>Older</v>
      </c>
      <c r="S1831" t="str">
        <f>_xlfn.XLOOKUP(Orders[[#This Row],[ProductID]],Products[ProductID],Products[ProductName])</f>
        <v>Chest Expander</v>
      </c>
      <c r="T1831" t="str">
        <f>_xlfn.XLOOKUP(Orders[[#This Row],[ProductID]],Products[ProductID],Products[Category])</f>
        <v>Gym</v>
      </c>
    </row>
    <row r="1832" spans="1:20" x14ac:dyDescent="0.25">
      <c r="A1832" s="4" t="s">
        <v>2021</v>
      </c>
      <c r="B1832" s="5">
        <v>45973</v>
      </c>
      <c r="C1832" s="15">
        <f>WEEKNUM(Orders[[#This Row],[OrderDate]])</f>
        <v>46</v>
      </c>
      <c r="D1832" s="15" t="str">
        <f>TEXT(Orders[[#This Row],[OrderDate]],"mmmm")</f>
        <v>November</v>
      </c>
      <c r="E1832" s="4" t="s">
        <v>148</v>
      </c>
      <c r="F1832" s="4" t="s">
        <v>66</v>
      </c>
      <c r="G1832" s="4">
        <v>9</v>
      </c>
      <c r="H1832" s="12">
        <v>5381.1</v>
      </c>
      <c r="I1832" s="13">
        <v>4573.9350000000004</v>
      </c>
      <c r="J1832" s="13">
        <f>Orders[[#This Row],[Quantity]]*Orders[[#This Row],[Selling Price]]</f>
        <v>48429.9</v>
      </c>
      <c r="K1832" s="13">
        <f>Orders[[#This Row],[Quantity]]*Orders[[#This Row],[Cost Price]]</f>
        <v>41165.415000000001</v>
      </c>
      <c r="L1832" s="13">
        <f>Orders[[#This Row],[Revenue]]-Orders[[#This Row],[Expenses]]</f>
        <v>7264.4850000000006</v>
      </c>
      <c r="M1832" t="s">
        <v>2195</v>
      </c>
      <c r="N1832" t="str">
        <f>_xlfn.XLOOKUP(Orders[[#This Row],[CustomerID]],Customers[CustomerID],Customers[CustomerName])</f>
        <v>Zainab Abubakar</v>
      </c>
      <c r="O1832" t="str">
        <f>_xlfn.XLOOKUP(Orders[[#This Row],[CustomerID]],Customers[CustomerID],Customers[City])</f>
        <v>Florida</v>
      </c>
      <c r="P1832" t="str">
        <f>_xlfn.XLOOKUP(Orders[[#This Row],[CustomerID]],Customers[CustomerID],Customers[Gender])</f>
        <v>Female</v>
      </c>
      <c r="Q1832">
        <f>_xlfn.XLOOKUP(Orders[[#This Row],[CustomerID]],Customers[CustomerID],Customers[CustomerAge])</f>
        <v>29</v>
      </c>
      <c r="R1832" t="str">
        <f>IF(Orders[[#This Row],[CustomerAge]]&gt;=35, "Older", "Young")</f>
        <v>Young</v>
      </c>
      <c r="S1832" t="str">
        <f>_xlfn.XLOOKUP(Orders[[#This Row],[ProductID]],Products[ProductID],Products[ProductName])</f>
        <v>Microwave</v>
      </c>
      <c r="T1832" t="str">
        <f>_xlfn.XLOOKUP(Orders[[#This Row],[ProductID]],Products[ProductID],Products[Category])</f>
        <v>Electronics</v>
      </c>
    </row>
    <row r="1833" spans="1:20" x14ac:dyDescent="0.25">
      <c r="A1833" s="4" t="s">
        <v>2022</v>
      </c>
      <c r="B1833" s="5">
        <v>45936</v>
      </c>
      <c r="C1833" s="15">
        <f>WEEKNUM(Orders[[#This Row],[OrderDate]])</f>
        <v>41</v>
      </c>
      <c r="D1833" s="15" t="str">
        <f>TEXT(Orders[[#This Row],[OrderDate]],"mmmm")</f>
        <v>October</v>
      </c>
      <c r="E1833" s="4" t="s">
        <v>103</v>
      </c>
      <c r="F1833" s="4" t="s">
        <v>31</v>
      </c>
      <c r="G1833" s="4">
        <v>7</v>
      </c>
      <c r="H1833" s="12">
        <v>13148.800000000001</v>
      </c>
      <c r="I1833" s="13">
        <v>11176.480000000001</v>
      </c>
      <c r="J1833" s="13">
        <f>Orders[[#This Row],[Quantity]]*Orders[[#This Row],[Selling Price]]</f>
        <v>92041.600000000006</v>
      </c>
      <c r="K1833" s="13">
        <f>Orders[[#This Row],[Quantity]]*Orders[[#This Row],[Cost Price]]</f>
        <v>78235.360000000015</v>
      </c>
      <c r="L1833" s="13">
        <f>Orders[[#This Row],[Revenue]]-Orders[[#This Row],[Expenses]]</f>
        <v>13806.239999999991</v>
      </c>
      <c r="M1833" t="s">
        <v>2203</v>
      </c>
      <c r="N1833" t="str">
        <f>_xlfn.XLOOKUP(Orders[[#This Row],[CustomerID]],Customers[CustomerID],Customers[CustomerName])</f>
        <v>Chioma Adeyemi</v>
      </c>
      <c r="O1833" t="str">
        <f>_xlfn.XLOOKUP(Orders[[#This Row],[CustomerID]],Customers[CustomerID],Customers[City])</f>
        <v>Georgia</v>
      </c>
      <c r="P1833" t="str">
        <f>_xlfn.XLOOKUP(Orders[[#This Row],[CustomerID]],Customers[CustomerID],Customers[Gender])</f>
        <v>Female</v>
      </c>
      <c r="Q1833">
        <f>_xlfn.XLOOKUP(Orders[[#This Row],[CustomerID]],Customers[CustomerID],Customers[CustomerAge])</f>
        <v>31</v>
      </c>
      <c r="R1833" t="str">
        <f>IF(Orders[[#This Row],[CustomerAge]]&gt;=35, "Older", "Young")</f>
        <v>Young</v>
      </c>
      <c r="S1833" t="str">
        <f>_xlfn.XLOOKUP(Orders[[#This Row],[ProductID]],Products[ProductID],Products[ProductName])</f>
        <v>Kids Games</v>
      </c>
      <c r="T1833" t="str">
        <f>_xlfn.XLOOKUP(Orders[[#This Row],[ProductID]],Products[ProductID],Products[Category])</f>
        <v>Games</v>
      </c>
    </row>
    <row r="1834" spans="1:20" x14ac:dyDescent="0.25">
      <c r="A1834" s="4" t="s">
        <v>2023</v>
      </c>
      <c r="B1834" s="5">
        <v>45936</v>
      </c>
      <c r="C1834" s="15">
        <f>WEEKNUM(Orders[[#This Row],[OrderDate]])</f>
        <v>41</v>
      </c>
      <c r="D1834" s="15" t="str">
        <f>TEXT(Orders[[#This Row],[OrderDate]],"mmmm")</f>
        <v>October</v>
      </c>
      <c r="E1834" s="4" t="s">
        <v>605</v>
      </c>
      <c r="F1834" s="4" t="s">
        <v>60</v>
      </c>
      <c r="G1834" s="4">
        <v>1</v>
      </c>
      <c r="H1834" s="12">
        <v>17144.5</v>
      </c>
      <c r="I1834" s="13">
        <v>14572.825000000001</v>
      </c>
      <c r="J1834" s="13">
        <f>Orders[[#This Row],[Quantity]]*Orders[[#This Row],[Selling Price]]</f>
        <v>17144.5</v>
      </c>
      <c r="K1834" s="13">
        <f>Orders[[#This Row],[Quantity]]*Orders[[#This Row],[Cost Price]]</f>
        <v>14572.825000000001</v>
      </c>
      <c r="L1834" s="13">
        <f>Orders[[#This Row],[Revenue]]-Orders[[#This Row],[Expenses]]</f>
        <v>2571.6749999999993</v>
      </c>
      <c r="M1834" t="s">
        <v>2192</v>
      </c>
      <c r="N1834" t="str">
        <f>_xlfn.XLOOKUP(Orders[[#This Row],[CustomerID]],Customers[CustomerID],Customers[CustomerName])</f>
        <v>Blessing Abubakar</v>
      </c>
      <c r="O1834" t="str">
        <f>_xlfn.XLOOKUP(Orders[[#This Row],[CustomerID]],Customers[CustomerID],Customers[City])</f>
        <v>Texas</v>
      </c>
      <c r="P1834" t="str">
        <f>_xlfn.XLOOKUP(Orders[[#This Row],[CustomerID]],Customers[CustomerID],Customers[Gender])</f>
        <v>Female</v>
      </c>
      <c r="Q1834">
        <f>_xlfn.XLOOKUP(Orders[[#This Row],[CustomerID]],Customers[CustomerID],Customers[CustomerAge])</f>
        <v>44</v>
      </c>
      <c r="R1834" t="str">
        <f>IF(Orders[[#This Row],[CustomerAge]]&gt;=35, "Older", "Young")</f>
        <v>Older</v>
      </c>
      <c r="S1834" t="str">
        <f>_xlfn.XLOOKUP(Orders[[#This Row],[ProductID]],Products[ProductID],Products[ProductName])</f>
        <v>Silver Rings</v>
      </c>
      <c r="T1834" t="str">
        <f>_xlfn.XLOOKUP(Orders[[#This Row],[ProductID]],Products[ProductID],Products[Category])</f>
        <v>Accessories</v>
      </c>
    </row>
    <row r="1835" spans="1:20" x14ac:dyDescent="0.25">
      <c r="A1835" s="4" t="s">
        <v>2024</v>
      </c>
      <c r="B1835" s="5">
        <v>45972</v>
      </c>
      <c r="C1835" s="15">
        <f>WEEKNUM(Orders[[#This Row],[OrderDate]])</f>
        <v>46</v>
      </c>
      <c r="D1835" s="15" t="str">
        <f>TEXT(Orders[[#This Row],[OrderDate]],"mmmm")</f>
        <v>November</v>
      </c>
      <c r="E1835" s="4" t="s">
        <v>214</v>
      </c>
      <c r="F1835" s="4" t="s">
        <v>28</v>
      </c>
      <c r="G1835" s="4">
        <v>3</v>
      </c>
      <c r="H1835" s="12">
        <v>6902.5</v>
      </c>
      <c r="I1835" s="13">
        <v>5867.125</v>
      </c>
      <c r="J1835" s="13">
        <f>Orders[[#This Row],[Quantity]]*Orders[[#This Row],[Selling Price]]</f>
        <v>20707.5</v>
      </c>
      <c r="K1835" s="13">
        <f>Orders[[#This Row],[Quantity]]*Orders[[#This Row],[Cost Price]]</f>
        <v>17601.375</v>
      </c>
      <c r="L1835" s="13">
        <f>Orders[[#This Row],[Revenue]]-Orders[[#This Row],[Expenses]]</f>
        <v>3106.125</v>
      </c>
      <c r="M1835" t="s">
        <v>2213</v>
      </c>
      <c r="N1835" t="str">
        <f>_xlfn.XLOOKUP(Orders[[#This Row],[CustomerID]],Customers[CustomerID],Customers[CustomerName])</f>
        <v>Adanma Okonkwo</v>
      </c>
      <c r="O1835" t="str">
        <f>_xlfn.XLOOKUP(Orders[[#This Row],[CustomerID]],Customers[CustomerID],Customers[City])</f>
        <v>California</v>
      </c>
      <c r="P1835" t="str">
        <f>_xlfn.XLOOKUP(Orders[[#This Row],[CustomerID]],Customers[CustomerID],Customers[Gender])</f>
        <v>Female</v>
      </c>
      <c r="Q1835">
        <f>_xlfn.XLOOKUP(Orders[[#This Row],[CustomerID]],Customers[CustomerID],Customers[CustomerAge])</f>
        <v>20</v>
      </c>
      <c r="R1835" t="str">
        <f>IF(Orders[[#This Row],[CustomerAge]]&gt;=35, "Older", "Young")</f>
        <v>Young</v>
      </c>
      <c r="S1835" t="str">
        <f>_xlfn.XLOOKUP(Orders[[#This Row],[ProductID]],Products[ProductID],Products[ProductName])</f>
        <v>Sneakers</v>
      </c>
      <c r="T1835" t="str">
        <f>_xlfn.XLOOKUP(Orders[[#This Row],[ProductID]],Products[ProductID],Products[Category])</f>
        <v>Sports</v>
      </c>
    </row>
    <row r="1836" spans="1:20" x14ac:dyDescent="0.25">
      <c r="A1836" s="4" t="s">
        <v>2025</v>
      </c>
      <c r="B1836" s="5">
        <v>45940</v>
      </c>
      <c r="C1836" s="15">
        <f>WEEKNUM(Orders[[#This Row],[OrderDate]])</f>
        <v>41</v>
      </c>
      <c r="D1836" s="15" t="str">
        <f>TEXT(Orders[[#This Row],[OrderDate]],"mmmm")</f>
        <v>October</v>
      </c>
      <c r="E1836" s="4" t="s">
        <v>140</v>
      </c>
      <c r="F1836" s="4" t="s">
        <v>151</v>
      </c>
      <c r="G1836" s="4">
        <v>5</v>
      </c>
      <c r="H1836" s="12">
        <v>15253.4</v>
      </c>
      <c r="I1836" s="13">
        <v>12965.39</v>
      </c>
      <c r="J1836" s="13">
        <f>Orders[[#This Row],[Quantity]]*Orders[[#This Row],[Selling Price]]</f>
        <v>76267</v>
      </c>
      <c r="K1836" s="13">
        <f>Orders[[#This Row],[Quantity]]*Orders[[#This Row],[Cost Price]]</f>
        <v>64826.95</v>
      </c>
      <c r="L1836" s="13">
        <f>Orders[[#This Row],[Revenue]]-Orders[[#This Row],[Expenses]]</f>
        <v>11440.050000000003</v>
      </c>
      <c r="M1836" t="s">
        <v>2214</v>
      </c>
      <c r="N1836" t="str">
        <f>_xlfn.XLOOKUP(Orders[[#This Row],[CustomerID]],Customers[CustomerID],Customers[CustomerName])</f>
        <v>Tunde Igwe</v>
      </c>
      <c r="O1836" t="str">
        <f>_xlfn.XLOOKUP(Orders[[#This Row],[CustomerID]],Customers[CustomerID],Customers[City])</f>
        <v>Washington</v>
      </c>
      <c r="P1836" t="str">
        <f>_xlfn.XLOOKUP(Orders[[#This Row],[CustomerID]],Customers[CustomerID],Customers[Gender])</f>
        <v>Male</v>
      </c>
      <c r="Q1836">
        <f>_xlfn.XLOOKUP(Orders[[#This Row],[CustomerID]],Customers[CustomerID],Customers[CustomerAge])</f>
        <v>20</v>
      </c>
      <c r="R1836" t="str">
        <f>IF(Orders[[#This Row],[CustomerAge]]&gt;=35, "Older", "Young")</f>
        <v>Young</v>
      </c>
      <c r="S1836" t="str">
        <f>_xlfn.XLOOKUP(Orders[[#This Row],[ProductID]],Products[ProductID],Products[ProductName])</f>
        <v>Checkers</v>
      </c>
      <c r="T1836" t="str">
        <f>_xlfn.XLOOKUP(Orders[[#This Row],[ProductID]],Products[ProductID],Products[Category])</f>
        <v>Games</v>
      </c>
    </row>
    <row r="1837" spans="1:20" x14ac:dyDescent="0.25">
      <c r="A1837" s="4" t="s">
        <v>2026</v>
      </c>
      <c r="B1837" s="5">
        <v>45950</v>
      </c>
      <c r="C1837" s="15">
        <f>WEEKNUM(Orders[[#This Row],[OrderDate]])</f>
        <v>43</v>
      </c>
      <c r="D1837" s="15" t="str">
        <f>TEXT(Orders[[#This Row],[OrderDate]],"mmmm")</f>
        <v>October</v>
      </c>
      <c r="E1837" s="4" t="s">
        <v>39</v>
      </c>
      <c r="F1837" s="4" t="s">
        <v>15</v>
      </c>
      <c r="G1837" s="4">
        <v>1</v>
      </c>
      <c r="H1837" s="12">
        <v>9583.3000000000011</v>
      </c>
      <c r="I1837" s="13">
        <v>8145.8050000000012</v>
      </c>
      <c r="J1837" s="13">
        <f>Orders[[#This Row],[Quantity]]*Orders[[#This Row],[Selling Price]]</f>
        <v>9583.3000000000011</v>
      </c>
      <c r="K1837" s="13">
        <f>Orders[[#This Row],[Quantity]]*Orders[[#This Row],[Cost Price]]</f>
        <v>8145.8050000000012</v>
      </c>
      <c r="L1837" s="13">
        <f>Orders[[#This Row],[Revenue]]-Orders[[#This Row],[Expenses]]</f>
        <v>1437.4949999999999</v>
      </c>
      <c r="M1837" t="s">
        <v>2199</v>
      </c>
      <c r="N1837" t="str">
        <f>_xlfn.XLOOKUP(Orders[[#This Row],[CustomerID]],Customers[CustomerID],Customers[CustomerName])</f>
        <v>Efe Adeyemi</v>
      </c>
      <c r="O1837" t="str">
        <f>_xlfn.XLOOKUP(Orders[[#This Row],[CustomerID]],Customers[CustomerID],Customers[City])</f>
        <v>Florida</v>
      </c>
      <c r="P1837" t="str">
        <f>_xlfn.XLOOKUP(Orders[[#This Row],[CustomerID]],Customers[CustomerID],Customers[Gender])</f>
        <v>Female</v>
      </c>
      <c r="Q1837">
        <f>_xlfn.XLOOKUP(Orders[[#This Row],[CustomerID]],Customers[CustomerID],Customers[CustomerAge])</f>
        <v>20</v>
      </c>
      <c r="R1837" t="str">
        <f>IF(Orders[[#This Row],[CustomerAge]]&gt;=35, "Older", "Young")</f>
        <v>Young</v>
      </c>
      <c r="S1837" t="str">
        <f>_xlfn.XLOOKUP(Orders[[#This Row],[ProductID]],Products[ProductID],Products[ProductName])</f>
        <v>Monopoly</v>
      </c>
      <c r="T1837" t="str">
        <f>_xlfn.XLOOKUP(Orders[[#This Row],[ProductID]],Products[ProductID],Products[Category])</f>
        <v>Games</v>
      </c>
    </row>
    <row r="1838" spans="1:20" x14ac:dyDescent="0.25">
      <c r="A1838" s="4" t="s">
        <v>2027</v>
      </c>
      <c r="B1838" s="5">
        <v>45949</v>
      </c>
      <c r="C1838" s="15">
        <f>WEEKNUM(Orders[[#This Row],[OrderDate]])</f>
        <v>43</v>
      </c>
      <c r="D1838" s="15" t="str">
        <f>TEXT(Orders[[#This Row],[OrderDate]],"mmmm")</f>
        <v>October</v>
      </c>
      <c r="E1838" s="4" t="s">
        <v>457</v>
      </c>
      <c r="F1838" s="4" t="s">
        <v>23</v>
      </c>
      <c r="G1838" s="4">
        <v>4</v>
      </c>
      <c r="H1838" s="12">
        <v>12502.8</v>
      </c>
      <c r="I1838" s="13">
        <v>10627.38</v>
      </c>
      <c r="J1838" s="13">
        <f>Orders[[#This Row],[Quantity]]*Orders[[#This Row],[Selling Price]]</f>
        <v>50011.199999999997</v>
      </c>
      <c r="K1838" s="13">
        <f>Orders[[#This Row],[Quantity]]*Orders[[#This Row],[Cost Price]]</f>
        <v>42509.52</v>
      </c>
      <c r="L1838" s="13">
        <f>Orders[[#This Row],[Revenue]]-Orders[[#This Row],[Expenses]]</f>
        <v>7501.68</v>
      </c>
      <c r="M1838" t="s">
        <v>2200</v>
      </c>
      <c r="N1838" t="str">
        <f>_xlfn.XLOOKUP(Orders[[#This Row],[CustomerID]],Customers[CustomerID],Customers[CustomerName])</f>
        <v>Tunde Okonkwo</v>
      </c>
      <c r="O1838" t="str">
        <f>_xlfn.XLOOKUP(Orders[[#This Row],[CustomerID]],Customers[CustomerID],Customers[City])</f>
        <v>Illinois</v>
      </c>
      <c r="P1838" t="str">
        <f>_xlfn.XLOOKUP(Orders[[#This Row],[CustomerID]],Customers[CustomerID],Customers[Gender])</f>
        <v>Male</v>
      </c>
      <c r="Q1838">
        <f>_xlfn.XLOOKUP(Orders[[#This Row],[CustomerID]],Customers[CustomerID],Customers[CustomerAge])</f>
        <v>23</v>
      </c>
      <c r="R1838" t="str">
        <f>IF(Orders[[#This Row],[CustomerAge]]&gt;=35, "Older", "Young")</f>
        <v>Young</v>
      </c>
      <c r="S1838" t="str">
        <f>_xlfn.XLOOKUP(Orders[[#This Row],[ProductID]],Products[ProductID],Products[ProductName])</f>
        <v>Gym Gloves</v>
      </c>
      <c r="T1838" t="str">
        <f>_xlfn.XLOOKUP(Orders[[#This Row],[ProductID]],Products[ProductID],Products[Category])</f>
        <v>Gym</v>
      </c>
    </row>
    <row r="1839" spans="1:20" x14ac:dyDescent="0.25">
      <c r="A1839" s="4" t="s">
        <v>2028</v>
      </c>
      <c r="B1839" s="5">
        <v>45962</v>
      </c>
      <c r="C1839" s="15">
        <f>WEEKNUM(Orders[[#This Row],[OrderDate]])</f>
        <v>44</v>
      </c>
      <c r="D1839" s="15" t="str">
        <f>TEXT(Orders[[#This Row],[OrderDate]],"mmmm")</f>
        <v>November</v>
      </c>
      <c r="E1839" s="4" t="s">
        <v>333</v>
      </c>
      <c r="F1839" s="4" t="s">
        <v>81</v>
      </c>
      <c r="G1839" s="4">
        <v>4</v>
      </c>
      <c r="H1839" s="12">
        <v>10287.4</v>
      </c>
      <c r="I1839" s="13">
        <v>8744.2899999999991</v>
      </c>
      <c r="J1839" s="13">
        <f>Orders[[#This Row],[Quantity]]*Orders[[#This Row],[Selling Price]]</f>
        <v>41149.599999999999</v>
      </c>
      <c r="K1839" s="13">
        <f>Orders[[#This Row],[Quantity]]*Orders[[#This Row],[Cost Price]]</f>
        <v>34977.159999999996</v>
      </c>
      <c r="L1839" s="13">
        <f>Orders[[#This Row],[Revenue]]-Orders[[#This Row],[Expenses]]</f>
        <v>6172.4400000000023</v>
      </c>
      <c r="M1839" t="s">
        <v>2215</v>
      </c>
      <c r="N1839" t="str">
        <f>_xlfn.XLOOKUP(Orders[[#This Row],[CustomerID]],Customers[CustomerID],Customers[CustomerName])</f>
        <v>Emeka Obi</v>
      </c>
      <c r="O1839" t="str">
        <f>_xlfn.XLOOKUP(Orders[[#This Row],[CustomerID]],Customers[CustomerID],Customers[City])</f>
        <v>Washington</v>
      </c>
      <c r="P1839" t="str">
        <f>_xlfn.XLOOKUP(Orders[[#This Row],[CustomerID]],Customers[CustomerID],Customers[Gender])</f>
        <v>Male</v>
      </c>
      <c r="Q1839">
        <f>_xlfn.XLOOKUP(Orders[[#This Row],[CustomerID]],Customers[CustomerID],Customers[CustomerAge])</f>
        <v>44</v>
      </c>
      <c r="R1839" t="str">
        <f>IF(Orders[[#This Row],[CustomerAge]]&gt;=35, "Older", "Young")</f>
        <v>Older</v>
      </c>
      <c r="S1839" t="str">
        <f>_xlfn.XLOOKUP(Orders[[#This Row],[ProductID]],Products[ProductID],Products[ProductName])</f>
        <v>Trousers</v>
      </c>
      <c r="T1839" t="str">
        <f>_xlfn.XLOOKUP(Orders[[#This Row],[ProductID]],Products[ProductID],Products[Category])</f>
        <v>Clothing</v>
      </c>
    </row>
    <row r="1840" spans="1:20" x14ac:dyDescent="0.25">
      <c r="A1840" s="4" t="s">
        <v>2029</v>
      </c>
      <c r="B1840" s="5">
        <v>46016</v>
      </c>
      <c r="C1840" s="15">
        <f>WEEKNUM(Orders[[#This Row],[OrderDate]])</f>
        <v>52</v>
      </c>
      <c r="D1840" s="15" t="str">
        <f>TEXT(Orders[[#This Row],[OrderDate]],"mmmm")</f>
        <v>December</v>
      </c>
      <c r="E1840" s="4" t="s">
        <v>55</v>
      </c>
      <c r="F1840" s="4" t="s">
        <v>28</v>
      </c>
      <c r="G1840" s="4">
        <v>5</v>
      </c>
      <c r="H1840" s="12">
        <v>17578.099999999999</v>
      </c>
      <c r="I1840" s="13">
        <v>14941.384999999998</v>
      </c>
      <c r="J1840" s="13">
        <f>Orders[[#This Row],[Quantity]]*Orders[[#This Row],[Selling Price]]</f>
        <v>87890.5</v>
      </c>
      <c r="K1840" s="13">
        <f>Orders[[#This Row],[Quantity]]*Orders[[#This Row],[Cost Price]]</f>
        <v>74706.924999999988</v>
      </c>
      <c r="L1840" s="13">
        <f>Orders[[#This Row],[Revenue]]-Orders[[#This Row],[Expenses]]</f>
        <v>13183.575000000012</v>
      </c>
      <c r="M1840" t="s">
        <v>2199</v>
      </c>
      <c r="N1840" t="str">
        <f>_xlfn.XLOOKUP(Orders[[#This Row],[CustomerID]],Customers[CustomerID],Customers[CustomerName])</f>
        <v>Adanma Ojo</v>
      </c>
      <c r="O1840" t="str">
        <f>_xlfn.XLOOKUP(Orders[[#This Row],[CustomerID]],Customers[CustomerID],Customers[City])</f>
        <v>California</v>
      </c>
      <c r="P1840" t="str">
        <f>_xlfn.XLOOKUP(Orders[[#This Row],[CustomerID]],Customers[CustomerID],Customers[Gender])</f>
        <v>Female</v>
      </c>
      <c r="Q1840">
        <f>_xlfn.XLOOKUP(Orders[[#This Row],[CustomerID]],Customers[CustomerID],Customers[CustomerAge])</f>
        <v>48</v>
      </c>
      <c r="R1840" t="str">
        <f>IF(Orders[[#This Row],[CustomerAge]]&gt;=35, "Older", "Young")</f>
        <v>Older</v>
      </c>
      <c r="S1840" t="str">
        <f>_xlfn.XLOOKUP(Orders[[#This Row],[ProductID]],Products[ProductID],Products[ProductName])</f>
        <v>Sneakers</v>
      </c>
      <c r="T1840" t="str">
        <f>_xlfn.XLOOKUP(Orders[[#This Row],[ProductID]],Products[ProductID],Products[Category])</f>
        <v>Sports</v>
      </c>
    </row>
    <row r="1841" spans="1:20" x14ac:dyDescent="0.25">
      <c r="A1841" s="4" t="s">
        <v>2030</v>
      </c>
      <c r="B1841" s="5">
        <v>45974</v>
      </c>
      <c r="C1841" s="15">
        <f>WEEKNUM(Orders[[#This Row],[OrderDate]])</f>
        <v>46</v>
      </c>
      <c r="D1841" s="15" t="str">
        <f>TEXT(Orders[[#This Row],[OrderDate]],"mmmm")</f>
        <v>November</v>
      </c>
      <c r="E1841" s="4" t="s">
        <v>234</v>
      </c>
      <c r="F1841" s="4" t="s">
        <v>84</v>
      </c>
      <c r="G1841" s="4">
        <v>6</v>
      </c>
      <c r="H1841" s="12">
        <v>12909.1</v>
      </c>
      <c r="I1841" s="13">
        <v>10972.735000000001</v>
      </c>
      <c r="J1841" s="13">
        <f>Orders[[#This Row],[Quantity]]*Orders[[#This Row],[Selling Price]]</f>
        <v>77454.600000000006</v>
      </c>
      <c r="K1841" s="13">
        <f>Orders[[#This Row],[Quantity]]*Orders[[#This Row],[Cost Price]]</f>
        <v>65836.41</v>
      </c>
      <c r="L1841" s="13">
        <f>Orders[[#This Row],[Revenue]]-Orders[[#This Row],[Expenses]]</f>
        <v>11618.190000000002</v>
      </c>
      <c r="M1841" t="s">
        <v>2208</v>
      </c>
      <c r="N1841" t="str">
        <f>_xlfn.XLOOKUP(Orders[[#This Row],[CustomerID]],Customers[CustomerID],Customers[CustomerName])</f>
        <v>Adanma Ojo</v>
      </c>
      <c r="O1841" t="str">
        <f>_xlfn.XLOOKUP(Orders[[#This Row],[CustomerID]],Customers[CustomerID],Customers[City])</f>
        <v>Texas</v>
      </c>
      <c r="P1841" t="str">
        <f>_xlfn.XLOOKUP(Orders[[#This Row],[CustomerID]],Customers[CustomerID],Customers[Gender])</f>
        <v>Female</v>
      </c>
      <c r="Q1841">
        <f>_xlfn.XLOOKUP(Orders[[#This Row],[CustomerID]],Customers[CustomerID],Customers[CustomerAge])</f>
        <v>18</v>
      </c>
      <c r="R1841" t="str">
        <f>IF(Orders[[#This Row],[CustomerAge]]&gt;=35, "Older", "Young")</f>
        <v>Young</v>
      </c>
      <c r="S1841" t="str">
        <f>_xlfn.XLOOKUP(Orders[[#This Row],[ProductID]],Products[ProductID],Products[ProductName])</f>
        <v>Gym Wears</v>
      </c>
      <c r="T1841" t="str">
        <f>_xlfn.XLOOKUP(Orders[[#This Row],[ProductID]],Products[ProductID],Products[Category])</f>
        <v>Clothing</v>
      </c>
    </row>
    <row r="1842" spans="1:20" x14ac:dyDescent="0.25">
      <c r="A1842" s="4" t="s">
        <v>2031</v>
      </c>
      <c r="B1842" s="5">
        <v>45964</v>
      </c>
      <c r="C1842" s="15">
        <f>WEEKNUM(Orders[[#This Row],[OrderDate]])</f>
        <v>45</v>
      </c>
      <c r="D1842" s="15" t="str">
        <f>TEXT(Orders[[#This Row],[OrderDate]],"mmmm")</f>
        <v>November</v>
      </c>
      <c r="E1842" s="4" t="s">
        <v>124</v>
      </c>
      <c r="F1842" s="4" t="s">
        <v>76</v>
      </c>
      <c r="G1842" s="4">
        <v>9</v>
      </c>
      <c r="H1842" s="12">
        <v>14561.5</v>
      </c>
      <c r="I1842" s="13">
        <v>12377.275</v>
      </c>
      <c r="J1842" s="13">
        <f>Orders[[#This Row],[Quantity]]*Orders[[#This Row],[Selling Price]]</f>
        <v>131053.5</v>
      </c>
      <c r="K1842" s="13">
        <f>Orders[[#This Row],[Quantity]]*Orders[[#This Row],[Cost Price]]</f>
        <v>111395.47499999999</v>
      </c>
      <c r="L1842" s="13">
        <f>Orders[[#This Row],[Revenue]]-Orders[[#This Row],[Expenses]]</f>
        <v>19658.025000000009</v>
      </c>
      <c r="M1842" t="s">
        <v>2212</v>
      </c>
      <c r="N1842" t="str">
        <f>_xlfn.XLOOKUP(Orders[[#This Row],[CustomerID]],Customers[CustomerID],Customers[CustomerName])</f>
        <v>Ngozi Ojo</v>
      </c>
      <c r="O1842" t="str">
        <f>_xlfn.XLOOKUP(Orders[[#This Row],[CustomerID]],Customers[CustomerID],Customers[City])</f>
        <v>Texas</v>
      </c>
      <c r="P1842" t="str">
        <f>_xlfn.XLOOKUP(Orders[[#This Row],[CustomerID]],Customers[CustomerID],Customers[Gender])</f>
        <v>Female</v>
      </c>
      <c r="Q1842">
        <f>_xlfn.XLOOKUP(Orders[[#This Row],[CustomerID]],Customers[CustomerID],Customers[CustomerAge])</f>
        <v>22</v>
      </c>
      <c r="R1842" t="str">
        <f>IF(Orders[[#This Row],[CustomerAge]]&gt;=35, "Older", "Young")</f>
        <v>Young</v>
      </c>
      <c r="S1842" t="str">
        <f>_xlfn.XLOOKUP(Orders[[#This Row],[ProductID]],Products[ProductID],Products[ProductName])</f>
        <v>Blender</v>
      </c>
      <c r="T1842" t="str">
        <f>_xlfn.XLOOKUP(Orders[[#This Row],[ProductID]],Products[ProductID],Products[Category])</f>
        <v>Electronics</v>
      </c>
    </row>
    <row r="1843" spans="1:20" x14ac:dyDescent="0.25">
      <c r="A1843" s="4" t="s">
        <v>2032</v>
      </c>
      <c r="B1843" s="5">
        <v>45982</v>
      </c>
      <c r="C1843" s="15">
        <f>WEEKNUM(Orders[[#This Row],[OrderDate]])</f>
        <v>47</v>
      </c>
      <c r="D1843" s="15" t="str">
        <f>TEXT(Orders[[#This Row],[OrderDate]],"mmmm")</f>
        <v>November</v>
      </c>
      <c r="E1843" s="4" t="s">
        <v>203</v>
      </c>
      <c r="F1843" s="4" t="s">
        <v>28</v>
      </c>
      <c r="G1843" s="4">
        <v>7</v>
      </c>
      <c r="H1843" s="12">
        <v>1584</v>
      </c>
      <c r="I1843" s="13">
        <v>1346.4</v>
      </c>
      <c r="J1843" s="13">
        <f>Orders[[#This Row],[Quantity]]*Orders[[#This Row],[Selling Price]]</f>
        <v>11088</v>
      </c>
      <c r="K1843" s="13">
        <f>Orders[[#This Row],[Quantity]]*Orders[[#This Row],[Cost Price]]</f>
        <v>9424.8000000000011</v>
      </c>
      <c r="L1843" s="13">
        <f>Orders[[#This Row],[Revenue]]-Orders[[#This Row],[Expenses]]</f>
        <v>1663.1999999999989</v>
      </c>
      <c r="M1843" t="s">
        <v>2197</v>
      </c>
      <c r="N1843" t="str">
        <f>_xlfn.XLOOKUP(Orders[[#This Row],[CustomerID]],Customers[CustomerID],Customers[CustomerName])</f>
        <v>Okon Bello</v>
      </c>
      <c r="O1843" t="str">
        <f>_xlfn.XLOOKUP(Orders[[#This Row],[CustomerID]],Customers[CustomerID],Customers[City])</f>
        <v>Texas</v>
      </c>
      <c r="P1843" t="str">
        <f>_xlfn.XLOOKUP(Orders[[#This Row],[CustomerID]],Customers[CustomerID],Customers[Gender])</f>
        <v>Male</v>
      </c>
      <c r="Q1843">
        <f>_xlfn.XLOOKUP(Orders[[#This Row],[CustomerID]],Customers[CustomerID],Customers[CustomerAge])</f>
        <v>20</v>
      </c>
      <c r="R1843" t="str">
        <f>IF(Orders[[#This Row],[CustomerAge]]&gt;=35, "Older", "Young")</f>
        <v>Young</v>
      </c>
      <c r="S1843" t="str">
        <f>_xlfn.XLOOKUP(Orders[[#This Row],[ProductID]],Products[ProductID],Products[ProductName])</f>
        <v>Sneakers</v>
      </c>
      <c r="T1843" t="str">
        <f>_xlfn.XLOOKUP(Orders[[#This Row],[ProductID]],Products[ProductID],Products[Category])</f>
        <v>Sports</v>
      </c>
    </row>
    <row r="1844" spans="1:20" x14ac:dyDescent="0.25">
      <c r="A1844" s="4" t="s">
        <v>2033</v>
      </c>
      <c r="B1844" s="5">
        <v>46009</v>
      </c>
      <c r="C1844" s="15">
        <f>WEEKNUM(Orders[[#This Row],[OrderDate]])</f>
        <v>51</v>
      </c>
      <c r="D1844" s="15" t="str">
        <f>TEXT(Orders[[#This Row],[OrderDate]],"mmmm")</f>
        <v>December</v>
      </c>
      <c r="E1844" s="4" t="s">
        <v>574</v>
      </c>
      <c r="F1844" s="4" t="s">
        <v>60</v>
      </c>
      <c r="G1844" s="4">
        <v>1</v>
      </c>
      <c r="H1844" s="12">
        <v>9452.2000000000007</v>
      </c>
      <c r="I1844" s="13">
        <v>8034.3700000000008</v>
      </c>
      <c r="J1844" s="13">
        <f>Orders[[#This Row],[Quantity]]*Orders[[#This Row],[Selling Price]]</f>
        <v>9452.2000000000007</v>
      </c>
      <c r="K1844" s="13">
        <f>Orders[[#This Row],[Quantity]]*Orders[[#This Row],[Cost Price]]</f>
        <v>8034.3700000000008</v>
      </c>
      <c r="L1844" s="13">
        <f>Orders[[#This Row],[Revenue]]-Orders[[#This Row],[Expenses]]</f>
        <v>1417.83</v>
      </c>
      <c r="M1844" t="s">
        <v>2202</v>
      </c>
      <c r="N1844" t="str">
        <f>_xlfn.XLOOKUP(Orders[[#This Row],[CustomerID]],Customers[CustomerID],Customers[CustomerName])</f>
        <v>Adanma Obi</v>
      </c>
      <c r="O1844" t="str">
        <f>_xlfn.XLOOKUP(Orders[[#This Row],[CustomerID]],Customers[CustomerID],Customers[City])</f>
        <v>Texas</v>
      </c>
      <c r="P1844" t="str">
        <f>_xlfn.XLOOKUP(Orders[[#This Row],[CustomerID]],Customers[CustomerID],Customers[Gender])</f>
        <v>Female</v>
      </c>
      <c r="Q1844">
        <f>_xlfn.XLOOKUP(Orders[[#This Row],[CustomerID]],Customers[CustomerID],Customers[CustomerAge])</f>
        <v>23</v>
      </c>
      <c r="R1844" t="str">
        <f>IF(Orders[[#This Row],[CustomerAge]]&gt;=35, "Older", "Young")</f>
        <v>Young</v>
      </c>
      <c r="S1844" t="str">
        <f>_xlfn.XLOOKUP(Orders[[#This Row],[ProductID]],Products[ProductID],Products[ProductName])</f>
        <v>Silver Rings</v>
      </c>
      <c r="T1844" t="str">
        <f>_xlfn.XLOOKUP(Orders[[#This Row],[ProductID]],Products[ProductID],Products[Category])</f>
        <v>Accessories</v>
      </c>
    </row>
    <row r="1845" spans="1:20" x14ac:dyDescent="0.25">
      <c r="A1845" s="4" t="s">
        <v>2034</v>
      </c>
      <c r="B1845" s="5">
        <v>45999</v>
      </c>
      <c r="C1845" s="15">
        <f>WEEKNUM(Orders[[#This Row],[OrderDate]])</f>
        <v>50</v>
      </c>
      <c r="D1845" s="15" t="str">
        <f>TEXT(Orders[[#This Row],[OrderDate]],"mmmm")</f>
        <v>December</v>
      </c>
      <c r="E1845" s="4" t="s">
        <v>94</v>
      </c>
      <c r="F1845" s="4" t="s">
        <v>15</v>
      </c>
      <c r="G1845" s="4">
        <v>5</v>
      </c>
      <c r="H1845" s="12">
        <v>5137.2000000000007</v>
      </c>
      <c r="I1845" s="13">
        <v>4366.6200000000008</v>
      </c>
      <c r="J1845" s="13">
        <f>Orders[[#This Row],[Quantity]]*Orders[[#This Row],[Selling Price]]</f>
        <v>25686.000000000004</v>
      </c>
      <c r="K1845" s="13">
        <f>Orders[[#This Row],[Quantity]]*Orders[[#This Row],[Cost Price]]</f>
        <v>21833.100000000006</v>
      </c>
      <c r="L1845" s="13">
        <f>Orders[[#This Row],[Revenue]]-Orders[[#This Row],[Expenses]]</f>
        <v>3852.8999999999978</v>
      </c>
      <c r="M1845" t="s">
        <v>2210</v>
      </c>
      <c r="N1845" t="str">
        <f>_xlfn.XLOOKUP(Orders[[#This Row],[CustomerID]],Customers[CustomerID],Customers[CustomerName])</f>
        <v>Uche Abubakar</v>
      </c>
      <c r="O1845" t="str">
        <f>_xlfn.XLOOKUP(Orders[[#This Row],[CustomerID]],Customers[CustomerID],Customers[City])</f>
        <v>Texas</v>
      </c>
      <c r="P1845" t="str">
        <f>_xlfn.XLOOKUP(Orders[[#This Row],[CustomerID]],Customers[CustomerID],Customers[Gender])</f>
        <v>Male</v>
      </c>
      <c r="Q1845">
        <f>_xlfn.XLOOKUP(Orders[[#This Row],[CustomerID]],Customers[CustomerID],Customers[CustomerAge])</f>
        <v>26</v>
      </c>
      <c r="R1845" t="str">
        <f>IF(Orders[[#This Row],[CustomerAge]]&gt;=35, "Older", "Young")</f>
        <v>Young</v>
      </c>
      <c r="S1845" t="str">
        <f>_xlfn.XLOOKUP(Orders[[#This Row],[ProductID]],Products[ProductID],Products[ProductName])</f>
        <v>Monopoly</v>
      </c>
      <c r="T1845" t="str">
        <f>_xlfn.XLOOKUP(Orders[[#This Row],[ProductID]],Products[ProductID],Products[Category])</f>
        <v>Games</v>
      </c>
    </row>
    <row r="1846" spans="1:20" x14ac:dyDescent="0.25">
      <c r="A1846" s="4" t="s">
        <v>2035</v>
      </c>
      <c r="B1846" s="5">
        <v>45935</v>
      </c>
      <c r="C1846" s="15">
        <f>WEEKNUM(Orders[[#This Row],[OrderDate]])</f>
        <v>41</v>
      </c>
      <c r="D1846" s="15" t="str">
        <f>TEXT(Orders[[#This Row],[OrderDate]],"mmmm")</f>
        <v>October</v>
      </c>
      <c r="E1846" s="4" t="s">
        <v>212</v>
      </c>
      <c r="F1846" s="4" t="s">
        <v>63</v>
      </c>
      <c r="G1846" s="4">
        <v>4</v>
      </c>
      <c r="H1846" s="12">
        <v>17488.5</v>
      </c>
      <c r="I1846" s="13">
        <v>14865.225</v>
      </c>
      <c r="J1846" s="13">
        <f>Orders[[#This Row],[Quantity]]*Orders[[#This Row],[Selling Price]]</f>
        <v>69954</v>
      </c>
      <c r="K1846" s="13">
        <f>Orders[[#This Row],[Quantity]]*Orders[[#This Row],[Cost Price]]</f>
        <v>59460.9</v>
      </c>
      <c r="L1846" s="13">
        <f>Orders[[#This Row],[Revenue]]-Orders[[#This Row],[Expenses]]</f>
        <v>10493.099999999999</v>
      </c>
      <c r="M1846" t="s">
        <v>2204</v>
      </c>
      <c r="N1846" t="str">
        <f>_xlfn.XLOOKUP(Orders[[#This Row],[CustomerID]],Customers[CustomerID],Customers[CustomerName])</f>
        <v>Ngozi Ojo</v>
      </c>
      <c r="O1846" t="str">
        <f>_xlfn.XLOOKUP(Orders[[#This Row],[CustomerID]],Customers[CustomerID],Customers[City])</f>
        <v>Illinois</v>
      </c>
      <c r="P1846" t="str">
        <f>_xlfn.XLOOKUP(Orders[[#This Row],[CustomerID]],Customers[CustomerID],Customers[Gender])</f>
        <v>Female</v>
      </c>
      <c r="Q1846">
        <f>_xlfn.XLOOKUP(Orders[[#This Row],[CustomerID]],Customers[CustomerID],Customers[CustomerAge])</f>
        <v>53</v>
      </c>
      <c r="R1846" t="str">
        <f>IF(Orders[[#This Row],[CustomerAge]]&gt;=35, "Older", "Young")</f>
        <v>Older</v>
      </c>
      <c r="S1846" t="str">
        <f>_xlfn.XLOOKUP(Orders[[#This Row],[ProductID]],Products[ProductID],Products[ProductName])</f>
        <v>Tennis Bat</v>
      </c>
      <c r="T1846" t="str">
        <f>_xlfn.XLOOKUP(Orders[[#This Row],[ProductID]],Products[ProductID],Products[Category])</f>
        <v>Sports</v>
      </c>
    </row>
    <row r="1847" spans="1:20" x14ac:dyDescent="0.25">
      <c r="A1847" s="4" t="s">
        <v>2036</v>
      </c>
      <c r="B1847" s="5">
        <v>45987</v>
      </c>
      <c r="C1847" s="15">
        <f>WEEKNUM(Orders[[#This Row],[OrderDate]])</f>
        <v>48</v>
      </c>
      <c r="D1847" s="15" t="str">
        <f>TEXT(Orders[[#This Row],[OrderDate]],"mmmm")</f>
        <v>November</v>
      </c>
      <c r="E1847" s="4" t="s">
        <v>346</v>
      </c>
      <c r="F1847" s="4" t="s">
        <v>353</v>
      </c>
      <c r="G1847" s="4">
        <v>1</v>
      </c>
      <c r="H1847" s="12">
        <v>7401.4</v>
      </c>
      <c r="I1847" s="13">
        <v>6291.19</v>
      </c>
      <c r="J1847" s="13">
        <f>Orders[[#This Row],[Quantity]]*Orders[[#This Row],[Selling Price]]</f>
        <v>7401.4</v>
      </c>
      <c r="K1847" s="13">
        <f>Orders[[#This Row],[Quantity]]*Orders[[#This Row],[Cost Price]]</f>
        <v>6291.19</v>
      </c>
      <c r="L1847" s="13">
        <f>Orders[[#This Row],[Revenue]]-Orders[[#This Row],[Expenses]]</f>
        <v>1110.21</v>
      </c>
      <c r="M1847" t="s">
        <v>2198</v>
      </c>
      <c r="N1847" t="str">
        <f>_xlfn.XLOOKUP(Orders[[#This Row],[CustomerID]],Customers[CustomerID],Customers[CustomerName])</f>
        <v>Ngozi Danladi</v>
      </c>
      <c r="O1847" t="str">
        <f>_xlfn.XLOOKUP(Orders[[#This Row],[CustomerID]],Customers[CustomerID],Customers[City])</f>
        <v>California</v>
      </c>
      <c r="P1847" t="str">
        <f>_xlfn.XLOOKUP(Orders[[#This Row],[CustomerID]],Customers[CustomerID],Customers[Gender])</f>
        <v>Female</v>
      </c>
      <c r="Q1847">
        <f>_xlfn.XLOOKUP(Orders[[#This Row],[CustomerID]],Customers[CustomerID],Customers[CustomerAge])</f>
        <v>30</v>
      </c>
      <c r="R1847" t="str">
        <f>IF(Orders[[#This Row],[CustomerAge]]&gt;=35, "Older", "Young")</f>
        <v>Young</v>
      </c>
      <c r="S1847" t="str">
        <f>_xlfn.XLOOKUP(Orders[[#This Row],[ProductID]],Products[ProductID],Products[ProductName])</f>
        <v>Silver Earrings And Necklaces</v>
      </c>
      <c r="T1847" t="str">
        <f>_xlfn.XLOOKUP(Orders[[#This Row],[ProductID]],Products[ProductID],Products[Category])</f>
        <v>Accessories</v>
      </c>
    </row>
    <row r="1848" spans="1:20" x14ac:dyDescent="0.25">
      <c r="A1848" s="4" t="s">
        <v>2037</v>
      </c>
      <c r="B1848" s="5">
        <v>45974</v>
      </c>
      <c r="C1848" s="15">
        <f>WEEKNUM(Orders[[#This Row],[OrderDate]])</f>
        <v>46</v>
      </c>
      <c r="D1848" s="15" t="str">
        <f>TEXT(Orders[[#This Row],[OrderDate]],"mmmm")</f>
        <v>November</v>
      </c>
      <c r="E1848" s="4" t="s">
        <v>386</v>
      </c>
      <c r="F1848" s="4" t="s">
        <v>23</v>
      </c>
      <c r="G1848" s="4">
        <v>7</v>
      </c>
      <c r="H1848" s="12">
        <v>11948.4</v>
      </c>
      <c r="I1848" s="13">
        <v>10156.14</v>
      </c>
      <c r="J1848" s="13">
        <f>Orders[[#This Row],[Quantity]]*Orders[[#This Row],[Selling Price]]</f>
        <v>83638.8</v>
      </c>
      <c r="K1848" s="13">
        <f>Orders[[#This Row],[Quantity]]*Orders[[#This Row],[Cost Price]]</f>
        <v>71092.98</v>
      </c>
      <c r="L1848" s="13">
        <f>Orders[[#This Row],[Revenue]]-Orders[[#This Row],[Expenses]]</f>
        <v>12545.820000000007</v>
      </c>
      <c r="M1848" t="s">
        <v>2209</v>
      </c>
      <c r="N1848" t="str">
        <f>_xlfn.XLOOKUP(Orders[[#This Row],[CustomerID]],Customers[CustomerID],Customers[CustomerName])</f>
        <v>Chinedu Eze</v>
      </c>
      <c r="O1848" t="str">
        <f>_xlfn.XLOOKUP(Orders[[#This Row],[CustomerID]],Customers[CustomerID],Customers[City])</f>
        <v>Washington</v>
      </c>
      <c r="P1848" t="str">
        <f>_xlfn.XLOOKUP(Orders[[#This Row],[CustomerID]],Customers[CustomerID],Customers[Gender])</f>
        <v>Male</v>
      </c>
      <c r="Q1848">
        <f>_xlfn.XLOOKUP(Orders[[#This Row],[CustomerID]],Customers[CustomerID],Customers[CustomerAge])</f>
        <v>32</v>
      </c>
      <c r="R1848" t="str">
        <f>IF(Orders[[#This Row],[CustomerAge]]&gt;=35, "Older", "Young")</f>
        <v>Young</v>
      </c>
      <c r="S1848" t="str">
        <f>_xlfn.XLOOKUP(Orders[[#This Row],[ProductID]],Products[ProductID],Products[ProductName])</f>
        <v>Gym Gloves</v>
      </c>
      <c r="T1848" t="str">
        <f>_xlfn.XLOOKUP(Orders[[#This Row],[ProductID]],Products[ProductID],Products[Category])</f>
        <v>Gym</v>
      </c>
    </row>
    <row r="1849" spans="1:20" x14ac:dyDescent="0.25">
      <c r="A1849" s="4" t="s">
        <v>2038</v>
      </c>
      <c r="B1849" s="5">
        <v>45943</v>
      </c>
      <c r="C1849" s="15">
        <f>WEEKNUM(Orders[[#This Row],[OrderDate]])</f>
        <v>42</v>
      </c>
      <c r="D1849" s="15" t="str">
        <f>TEXT(Orders[[#This Row],[OrderDate]],"mmmm")</f>
        <v>October</v>
      </c>
      <c r="E1849" s="4" t="s">
        <v>212</v>
      </c>
      <c r="F1849" s="4" t="s">
        <v>70</v>
      </c>
      <c r="G1849" s="4">
        <v>3</v>
      </c>
      <c r="H1849" s="12">
        <v>16956.199999999997</v>
      </c>
      <c r="I1849" s="13">
        <v>14412.769999999997</v>
      </c>
      <c r="J1849" s="13">
        <f>Orders[[#This Row],[Quantity]]*Orders[[#This Row],[Selling Price]]</f>
        <v>50868.599999999991</v>
      </c>
      <c r="K1849" s="13">
        <f>Orders[[#This Row],[Quantity]]*Orders[[#This Row],[Cost Price]]</f>
        <v>43238.30999999999</v>
      </c>
      <c r="L1849" s="13">
        <f>Orders[[#This Row],[Revenue]]-Orders[[#This Row],[Expenses]]</f>
        <v>7630.2900000000009</v>
      </c>
      <c r="M1849" t="s">
        <v>2211</v>
      </c>
      <c r="N1849" t="str">
        <f>_xlfn.XLOOKUP(Orders[[#This Row],[CustomerID]],Customers[CustomerID],Customers[CustomerName])</f>
        <v>Ngozi Ojo</v>
      </c>
      <c r="O1849" t="str">
        <f>_xlfn.XLOOKUP(Orders[[#This Row],[CustomerID]],Customers[CustomerID],Customers[City])</f>
        <v>Illinois</v>
      </c>
      <c r="P1849" t="str">
        <f>_xlfn.XLOOKUP(Orders[[#This Row],[CustomerID]],Customers[CustomerID],Customers[Gender])</f>
        <v>Female</v>
      </c>
      <c r="Q1849">
        <f>_xlfn.XLOOKUP(Orders[[#This Row],[CustomerID]],Customers[CustomerID],Customers[CustomerAge])</f>
        <v>53</v>
      </c>
      <c r="R1849" t="str">
        <f>IF(Orders[[#This Row],[CustomerAge]]&gt;=35, "Older", "Young")</f>
        <v>Older</v>
      </c>
      <c r="S1849" t="str">
        <f>_xlfn.XLOOKUP(Orders[[#This Row],[ProductID]],Products[ProductID],Products[ProductName])</f>
        <v>Yoga Mat</v>
      </c>
      <c r="T1849" t="str">
        <f>_xlfn.XLOOKUP(Orders[[#This Row],[ProductID]],Products[ProductID],Products[Category])</f>
        <v>Gym</v>
      </c>
    </row>
    <row r="1850" spans="1:20" x14ac:dyDescent="0.25">
      <c r="A1850" s="4" t="s">
        <v>2039</v>
      </c>
      <c r="B1850" s="5">
        <v>45966</v>
      </c>
      <c r="C1850" s="15">
        <f>WEEKNUM(Orders[[#This Row],[OrderDate]])</f>
        <v>45</v>
      </c>
      <c r="D1850" s="15" t="str">
        <f>TEXT(Orders[[#This Row],[OrderDate]],"mmmm")</f>
        <v>November</v>
      </c>
      <c r="E1850" s="4" t="s">
        <v>671</v>
      </c>
      <c r="F1850" s="4" t="s">
        <v>37</v>
      </c>
      <c r="G1850" s="4">
        <v>7</v>
      </c>
      <c r="H1850" s="12">
        <v>18986.400000000001</v>
      </c>
      <c r="I1850" s="13">
        <v>16138.440000000002</v>
      </c>
      <c r="J1850" s="13">
        <f>Orders[[#This Row],[Quantity]]*Orders[[#This Row],[Selling Price]]</f>
        <v>132904.80000000002</v>
      </c>
      <c r="K1850" s="13">
        <f>Orders[[#This Row],[Quantity]]*Orders[[#This Row],[Cost Price]]</f>
        <v>112969.08000000002</v>
      </c>
      <c r="L1850" s="13">
        <f>Orders[[#This Row],[Revenue]]-Orders[[#This Row],[Expenses]]</f>
        <v>19935.72</v>
      </c>
      <c r="M1850" t="s">
        <v>2215</v>
      </c>
      <c r="N1850" t="str">
        <f>_xlfn.XLOOKUP(Orders[[#This Row],[CustomerID]],Customers[CustomerID],Customers[CustomerName])</f>
        <v>Tunde Abubakar</v>
      </c>
      <c r="O1850" t="str">
        <f>_xlfn.XLOOKUP(Orders[[#This Row],[CustomerID]],Customers[CustomerID],Customers[City])</f>
        <v>Texas</v>
      </c>
      <c r="P1850" t="str">
        <f>_xlfn.XLOOKUP(Orders[[#This Row],[CustomerID]],Customers[CustomerID],Customers[Gender])</f>
        <v>Male</v>
      </c>
      <c r="Q1850">
        <f>_xlfn.XLOOKUP(Orders[[#This Row],[CustomerID]],Customers[CustomerID],Customers[CustomerAge])</f>
        <v>26</v>
      </c>
      <c r="R1850" t="str">
        <f>IF(Orders[[#This Row],[CustomerAge]]&gt;=35, "Older", "Young")</f>
        <v>Young</v>
      </c>
      <c r="S1850" t="str">
        <f>_xlfn.XLOOKUP(Orders[[#This Row],[ProductID]],Products[ProductID],Products[ProductName])</f>
        <v>Iron</v>
      </c>
      <c r="T1850" t="str">
        <f>_xlfn.XLOOKUP(Orders[[#This Row],[ProductID]],Products[ProductID],Products[Category])</f>
        <v>Electronics</v>
      </c>
    </row>
    <row r="1851" spans="1:20" x14ac:dyDescent="0.25">
      <c r="A1851" s="4" t="s">
        <v>2040</v>
      </c>
      <c r="B1851" s="5">
        <v>45971</v>
      </c>
      <c r="C1851" s="15">
        <f>WEEKNUM(Orders[[#This Row],[OrderDate]])</f>
        <v>46</v>
      </c>
      <c r="D1851" s="15" t="str">
        <f>TEXT(Orders[[#This Row],[OrderDate]],"mmmm")</f>
        <v>November</v>
      </c>
      <c r="E1851" s="4" t="s">
        <v>457</v>
      </c>
      <c r="F1851" s="4" t="s">
        <v>168</v>
      </c>
      <c r="G1851" s="4">
        <v>1</v>
      </c>
      <c r="H1851" s="12">
        <v>8721.1</v>
      </c>
      <c r="I1851" s="13">
        <v>7412.9350000000004</v>
      </c>
      <c r="J1851" s="13">
        <f>Orders[[#This Row],[Quantity]]*Orders[[#This Row],[Selling Price]]</f>
        <v>8721.1</v>
      </c>
      <c r="K1851" s="13">
        <f>Orders[[#This Row],[Quantity]]*Orders[[#This Row],[Cost Price]]</f>
        <v>7412.9350000000004</v>
      </c>
      <c r="L1851" s="13">
        <f>Orders[[#This Row],[Revenue]]-Orders[[#This Row],[Expenses]]</f>
        <v>1308.165</v>
      </c>
      <c r="M1851" t="s">
        <v>2211</v>
      </c>
      <c r="N1851" t="str">
        <f>_xlfn.XLOOKUP(Orders[[#This Row],[CustomerID]],Customers[CustomerID],Customers[CustomerName])</f>
        <v>Tunde Okonkwo</v>
      </c>
      <c r="O1851" t="str">
        <f>_xlfn.XLOOKUP(Orders[[#This Row],[CustomerID]],Customers[CustomerID],Customers[City])</f>
        <v>Illinois</v>
      </c>
      <c r="P1851" t="str">
        <f>_xlfn.XLOOKUP(Orders[[#This Row],[CustomerID]],Customers[CustomerID],Customers[Gender])</f>
        <v>Male</v>
      </c>
      <c r="Q1851">
        <f>_xlfn.XLOOKUP(Orders[[#This Row],[CustomerID]],Customers[CustomerID],Customers[CustomerAge])</f>
        <v>23</v>
      </c>
      <c r="R1851" t="str">
        <f>IF(Orders[[#This Row],[CustomerAge]]&gt;=35, "Older", "Young")</f>
        <v>Young</v>
      </c>
      <c r="S1851" t="str">
        <f>_xlfn.XLOOKUP(Orders[[#This Row],[ProductID]],Products[ProductID],Products[ProductName])</f>
        <v>Dumb Bells</v>
      </c>
      <c r="T1851" t="str">
        <f>_xlfn.XLOOKUP(Orders[[#This Row],[ProductID]],Products[ProductID],Products[Category])</f>
        <v>Gym</v>
      </c>
    </row>
    <row r="1852" spans="1:20" x14ac:dyDescent="0.25">
      <c r="A1852" s="4" t="s">
        <v>2041</v>
      </c>
      <c r="B1852" s="5">
        <v>45939</v>
      </c>
      <c r="C1852" s="15">
        <f>WEEKNUM(Orders[[#This Row],[OrderDate]])</f>
        <v>41</v>
      </c>
      <c r="D1852" s="15" t="str">
        <f>TEXT(Orders[[#This Row],[OrderDate]],"mmmm")</f>
        <v>October</v>
      </c>
      <c r="E1852" s="4" t="s">
        <v>227</v>
      </c>
      <c r="F1852" s="4" t="s">
        <v>92</v>
      </c>
      <c r="G1852" s="4">
        <v>4</v>
      </c>
      <c r="H1852" s="12">
        <v>19279.7</v>
      </c>
      <c r="I1852" s="13">
        <v>16387.745000000003</v>
      </c>
      <c r="J1852" s="13">
        <f>Orders[[#This Row],[Quantity]]*Orders[[#This Row],[Selling Price]]</f>
        <v>77118.8</v>
      </c>
      <c r="K1852" s="13">
        <f>Orders[[#This Row],[Quantity]]*Orders[[#This Row],[Cost Price]]</f>
        <v>65550.98000000001</v>
      </c>
      <c r="L1852" s="13">
        <f>Orders[[#This Row],[Revenue]]-Orders[[#This Row],[Expenses]]</f>
        <v>11567.819999999992</v>
      </c>
      <c r="M1852" t="s">
        <v>2218</v>
      </c>
      <c r="N1852" t="str">
        <f>_xlfn.XLOOKUP(Orders[[#This Row],[CustomerID]],Customers[CustomerID],Customers[CustomerName])</f>
        <v>Emmanuel Victor</v>
      </c>
      <c r="O1852" t="str">
        <f>_xlfn.XLOOKUP(Orders[[#This Row],[CustomerID]],Customers[CustomerID],Customers[City])</f>
        <v>Washington</v>
      </c>
      <c r="P1852" t="str">
        <f>_xlfn.XLOOKUP(Orders[[#This Row],[CustomerID]],Customers[CustomerID],Customers[Gender])</f>
        <v>Male</v>
      </c>
      <c r="Q1852">
        <f>_xlfn.XLOOKUP(Orders[[#This Row],[CustomerID]],Customers[CustomerID],Customers[CustomerAge])</f>
        <v>35</v>
      </c>
      <c r="R1852" t="str">
        <f>IF(Orders[[#This Row],[CustomerAge]]&gt;=35, "Older", "Young")</f>
        <v>Older</v>
      </c>
      <c r="S1852" t="str">
        <f>_xlfn.XLOOKUP(Orders[[#This Row],[ProductID]],Products[ProductID],Products[ProductName])</f>
        <v>Chest Expander</v>
      </c>
      <c r="T1852" t="str">
        <f>_xlfn.XLOOKUP(Orders[[#This Row],[ProductID]],Products[ProductID],Products[Category])</f>
        <v>Gym</v>
      </c>
    </row>
    <row r="1853" spans="1:20" x14ac:dyDescent="0.25">
      <c r="A1853" s="4" t="s">
        <v>2042</v>
      </c>
      <c r="B1853" s="5">
        <v>46014</v>
      </c>
      <c r="C1853" s="15">
        <f>WEEKNUM(Orders[[#This Row],[OrderDate]])</f>
        <v>52</v>
      </c>
      <c r="D1853" s="15" t="str">
        <f>TEXT(Orders[[#This Row],[OrderDate]],"mmmm")</f>
        <v>December</v>
      </c>
      <c r="E1853" s="4" t="s">
        <v>244</v>
      </c>
      <c r="F1853" s="4" t="s">
        <v>15</v>
      </c>
      <c r="G1853" s="4">
        <v>5</v>
      </c>
      <c r="H1853" s="12">
        <v>15935.599999999999</v>
      </c>
      <c r="I1853" s="13">
        <v>13545.259999999998</v>
      </c>
      <c r="J1853" s="13">
        <f>Orders[[#This Row],[Quantity]]*Orders[[#This Row],[Selling Price]]</f>
        <v>79678</v>
      </c>
      <c r="K1853" s="13">
        <f>Orders[[#This Row],[Quantity]]*Orders[[#This Row],[Cost Price]]</f>
        <v>67726.299999999988</v>
      </c>
      <c r="L1853" s="13">
        <f>Orders[[#This Row],[Revenue]]-Orders[[#This Row],[Expenses]]</f>
        <v>11951.700000000012</v>
      </c>
      <c r="M1853" t="s">
        <v>2193</v>
      </c>
      <c r="N1853" t="str">
        <f>_xlfn.XLOOKUP(Orders[[#This Row],[CustomerID]],Customers[CustomerID],Customers[CustomerName])</f>
        <v>Zainab Abubakar</v>
      </c>
      <c r="O1853" t="str">
        <f>_xlfn.XLOOKUP(Orders[[#This Row],[CustomerID]],Customers[CustomerID],Customers[City])</f>
        <v>Texas</v>
      </c>
      <c r="P1853" t="str">
        <f>_xlfn.XLOOKUP(Orders[[#This Row],[CustomerID]],Customers[CustomerID],Customers[Gender])</f>
        <v>Female</v>
      </c>
      <c r="Q1853">
        <f>_xlfn.XLOOKUP(Orders[[#This Row],[CustomerID]],Customers[CustomerID],Customers[CustomerAge])</f>
        <v>33</v>
      </c>
      <c r="R1853" t="str">
        <f>IF(Orders[[#This Row],[CustomerAge]]&gt;=35, "Older", "Young")</f>
        <v>Young</v>
      </c>
      <c r="S1853" t="str">
        <f>_xlfn.XLOOKUP(Orders[[#This Row],[ProductID]],Products[ProductID],Products[ProductName])</f>
        <v>Monopoly</v>
      </c>
      <c r="T1853" t="str">
        <f>_xlfn.XLOOKUP(Orders[[#This Row],[ProductID]],Products[ProductID],Products[Category])</f>
        <v>Games</v>
      </c>
    </row>
    <row r="1854" spans="1:20" x14ac:dyDescent="0.25">
      <c r="A1854" s="4" t="s">
        <v>2043</v>
      </c>
      <c r="B1854" s="5">
        <v>45939</v>
      </c>
      <c r="C1854" s="15">
        <f>WEEKNUM(Orders[[#This Row],[OrderDate]])</f>
        <v>41</v>
      </c>
      <c r="D1854" s="15" t="str">
        <f>TEXT(Orders[[#This Row],[OrderDate]],"mmmm")</f>
        <v>October</v>
      </c>
      <c r="E1854" s="4" t="s">
        <v>134</v>
      </c>
      <c r="F1854" s="4" t="s">
        <v>63</v>
      </c>
      <c r="G1854" s="4">
        <v>4</v>
      </c>
      <c r="H1854" s="12">
        <v>12514.5</v>
      </c>
      <c r="I1854" s="13">
        <v>10637.325000000001</v>
      </c>
      <c r="J1854" s="13">
        <f>Orders[[#This Row],[Quantity]]*Orders[[#This Row],[Selling Price]]</f>
        <v>50058</v>
      </c>
      <c r="K1854" s="13">
        <f>Orders[[#This Row],[Quantity]]*Orders[[#This Row],[Cost Price]]</f>
        <v>42549.3</v>
      </c>
      <c r="L1854" s="13">
        <f>Orders[[#This Row],[Revenue]]-Orders[[#This Row],[Expenses]]</f>
        <v>7508.6999999999971</v>
      </c>
      <c r="M1854" t="s">
        <v>2210</v>
      </c>
      <c r="N1854" t="str">
        <f>_xlfn.XLOOKUP(Orders[[#This Row],[CustomerID]],Customers[CustomerID],Customers[CustomerName])</f>
        <v>Ngozi Ojo</v>
      </c>
      <c r="O1854" t="str">
        <f>_xlfn.XLOOKUP(Orders[[#This Row],[CustomerID]],Customers[CustomerID],Customers[City])</f>
        <v>Florida</v>
      </c>
      <c r="P1854" t="str">
        <f>_xlfn.XLOOKUP(Orders[[#This Row],[CustomerID]],Customers[CustomerID],Customers[Gender])</f>
        <v>Female</v>
      </c>
      <c r="Q1854">
        <f>_xlfn.XLOOKUP(Orders[[#This Row],[CustomerID]],Customers[CustomerID],Customers[CustomerAge])</f>
        <v>18</v>
      </c>
      <c r="R1854" t="str">
        <f>IF(Orders[[#This Row],[CustomerAge]]&gt;=35, "Older", "Young")</f>
        <v>Young</v>
      </c>
      <c r="S1854" t="str">
        <f>_xlfn.XLOOKUP(Orders[[#This Row],[ProductID]],Products[ProductID],Products[ProductName])</f>
        <v>Tennis Bat</v>
      </c>
      <c r="T1854" t="str">
        <f>_xlfn.XLOOKUP(Orders[[#This Row],[ProductID]],Products[ProductID],Products[Category])</f>
        <v>Sports</v>
      </c>
    </row>
    <row r="1855" spans="1:20" x14ac:dyDescent="0.25">
      <c r="A1855" s="4" t="s">
        <v>2044</v>
      </c>
      <c r="B1855" s="5">
        <v>45971</v>
      </c>
      <c r="C1855" s="15">
        <f>WEEKNUM(Orders[[#This Row],[OrderDate]])</f>
        <v>46</v>
      </c>
      <c r="D1855" s="15" t="str">
        <f>TEXT(Orders[[#This Row],[OrderDate]],"mmmm")</f>
        <v>November</v>
      </c>
      <c r="E1855" s="4" t="s">
        <v>136</v>
      </c>
      <c r="F1855" s="4" t="s">
        <v>63</v>
      </c>
      <c r="G1855" s="4">
        <v>1</v>
      </c>
      <c r="H1855" s="12">
        <v>9855.1</v>
      </c>
      <c r="I1855" s="13">
        <v>8376.8350000000009</v>
      </c>
      <c r="J1855" s="13">
        <f>Orders[[#This Row],[Quantity]]*Orders[[#This Row],[Selling Price]]</f>
        <v>9855.1</v>
      </c>
      <c r="K1855" s="13">
        <f>Orders[[#This Row],[Quantity]]*Orders[[#This Row],[Cost Price]]</f>
        <v>8376.8350000000009</v>
      </c>
      <c r="L1855" s="13">
        <f>Orders[[#This Row],[Revenue]]-Orders[[#This Row],[Expenses]]</f>
        <v>1478.2649999999994</v>
      </c>
      <c r="M1855" t="s">
        <v>2215</v>
      </c>
      <c r="N1855" t="str">
        <f>_xlfn.XLOOKUP(Orders[[#This Row],[CustomerID]],Customers[CustomerID],Customers[CustomerName])</f>
        <v>Chinedu Obi</v>
      </c>
      <c r="O1855" t="str">
        <f>_xlfn.XLOOKUP(Orders[[#This Row],[CustomerID]],Customers[CustomerID],Customers[City])</f>
        <v>California</v>
      </c>
      <c r="P1855" t="str">
        <f>_xlfn.XLOOKUP(Orders[[#This Row],[CustomerID]],Customers[CustomerID],Customers[Gender])</f>
        <v>Male</v>
      </c>
      <c r="Q1855">
        <f>_xlfn.XLOOKUP(Orders[[#This Row],[CustomerID]],Customers[CustomerID],Customers[CustomerAge])</f>
        <v>27</v>
      </c>
      <c r="R1855" t="str">
        <f>IF(Orders[[#This Row],[CustomerAge]]&gt;=35, "Older", "Young")</f>
        <v>Young</v>
      </c>
      <c r="S1855" t="str">
        <f>_xlfn.XLOOKUP(Orders[[#This Row],[ProductID]],Products[ProductID],Products[ProductName])</f>
        <v>Tennis Bat</v>
      </c>
      <c r="T1855" t="str">
        <f>_xlfn.XLOOKUP(Orders[[#This Row],[ProductID]],Products[ProductID],Products[Category])</f>
        <v>Sports</v>
      </c>
    </row>
    <row r="1856" spans="1:20" x14ac:dyDescent="0.25">
      <c r="A1856" s="4" t="s">
        <v>2045</v>
      </c>
      <c r="B1856" s="5">
        <v>45983</v>
      </c>
      <c r="C1856" s="15">
        <f>WEEKNUM(Orders[[#This Row],[OrderDate]])</f>
        <v>47</v>
      </c>
      <c r="D1856" s="15" t="str">
        <f>TEXT(Orders[[#This Row],[OrderDate]],"mmmm")</f>
        <v>November</v>
      </c>
      <c r="E1856" s="4" t="s">
        <v>73</v>
      </c>
      <c r="F1856" s="4" t="s">
        <v>12</v>
      </c>
      <c r="G1856" s="4">
        <v>9</v>
      </c>
      <c r="H1856" s="12">
        <v>14449.400000000001</v>
      </c>
      <c r="I1856" s="13">
        <v>12281.990000000002</v>
      </c>
      <c r="J1856" s="13">
        <f>Orders[[#This Row],[Quantity]]*Orders[[#This Row],[Selling Price]]</f>
        <v>130044.6</v>
      </c>
      <c r="K1856" s="13">
        <f>Orders[[#This Row],[Quantity]]*Orders[[#This Row],[Cost Price]]</f>
        <v>110537.91000000002</v>
      </c>
      <c r="L1856" s="13">
        <f>Orders[[#This Row],[Revenue]]-Orders[[#This Row],[Expenses]]</f>
        <v>19506.689999999988</v>
      </c>
      <c r="M1856" t="s">
        <v>2202</v>
      </c>
      <c r="N1856" t="str">
        <f>_xlfn.XLOOKUP(Orders[[#This Row],[CustomerID]],Customers[CustomerID],Customers[CustomerName])</f>
        <v>Ronke Okonkwo</v>
      </c>
      <c r="O1856" t="str">
        <f>_xlfn.XLOOKUP(Orders[[#This Row],[CustomerID]],Customers[CustomerID],Customers[City])</f>
        <v>California</v>
      </c>
      <c r="P1856" t="str">
        <f>_xlfn.XLOOKUP(Orders[[#This Row],[CustomerID]],Customers[CustomerID],Customers[Gender])</f>
        <v>Female</v>
      </c>
      <c r="Q1856">
        <f>_xlfn.XLOOKUP(Orders[[#This Row],[CustomerID]],Customers[CustomerID],Customers[CustomerAge])</f>
        <v>20</v>
      </c>
      <c r="R1856" t="str">
        <f>IF(Orders[[#This Row],[CustomerAge]]&gt;=35, "Older", "Young")</f>
        <v>Young</v>
      </c>
      <c r="S1856" t="str">
        <f>_xlfn.XLOOKUP(Orders[[#This Row],[ProductID]],Products[ProductID],Products[ProductName])</f>
        <v>Boubou</v>
      </c>
      <c r="T1856" t="str">
        <f>_xlfn.XLOOKUP(Orders[[#This Row],[ProductID]],Products[ProductID],Products[Category])</f>
        <v>Clothing</v>
      </c>
    </row>
    <row r="1857" spans="1:20" x14ac:dyDescent="0.25">
      <c r="A1857" s="4" t="s">
        <v>2046</v>
      </c>
      <c r="B1857" s="5">
        <v>45938</v>
      </c>
      <c r="C1857" s="15">
        <f>WEEKNUM(Orders[[#This Row],[OrderDate]])</f>
        <v>41</v>
      </c>
      <c r="D1857" s="15" t="str">
        <f>TEXT(Orders[[#This Row],[OrderDate]],"mmmm")</f>
        <v>October</v>
      </c>
      <c r="E1857" s="4" t="s">
        <v>129</v>
      </c>
      <c r="F1857" s="4" t="s">
        <v>28</v>
      </c>
      <c r="G1857" s="4">
        <v>2</v>
      </c>
      <c r="H1857" s="12">
        <v>1394.7</v>
      </c>
      <c r="I1857" s="13">
        <v>1185.4950000000001</v>
      </c>
      <c r="J1857" s="13">
        <f>Orders[[#This Row],[Quantity]]*Orders[[#This Row],[Selling Price]]</f>
        <v>2789.4</v>
      </c>
      <c r="K1857" s="13">
        <f>Orders[[#This Row],[Quantity]]*Orders[[#This Row],[Cost Price]]</f>
        <v>2370.9900000000002</v>
      </c>
      <c r="L1857" s="13">
        <f>Orders[[#This Row],[Revenue]]-Orders[[#This Row],[Expenses]]</f>
        <v>418.40999999999985</v>
      </c>
      <c r="M1857" t="s">
        <v>2195</v>
      </c>
      <c r="N1857" t="str">
        <f>_xlfn.XLOOKUP(Orders[[#This Row],[CustomerID]],Customers[CustomerID],Customers[CustomerName])</f>
        <v>Chioma Ojo</v>
      </c>
      <c r="O1857" t="str">
        <f>_xlfn.XLOOKUP(Orders[[#This Row],[CustomerID]],Customers[CustomerID],Customers[City])</f>
        <v>Washington</v>
      </c>
      <c r="P1857" t="str">
        <f>_xlfn.XLOOKUP(Orders[[#This Row],[CustomerID]],Customers[CustomerID],Customers[Gender])</f>
        <v>Female</v>
      </c>
      <c r="Q1857">
        <f>_xlfn.XLOOKUP(Orders[[#This Row],[CustomerID]],Customers[CustomerID],Customers[CustomerAge])</f>
        <v>46</v>
      </c>
      <c r="R1857" t="str">
        <f>IF(Orders[[#This Row],[CustomerAge]]&gt;=35, "Older", "Young")</f>
        <v>Older</v>
      </c>
      <c r="S1857" t="str">
        <f>_xlfn.XLOOKUP(Orders[[#This Row],[ProductID]],Products[ProductID],Products[ProductName])</f>
        <v>Sneakers</v>
      </c>
      <c r="T1857" t="str">
        <f>_xlfn.XLOOKUP(Orders[[#This Row],[ProductID]],Products[ProductID],Products[Category])</f>
        <v>Sports</v>
      </c>
    </row>
    <row r="1858" spans="1:20" x14ac:dyDescent="0.25">
      <c r="A1858" s="4" t="s">
        <v>2047</v>
      </c>
      <c r="B1858" s="5">
        <v>46001</v>
      </c>
      <c r="C1858" s="15">
        <f>WEEKNUM(Orders[[#This Row],[OrderDate]])</f>
        <v>50</v>
      </c>
      <c r="D1858" s="15" t="str">
        <f>TEXT(Orders[[#This Row],[OrderDate]],"mmmm")</f>
        <v>December</v>
      </c>
      <c r="E1858" s="4" t="s">
        <v>309</v>
      </c>
      <c r="F1858" s="4" t="s">
        <v>130</v>
      </c>
      <c r="G1858" s="4">
        <v>8</v>
      </c>
      <c r="H1858" s="12">
        <v>17642.400000000001</v>
      </c>
      <c r="I1858" s="13">
        <v>14996.04</v>
      </c>
      <c r="J1858" s="13">
        <f>Orders[[#This Row],[Quantity]]*Orders[[#This Row],[Selling Price]]</f>
        <v>141139.20000000001</v>
      </c>
      <c r="K1858" s="13">
        <f>Orders[[#This Row],[Quantity]]*Orders[[#This Row],[Cost Price]]</f>
        <v>119968.32000000001</v>
      </c>
      <c r="L1858" s="13">
        <f>Orders[[#This Row],[Revenue]]-Orders[[#This Row],[Expenses]]</f>
        <v>21170.880000000005</v>
      </c>
      <c r="M1858" t="s">
        <v>2202</v>
      </c>
      <c r="N1858" t="str">
        <f>_xlfn.XLOOKUP(Orders[[#This Row],[CustomerID]],Customers[CustomerID],Customers[CustomerName])</f>
        <v>Temi Ojo</v>
      </c>
      <c r="O1858" t="str">
        <f>_xlfn.XLOOKUP(Orders[[#This Row],[CustomerID]],Customers[CustomerID],Customers[City])</f>
        <v>Washington</v>
      </c>
      <c r="P1858" t="str">
        <f>_xlfn.XLOOKUP(Orders[[#This Row],[CustomerID]],Customers[CustomerID],Customers[Gender])</f>
        <v>Female</v>
      </c>
      <c r="Q1858">
        <f>_xlfn.XLOOKUP(Orders[[#This Row],[CustomerID]],Customers[CustomerID],Customers[CustomerAge])</f>
        <v>36</v>
      </c>
      <c r="R1858" t="str">
        <f>IF(Orders[[#This Row],[CustomerAge]]&gt;=35, "Older", "Young")</f>
        <v>Older</v>
      </c>
      <c r="S1858" t="str">
        <f>_xlfn.XLOOKUP(Orders[[#This Row],[ProductID]],Products[ProductID],Products[ProductName])</f>
        <v>Gold Earrings And Necklaces</v>
      </c>
      <c r="T1858" t="str">
        <f>_xlfn.XLOOKUP(Orders[[#This Row],[ProductID]],Products[ProductID],Products[Category])</f>
        <v>Accessories</v>
      </c>
    </row>
    <row r="1859" spans="1:20" x14ac:dyDescent="0.25">
      <c r="A1859" s="4" t="s">
        <v>2048</v>
      </c>
      <c r="B1859" s="5">
        <v>45945</v>
      </c>
      <c r="C1859" s="15">
        <f>WEEKNUM(Orders[[#This Row],[OrderDate]])</f>
        <v>42</v>
      </c>
      <c r="D1859" s="15" t="str">
        <f>TEXT(Orders[[#This Row],[OrderDate]],"mmmm")</f>
        <v>October</v>
      </c>
      <c r="E1859" s="4" t="s">
        <v>374</v>
      </c>
      <c r="F1859" s="4" t="s">
        <v>28</v>
      </c>
      <c r="G1859" s="4">
        <v>6</v>
      </c>
      <c r="H1859" s="12">
        <v>16924.900000000001</v>
      </c>
      <c r="I1859" s="13">
        <v>14386.165000000001</v>
      </c>
      <c r="J1859" s="13">
        <f>Orders[[#This Row],[Quantity]]*Orders[[#This Row],[Selling Price]]</f>
        <v>101549.40000000001</v>
      </c>
      <c r="K1859" s="13">
        <f>Orders[[#This Row],[Quantity]]*Orders[[#This Row],[Cost Price]]</f>
        <v>86316.99</v>
      </c>
      <c r="L1859" s="13">
        <f>Orders[[#This Row],[Revenue]]-Orders[[#This Row],[Expenses]]</f>
        <v>15232.410000000003</v>
      </c>
      <c r="M1859" t="s">
        <v>2206</v>
      </c>
      <c r="N1859" t="str">
        <f>_xlfn.XLOOKUP(Orders[[#This Row],[CustomerID]],Customers[CustomerID],Customers[CustomerName])</f>
        <v>Uche Okonkwo</v>
      </c>
      <c r="O1859" t="str">
        <f>_xlfn.XLOOKUP(Orders[[#This Row],[CustomerID]],Customers[CustomerID],Customers[City])</f>
        <v>Texas</v>
      </c>
      <c r="P1859" t="str">
        <f>_xlfn.XLOOKUP(Orders[[#This Row],[CustomerID]],Customers[CustomerID],Customers[Gender])</f>
        <v>Male</v>
      </c>
      <c r="Q1859">
        <f>_xlfn.XLOOKUP(Orders[[#This Row],[CustomerID]],Customers[CustomerID],Customers[CustomerAge])</f>
        <v>27</v>
      </c>
      <c r="R1859" t="str">
        <f>IF(Orders[[#This Row],[CustomerAge]]&gt;=35, "Older", "Young")</f>
        <v>Young</v>
      </c>
      <c r="S1859" t="str">
        <f>_xlfn.XLOOKUP(Orders[[#This Row],[ProductID]],Products[ProductID],Products[ProductName])</f>
        <v>Sneakers</v>
      </c>
      <c r="T1859" t="str">
        <f>_xlfn.XLOOKUP(Orders[[#This Row],[ProductID]],Products[ProductID],Products[Category])</f>
        <v>Sports</v>
      </c>
    </row>
    <row r="1860" spans="1:20" x14ac:dyDescent="0.25">
      <c r="A1860" s="4" t="s">
        <v>2049</v>
      </c>
      <c r="B1860" s="5">
        <v>45983</v>
      </c>
      <c r="C1860" s="15">
        <f>WEEKNUM(Orders[[#This Row],[OrderDate]])</f>
        <v>47</v>
      </c>
      <c r="D1860" s="15" t="str">
        <f>TEXT(Orders[[#This Row],[OrderDate]],"mmmm")</f>
        <v>November</v>
      </c>
      <c r="E1860" s="4" t="s">
        <v>203</v>
      </c>
      <c r="F1860" s="4" t="s">
        <v>70</v>
      </c>
      <c r="G1860" s="4">
        <v>9</v>
      </c>
      <c r="H1860" s="12">
        <v>1585.5</v>
      </c>
      <c r="I1860" s="13">
        <v>1347.675</v>
      </c>
      <c r="J1860" s="13">
        <f>Orders[[#This Row],[Quantity]]*Orders[[#This Row],[Selling Price]]</f>
        <v>14269.5</v>
      </c>
      <c r="K1860" s="13">
        <f>Orders[[#This Row],[Quantity]]*Orders[[#This Row],[Cost Price]]</f>
        <v>12129.074999999999</v>
      </c>
      <c r="L1860" s="13">
        <f>Orders[[#This Row],[Revenue]]-Orders[[#This Row],[Expenses]]</f>
        <v>2140.4250000000011</v>
      </c>
      <c r="M1860" t="s">
        <v>2199</v>
      </c>
      <c r="N1860" t="str">
        <f>_xlfn.XLOOKUP(Orders[[#This Row],[CustomerID]],Customers[CustomerID],Customers[CustomerName])</f>
        <v>Okon Bello</v>
      </c>
      <c r="O1860" t="str">
        <f>_xlfn.XLOOKUP(Orders[[#This Row],[CustomerID]],Customers[CustomerID],Customers[City])</f>
        <v>Texas</v>
      </c>
      <c r="P1860" t="str">
        <f>_xlfn.XLOOKUP(Orders[[#This Row],[CustomerID]],Customers[CustomerID],Customers[Gender])</f>
        <v>Male</v>
      </c>
      <c r="Q1860">
        <f>_xlfn.XLOOKUP(Orders[[#This Row],[CustomerID]],Customers[CustomerID],Customers[CustomerAge])</f>
        <v>20</v>
      </c>
      <c r="R1860" t="str">
        <f>IF(Orders[[#This Row],[CustomerAge]]&gt;=35, "Older", "Young")</f>
        <v>Young</v>
      </c>
      <c r="S1860" t="str">
        <f>_xlfn.XLOOKUP(Orders[[#This Row],[ProductID]],Products[ProductID],Products[ProductName])</f>
        <v>Yoga Mat</v>
      </c>
      <c r="T1860" t="str">
        <f>_xlfn.XLOOKUP(Orders[[#This Row],[ProductID]],Products[ProductID],Products[Category])</f>
        <v>Gym</v>
      </c>
    </row>
    <row r="1861" spans="1:20" x14ac:dyDescent="0.25">
      <c r="A1861" s="4" t="s">
        <v>2050</v>
      </c>
      <c r="B1861" s="5">
        <v>45979</v>
      </c>
      <c r="C1861" s="15">
        <f>WEEKNUM(Orders[[#This Row],[OrderDate]])</f>
        <v>47</v>
      </c>
      <c r="D1861" s="15" t="str">
        <f>TEXT(Orders[[#This Row],[OrderDate]],"mmmm")</f>
        <v>November</v>
      </c>
      <c r="E1861" s="4" t="s">
        <v>322</v>
      </c>
      <c r="F1861" s="4" t="s">
        <v>12</v>
      </c>
      <c r="G1861" s="4">
        <v>8</v>
      </c>
      <c r="H1861" s="12">
        <v>12379.300000000001</v>
      </c>
      <c r="I1861" s="13">
        <v>10522.405000000001</v>
      </c>
      <c r="J1861" s="13">
        <f>Orders[[#This Row],[Quantity]]*Orders[[#This Row],[Selling Price]]</f>
        <v>99034.400000000009</v>
      </c>
      <c r="K1861" s="13">
        <f>Orders[[#This Row],[Quantity]]*Orders[[#This Row],[Cost Price]]</f>
        <v>84179.24</v>
      </c>
      <c r="L1861" s="13">
        <f>Orders[[#This Row],[Revenue]]-Orders[[#This Row],[Expenses]]</f>
        <v>14855.160000000003</v>
      </c>
      <c r="M1861" t="s">
        <v>2197</v>
      </c>
      <c r="N1861" t="str">
        <f>_xlfn.XLOOKUP(Orders[[#This Row],[CustomerID]],Customers[CustomerID],Customers[CustomerName])</f>
        <v>Ngozi Bello</v>
      </c>
      <c r="O1861" t="str">
        <f>_xlfn.XLOOKUP(Orders[[#This Row],[CustomerID]],Customers[CustomerID],Customers[City])</f>
        <v>Washington</v>
      </c>
      <c r="P1861" t="str">
        <f>_xlfn.XLOOKUP(Orders[[#This Row],[CustomerID]],Customers[CustomerID],Customers[Gender])</f>
        <v>Female</v>
      </c>
      <c r="Q1861">
        <f>_xlfn.XLOOKUP(Orders[[#This Row],[CustomerID]],Customers[CustomerID],Customers[CustomerAge])</f>
        <v>32</v>
      </c>
      <c r="R1861" t="str">
        <f>IF(Orders[[#This Row],[CustomerAge]]&gt;=35, "Older", "Young")</f>
        <v>Young</v>
      </c>
      <c r="S1861" t="str">
        <f>_xlfn.XLOOKUP(Orders[[#This Row],[ProductID]],Products[ProductID],Products[ProductName])</f>
        <v>Boubou</v>
      </c>
      <c r="T1861" t="str">
        <f>_xlfn.XLOOKUP(Orders[[#This Row],[ProductID]],Products[ProductID],Products[Category])</f>
        <v>Clothing</v>
      </c>
    </row>
    <row r="1862" spans="1:20" x14ac:dyDescent="0.25">
      <c r="A1862" s="4" t="s">
        <v>2051</v>
      </c>
      <c r="B1862" s="5">
        <v>45964</v>
      </c>
      <c r="C1862" s="15">
        <f>WEEKNUM(Orders[[#This Row],[OrderDate]])</f>
        <v>45</v>
      </c>
      <c r="D1862" s="15" t="str">
        <f>TEXT(Orders[[#This Row],[OrderDate]],"mmmm")</f>
        <v>November</v>
      </c>
      <c r="E1862" s="4" t="s">
        <v>280</v>
      </c>
      <c r="F1862" s="4" t="s">
        <v>46</v>
      </c>
      <c r="G1862" s="4">
        <v>9</v>
      </c>
      <c r="H1862" s="12">
        <v>12789.1</v>
      </c>
      <c r="I1862" s="13">
        <v>10870.735000000001</v>
      </c>
      <c r="J1862" s="13">
        <f>Orders[[#This Row],[Quantity]]*Orders[[#This Row],[Selling Price]]</f>
        <v>115101.90000000001</v>
      </c>
      <c r="K1862" s="13">
        <f>Orders[[#This Row],[Quantity]]*Orders[[#This Row],[Cost Price]]</f>
        <v>97836.615000000005</v>
      </c>
      <c r="L1862" s="13">
        <f>Orders[[#This Row],[Revenue]]-Orders[[#This Row],[Expenses]]</f>
        <v>17265.285000000003</v>
      </c>
      <c r="M1862" t="s">
        <v>2217</v>
      </c>
      <c r="N1862" t="str">
        <f>_xlfn.XLOOKUP(Orders[[#This Row],[CustomerID]],Customers[CustomerID],Customers[CustomerName])</f>
        <v>Folasade Okonkwo</v>
      </c>
      <c r="O1862" t="str">
        <f>_xlfn.XLOOKUP(Orders[[#This Row],[CustomerID]],Customers[CustomerID],Customers[City])</f>
        <v>Texas</v>
      </c>
      <c r="P1862" t="str">
        <f>_xlfn.XLOOKUP(Orders[[#This Row],[CustomerID]],Customers[CustomerID],Customers[Gender])</f>
        <v>Female</v>
      </c>
      <c r="Q1862">
        <f>_xlfn.XLOOKUP(Orders[[#This Row],[CustomerID]],Customers[CustomerID],Customers[CustomerAge])</f>
        <v>21</v>
      </c>
      <c r="R1862" t="str">
        <f>IF(Orders[[#This Row],[CustomerAge]]&gt;=35, "Older", "Young")</f>
        <v>Young</v>
      </c>
      <c r="S1862" t="str">
        <f>_xlfn.XLOOKUP(Orders[[#This Row],[ProductID]],Products[ProductID],Products[ProductName])</f>
        <v>Turtle Neck</v>
      </c>
      <c r="T1862" t="str">
        <f>_xlfn.XLOOKUP(Orders[[#This Row],[ProductID]],Products[ProductID],Products[Category])</f>
        <v>Clothing</v>
      </c>
    </row>
    <row r="1863" spans="1:20" x14ac:dyDescent="0.25">
      <c r="A1863" s="4" t="s">
        <v>2052</v>
      </c>
      <c r="B1863" s="5">
        <v>46006</v>
      </c>
      <c r="C1863" s="15">
        <f>WEEKNUM(Orders[[#This Row],[OrderDate]])</f>
        <v>51</v>
      </c>
      <c r="D1863" s="15" t="str">
        <f>TEXT(Orders[[#This Row],[OrderDate]],"mmmm")</f>
        <v>December</v>
      </c>
      <c r="E1863" s="4" t="s">
        <v>98</v>
      </c>
      <c r="F1863" s="4" t="s">
        <v>66</v>
      </c>
      <c r="G1863" s="4">
        <v>3</v>
      </c>
      <c r="H1863" s="12">
        <v>3562.9</v>
      </c>
      <c r="I1863" s="13">
        <v>3028.4650000000001</v>
      </c>
      <c r="J1863" s="13">
        <f>Orders[[#This Row],[Quantity]]*Orders[[#This Row],[Selling Price]]</f>
        <v>10688.7</v>
      </c>
      <c r="K1863" s="13">
        <f>Orders[[#This Row],[Quantity]]*Orders[[#This Row],[Cost Price]]</f>
        <v>9085.3950000000004</v>
      </c>
      <c r="L1863" s="13">
        <f>Orders[[#This Row],[Revenue]]-Orders[[#This Row],[Expenses]]</f>
        <v>1603.3050000000003</v>
      </c>
      <c r="M1863" t="s">
        <v>2201</v>
      </c>
      <c r="N1863" t="str">
        <f>_xlfn.XLOOKUP(Orders[[#This Row],[CustomerID]],Customers[CustomerID],Customers[CustomerName])</f>
        <v>Chioma Adeyemi</v>
      </c>
      <c r="O1863" t="str">
        <f>_xlfn.XLOOKUP(Orders[[#This Row],[CustomerID]],Customers[CustomerID],Customers[City])</f>
        <v>Illinois</v>
      </c>
      <c r="P1863" t="str">
        <f>_xlfn.XLOOKUP(Orders[[#This Row],[CustomerID]],Customers[CustomerID],Customers[Gender])</f>
        <v>Female</v>
      </c>
      <c r="Q1863">
        <f>_xlfn.XLOOKUP(Orders[[#This Row],[CustomerID]],Customers[CustomerID],Customers[CustomerAge])</f>
        <v>23</v>
      </c>
      <c r="R1863" t="str">
        <f>IF(Orders[[#This Row],[CustomerAge]]&gt;=35, "Older", "Young")</f>
        <v>Young</v>
      </c>
      <c r="S1863" t="str">
        <f>_xlfn.XLOOKUP(Orders[[#This Row],[ProductID]],Products[ProductID],Products[ProductName])</f>
        <v>Microwave</v>
      </c>
      <c r="T1863" t="str">
        <f>_xlfn.XLOOKUP(Orders[[#This Row],[ProductID]],Products[ProductID],Products[Category])</f>
        <v>Electronics</v>
      </c>
    </row>
    <row r="1864" spans="1:20" x14ac:dyDescent="0.25">
      <c r="A1864" s="4" t="s">
        <v>2053</v>
      </c>
      <c r="B1864" s="5">
        <v>45966</v>
      </c>
      <c r="C1864" s="15">
        <f>WEEKNUM(Orders[[#This Row],[OrderDate]])</f>
        <v>45</v>
      </c>
      <c r="D1864" s="15" t="str">
        <f>TEXT(Orders[[#This Row],[OrderDate]],"mmmm")</f>
        <v>November</v>
      </c>
      <c r="E1864" s="4" t="s">
        <v>91</v>
      </c>
      <c r="F1864" s="4" t="s">
        <v>81</v>
      </c>
      <c r="G1864" s="4">
        <v>4</v>
      </c>
      <c r="H1864" s="12">
        <v>19309.3</v>
      </c>
      <c r="I1864" s="13">
        <v>16412.904999999999</v>
      </c>
      <c r="J1864" s="13">
        <f>Orders[[#This Row],[Quantity]]*Orders[[#This Row],[Selling Price]]</f>
        <v>77237.2</v>
      </c>
      <c r="K1864" s="13">
        <f>Orders[[#This Row],[Quantity]]*Orders[[#This Row],[Cost Price]]</f>
        <v>65651.62</v>
      </c>
      <c r="L1864" s="13">
        <f>Orders[[#This Row],[Revenue]]-Orders[[#This Row],[Expenses]]</f>
        <v>11585.580000000002</v>
      </c>
      <c r="M1864" t="s">
        <v>2195</v>
      </c>
      <c r="N1864" t="str">
        <f>_xlfn.XLOOKUP(Orders[[#This Row],[CustomerID]],Customers[CustomerID],Customers[CustomerName])</f>
        <v>Uche Abubakar</v>
      </c>
      <c r="O1864" t="str">
        <f>_xlfn.XLOOKUP(Orders[[#This Row],[CustomerID]],Customers[CustomerID],Customers[City])</f>
        <v>Florida</v>
      </c>
      <c r="P1864" t="str">
        <f>_xlfn.XLOOKUP(Orders[[#This Row],[CustomerID]],Customers[CustomerID],Customers[Gender])</f>
        <v>Male</v>
      </c>
      <c r="Q1864">
        <f>_xlfn.XLOOKUP(Orders[[#This Row],[CustomerID]],Customers[CustomerID],Customers[CustomerAge])</f>
        <v>28</v>
      </c>
      <c r="R1864" t="str">
        <f>IF(Orders[[#This Row],[CustomerAge]]&gt;=35, "Older", "Young")</f>
        <v>Young</v>
      </c>
      <c r="S1864" t="str">
        <f>_xlfn.XLOOKUP(Orders[[#This Row],[ProductID]],Products[ProductID],Products[ProductName])</f>
        <v>Trousers</v>
      </c>
      <c r="T1864" t="str">
        <f>_xlfn.XLOOKUP(Orders[[#This Row],[ProductID]],Products[ProductID],Products[Category])</f>
        <v>Clothing</v>
      </c>
    </row>
    <row r="1865" spans="1:20" x14ac:dyDescent="0.25">
      <c r="A1865" s="4" t="s">
        <v>2054</v>
      </c>
      <c r="B1865" s="5">
        <v>46021</v>
      </c>
      <c r="C1865" s="15">
        <f>WEEKNUM(Orders[[#This Row],[OrderDate]])</f>
        <v>53</v>
      </c>
      <c r="D1865" s="15" t="str">
        <f>TEXT(Orders[[#This Row],[OrderDate]],"mmmm")</f>
        <v>December</v>
      </c>
      <c r="E1865" s="4" t="s">
        <v>212</v>
      </c>
      <c r="F1865" s="4" t="s">
        <v>66</v>
      </c>
      <c r="G1865" s="4">
        <v>9</v>
      </c>
      <c r="H1865" s="12">
        <v>2328.8000000000002</v>
      </c>
      <c r="I1865" s="13">
        <v>1979.4800000000002</v>
      </c>
      <c r="J1865" s="13">
        <f>Orders[[#This Row],[Quantity]]*Orders[[#This Row],[Selling Price]]</f>
        <v>20959.2</v>
      </c>
      <c r="K1865" s="13">
        <f>Orders[[#This Row],[Quantity]]*Orders[[#This Row],[Cost Price]]</f>
        <v>17815.320000000003</v>
      </c>
      <c r="L1865" s="13">
        <f>Orders[[#This Row],[Revenue]]-Orders[[#This Row],[Expenses]]</f>
        <v>3143.8799999999974</v>
      </c>
      <c r="M1865" t="s">
        <v>2210</v>
      </c>
      <c r="N1865" t="str">
        <f>_xlfn.XLOOKUP(Orders[[#This Row],[CustomerID]],Customers[CustomerID],Customers[CustomerName])</f>
        <v>Ngozi Ojo</v>
      </c>
      <c r="O1865" t="str">
        <f>_xlfn.XLOOKUP(Orders[[#This Row],[CustomerID]],Customers[CustomerID],Customers[City])</f>
        <v>Illinois</v>
      </c>
      <c r="P1865" t="str">
        <f>_xlfn.XLOOKUP(Orders[[#This Row],[CustomerID]],Customers[CustomerID],Customers[Gender])</f>
        <v>Female</v>
      </c>
      <c r="Q1865">
        <f>_xlfn.XLOOKUP(Orders[[#This Row],[CustomerID]],Customers[CustomerID],Customers[CustomerAge])</f>
        <v>53</v>
      </c>
      <c r="R1865" t="str">
        <f>IF(Orders[[#This Row],[CustomerAge]]&gt;=35, "Older", "Young")</f>
        <v>Older</v>
      </c>
      <c r="S1865" t="str">
        <f>_xlfn.XLOOKUP(Orders[[#This Row],[ProductID]],Products[ProductID],Products[ProductName])</f>
        <v>Microwave</v>
      </c>
      <c r="T1865" t="str">
        <f>_xlfn.XLOOKUP(Orders[[#This Row],[ProductID]],Products[ProductID],Products[Category])</f>
        <v>Electronics</v>
      </c>
    </row>
    <row r="1866" spans="1:20" x14ac:dyDescent="0.25">
      <c r="A1866" s="4" t="s">
        <v>2055</v>
      </c>
      <c r="B1866" s="5">
        <v>45987</v>
      </c>
      <c r="C1866" s="15">
        <f>WEEKNUM(Orders[[#This Row],[OrderDate]])</f>
        <v>48</v>
      </c>
      <c r="D1866" s="15" t="str">
        <f>TEXT(Orders[[#This Row],[OrderDate]],"mmmm")</f>
        <v>November</v>
      </c>
      <c r="E1866" s="4" t="s">
        <v>285</v>
      </c>
      <c r="F1866" s="4" t="s">
        <v>25</v>
      </c>
      <c r="G1866" s="4">
        <v>2</v>
      </c>
      <c r="H1866" s="12">
        <v>9725.5</v>
      </c>
      <c r="I1866" s="13">
        <v>8266.6749999999993</v>
      </c>
      <c r="J1866" s="13">
        <f>Orders[[#This Row],[Quantity]]*Orders[[#This Row],[Selling Price]]</f>
        <v>19451</v>
      </c>
      <c r="K1866" s="13">
        <f>Orders[[#This Row],[Quantity]]*Orders[[#This Row],[Cost Price]]</f>
        <v>16533.349999999999</v>
      </c>
      <c r="L1866" s="13">
        <f>Orders[[#This Row],[Revenue]]-Orders[[#This Row],[Expenses]]</f>
        <v>2917.6500000000015</v>
      </c>
      <c r="M1866" t="s">
        <v>2216</v>
      </c>
      <c r="N1866" t="str">
        <f>_xlfn.XLOOKUP(Orders[[#This Row],[CustomerID]],Customers[CustomerID],Customers[CustomerName])</f>
        <v>Sani Balogun</v>
      </c>
      <c r="O1866" t="str">
        <f>_xlfn.XLOOKUP(Orders[[#This Row],[CustomerID]],Customers[CustomerID],Customers[City])</f>
        <v>California</v>
      </c>
      <c r="P1866" t="str">
        <f>_xlfn.XLOOKUP(Orders[[#This Row],[CustomerID]],Customers[CustomerID],Customers[Gender])</f>
        <v>Male</v>
      </c>
      <c r="Q1866">
        <f>_xlfn.XLOOKUP(Orders[[#This Row],[CustomerID]],Customers[CustomerID],Customers[CustomerAge])</f>
        <v>27</v>
      </c>
      <c r="R1866" t="str">
        <f>IF(Orders[[#This Row],[CustomerAge]]&gt;=35, "Older", "Young")</f>
        <v>Young</v>
      </c>
      <c r="S1866" t="str">
        <f>_xlfn.XLOOKUP(Orders[[#This Row],[ProductID]],Products[ProductID],Products[ProductName])</f>
        <v>Gold Rings</v>
      </c>
      <c r="T1866" t="str">
        <f>_xlfn.XLOOKUP(Orders[[#This Row],[ProductID]],Products[ProductID],Products[Category])</f>
        <v>Accessories</v>
      </c>
    </row>
    <row r="1867" spans="1:20" x14ac:dyDescent="0.25">
      <c r="A1867" s="4" t="s">
        <v>2056</v>
      </c>
      <c r="B1867" s="5">
        <v>45990</v>
      </c>
      <c r="C1867" s="15">
        <f>WEEKNUM(Orders[[#This Row],[OrderDate]])</f>
        <v>48</v>
      </c>
      <c r="D1867" s="15" t="str">
        <f>TEXT(Orders[[#This Row],[OrderDate]],"mmmm")</f>
        <v>November</v>
      </c>
      <c r="E1867" s="4" t="s">
        <v>317</v>
      </c>
      <c r="F1867" s="4" t="s">
        <v>253</v>
      </c>
      <c r="G1867" s="4">
        <v>7</v>
      </c>
      <c r="H1867" s="12">
        <v>14132.8</v>
      </c>
      <c r="I1867" s="13">
        <v>12012.88</v>
      </c>
      <c r="J1867" s="13">
        <f>Orders[[#This Row],[Quantity]]*Orders[[#This Row],[Selling Price]]</f>
        <v>98929.599999999991</v>
      </c>
      <c r="K1867" s="13">
        <f>Orders[[#This Row],[Quantity]]*Orders[[#This Row],[Cost Price]]</f>
        <v>84090.159999999989</v>
      </c>
      <c r="L1867" s="13">
        <f>Orders[[#This Row],[Revenue]]-Orders[[#This Row],[Expenses]]</f>
        <v>14839.440000000002</v>
      </c>
      <c r="M1867" t="s">
        <v>2216</v>
      </c>
      <c r="N1867" t="str">
        <f>_xlfn.XLOOKUP(Orders[[#This Row],[CustomerID]],Customers[CustomerID],Customers[CustomerName])</f>
        <v>Folasade Danladi</v>
      </c>
      <c r="O1867" t="str">
        <f>_xlfn.XLOOKUP(Orders[[#This Row],[CustomerID]],Customers[CustomerID],Customers[City])</f>
        <v>Texas</v>
      </c>
      <c r="P1867" t="str">
        <f>_xlfn.XLOOKUP(Orders[[#This Row],[CustomerID]],Customers[CustomerID],Customers[Gender])</f>
        <v>Female</v>
      </c>
      <c r="Q1867">
        <f>_xlfn.XLOOKUP(Orders[[#This Row],[CustomerID]],Customers[CustomerID],Customers[CustomerAge])</f>
        <v>28</v>
      </c>
      <c r="R1867" t="str">
        <f>IF(Orders[[#This Row],[CustomerAge]]&gt;=35, "Older", "Young")</f>
        <v>Young</v>
      </c>
      <c r="S1867" t="str">
        <f>_xlfn.XLOOKUP(Orders[[#This Row],[ProductID]],Products[ProductID],Products[ProductName])</f>
        <v>Nose Rings</v>
      </c>
      <c r="T1867" t="str">
        <f>_xlfn.XLOOKUP(Orders[[#This Row],[ProductID]],Products[ProductID],Products[Category])</f>
        <v>Accessories</v>
      </c>
    </row>
    <row r="1868" spans="1:20" x14ac:dyDescent="0.25">
      <c r="A1868" s="4" t="s">
        <v>2057</v>
      </c>
      <c r="B1868" s="5">
        <v>45949</v>
      </c>
      <c r="C1868" s="15">
        <f>WEEKNUM(Orders[[#This Row],[OrderDate]])</f>
        <v>43</v>
      </c>
      <c r="D1868" s="15" t="str">
        <f>TEXT(Orders[[#This Row],[OrderDate]],"mmmm")</f>
        <v>October</v>
      </c>
      <c r="E1868" s="4" t="s">
        <v>101</v>
      </c>
      <c r="F1868" s="4" t="s">
        <v>208</v>
      </c>
      <c r="G1868" s="4">
        <v>9</v>
      </c>
      <c r="H1868" s="12">
        <v>698.9</v>
      </c>
      <c r="I1868" s="13">
        <v>594.06499999999994</v>
      </c>
      <c r="J1868" s="13">
        <f>Orders[[#This Row],[Quantity]]*Orders[[#This Row],[Selling Price]]</f>
        <v>6290.0999999999995</v>
      </c>
      <c r="K1868" s="13">
        <f>Orders[[#This Row],[Quantity]]*Orders[[#This Row],[Cost Price]]</f>
        <v>5346.5849999999991</v>
      </c>
      <c r="L1868" s="13">
        <f>Orders[[#This Row],[Revenue]]-Orders[[#This Row],[Expenses]]</f>
        <v>943.51500000000033</v>
      </c>
      <c r="M1868" t="s">
        <v>2211</v>
      </c>
      <c r="N1868" t="str">
        <f>_xlfn.XLOOKUP(Orders[[#This Row],[CustomerID]],Customers[CustomerID],Customers[CustomerName])</f>
        <v>Blessing Eze</v>
      </c>
      <c r="O1868" t="str">
        <f>_xlfn.XLOOKUP(Orders[[#This Row],[CustomerID]],Customers[CustomerID],Customers[City])</f>
        <v>Texas</v>
      </c>
      <c r="P1868" t="str">
        <f>_xlfn.XLOOKUP(Orders[[#This Row],[CustomerID]],Customers[CustomerID],Customers[Gender])</f>
        <v>Female</v>
      </c>
      <c r="Q1868">
        <f>_xlfn.XLOOKUP(Orders[[#This Row],[CustomerID]],Customers[CustomerID],Customers[CustomerAge])</f>
        <v>55</v>
      </c>
      <c r="R1868" t="str">
        <f>IF(Orders[[#This Row],[CustomerAge]]&gt;=35, "Older", "Young")</f>
        <v>Older</v>
      </c>
      <c r="S1868" t="str">
        <f>_xlfn.XLOOKUP(Orders[[#This Row],[ProductID]],Products[ProductID],Products[ProductName])</f>
        <v>Skipping Rope</v>
      </c>
      <c r="T1868" t="str">
        <f>_xlfn.XLOOKUP(Orders[[#This Row],[ProductID]],Products[ProductID],Products[Category])</f>
        <v>Sports</v>
      </c>
    </row>
    <row r="1869" spans="1:20" x14ac:dyDescent="0.25">
      <c r="A1869" s="4" t="s">
        <v>2058</v>
      </c>
      <c r="B1869" s="5">
        <v>46001</v>
      </c>
      <c r="C1869" s="15">
        <f>WEEKNUM(Orders[[#This Row],[OrderDate]])</f>
        <v>50</v>
      </c>
      <c r="D1869" s="15" t="str">
        <f>TEXT(Orders[[#This Row],[OrderDate]],"mmmm")</f>
        <v>December</v>
      </c>
      <c r="E1869" s="4" t="s">
        <v>596</v>
      </c>
      <c r="F1869" s="4" t="s">
        <v>84</v>
      </c>
      <c r="G1869" s="4">
        <v>3</v>
      </c>
      <c r="H1869" s="12">
        <v>8960.5999999999985</v>
      </c>
      <c r="I1869" s="13">
        <v>7616.5099999999984</v>
      </c>
      <c r="J1869" s="13">
        <f>Orders[[#This Row],[Quantity]]*Orders[[#This Row],[Selling Price]]</f>
        <v>26881.799999999996</v>
      </c>
      <c r="K1869" s="13">
        <f>Orders[[#This Row],[Quantity]]*Orders[[#This Row],[Cost Price]]</f>
        <v>22849.529999999995</v>
      </c>
      <c r="L1869" s="13">
        <f>Orders[[#This Row],[Revenue]]-Orders[[#This Row],[Expenses]]</f>
        <v>4032.2700000000004</v>
      </c>
      <c r="M1869" t="s">
        <v>2199</v>
      </c>
      <c r="N1869" t="str">
        <f>_xlfn.XLOOKUP(Orders[[#This Row],[CustomerID]],Customers[CustomerID],Customers[CustomerName])</f>
        <v>Blessing Balogun</v>
      </c>
      <c r="O1869" t="str">
        <f>_xlfn.XLOOKUP(Orders[[#This Row],[CustomerID]],Customers[CustomerID],Customers[City])</f>
        <v>Texas</v>
      </c>
      <c r="P1869" t="str">
        <f>_xlfn.XLOOKUP(Orders[[#This Row],[CustomerID]],Customers[CustomerID],Customers[Gender])</f>
        <v>Female</v>
      </c>
      <c r="Q1869">
        <f>_xlfn.XLOOKUP(Orders[[#This Row],[CustomerID]],Customers[CustomerID],Customers[CustomerAge])</f>
        <v>26</v>
      </c>
      <c r="R1869" t="str">
        <f>IF(Orders[[#This Row],[CustomerAge]]&gt;=35, "Older", "Young")</f>
        <v>Young</v>
      </c>
      <c r="S1869" t="str">
        <f>_xlfn.XLOOKUP(Orders[[#This Row],[ProductID]],Products[ProductID],Products[ProductName])</f>
        <v>Gym Wears</v>
      </c>
      <c r="T1869" t="str">
        <f>_xlfn.XLOOKUP(Orders[[#This Row],[ProductID]],Products[ProductID],Products[Category])</f>
        <v>Clothing</v>
      </c>
    </row>
    <row r="1870" spans="1:20" x14ac:dyDescent="0.25">
      <c r="A1870" s="4" t="s">
        <v>2059</v>
      </c>
      <c r="B1870" s="5">
        <v>45963</v>
      </c>
      <c r="C1870" s="15">
        <f>WEEKNUM(Orders[[#This Row],[OrderDate]])</f>
        <v>45</v>
      </c>
      <c r="D1870" s="15" t="str">
        <f>TEXT(Orders[[#This Row],[OrderDate]],"mmmm")</f>
        <v>November</v>
      </c>
      <c r="E1870" s="4" t="s">
        <v>203</v>
      </c>
      <c r="F1870" s="4" t="s">
        <v>46</v>
      </c>
      <c r="G1870" s="4">
        <v>5</v>
      </c>
      <c r="H1870" s="12">
        <v>7575.7000000000007</v>
      </c>
      <c r="I1870" s="13">
        <v>6439.3450000000012</v>
      </c>
      <c r="J1870" s="13">
        <f>Orders[[#This Row],[Quantity]]*Orders[[#This Row],[Selling Price]]</f>
        <v>37878.5</v>
      </c>
      <c r="K1870" s="13">
        <f>Orders[[#This Row],[Quantity]]*Orders[[#This Row],[Cost Price]]</f>
        <v>32196.725000000006</v>
      </c>
      <c r="L1870" s="13">
        <f>Orders[[#This Row],[Revenue]]-Orders[[#This Row],[Expenses]]</f>
        <v>5681.7749999999942</v>
      </c>
      <c r="M1870" t="s">
        <v>2198</v>
      </c>
      <c r="N1870" t="str">
        <f>_xlfn.XLOOKUP(Orders[[#This Row],[CustomerID]],Customers[CustomerID],Customers[CustomerName])</f>
        <v>Okon Bello</v>
      </c>
      <c r="O1870" t="str">
        <f>_xlfn.XLOOKUP(Orders[[#This Row],[CustomerID]],Customers[CustomerID],Customers[City])</f>
        <v>Texas</v>
      </c>
      <c r="P1870" t="str">
        <f>_xlfn.XLOOKUP(Orders[[#This Row],[CustomerID]],Customers[CustomerID],Customers[Gender])</f>
        <v>Male</v>
      </c>
      <c r="Q1870">
        <f>_xlfn.XLOOKUP(Orders[[#This Row],[CustomerID]],Customers[CustomerID],Customers[CustomerAge])</f>
        <v>20</v>
      </c>
      <c r="R1870" t="str">
        <f>IF(Orders[[#This Row],[CustomerAge]]&gt;=35, "Older", "Young")</f>
        <v>Young</v>
      </c>
      <c r="S1870" t="str">
        <f>_xlfn.XLOOKUP(Orders[[#This Row],[ProductID]],Products[ProductID],Products[ProductName])</f>
        <v>Turtle Neck</v>
      </c>
      <c r="T1870" t="str">
        <f>_xlfn.XLOOKUP(Orders[[#This Row],[ProductID]],Products[ProductID],Products[Category])</f>
        <v>Clothing</v>
      </c>
    </row>
    <row r="1871" spans="1:20" x14ac:dyDescent="0.25">
      <c r="A1871" s="4" t="s">
        <v>2060</v>
      </c>
      <c r="B1871" s="5">
        <v>45981</v>
      </c>
      <c r="C1871" s="15">
        <f>WEEKNUM(Orders[[#This Row],[OrderDate]])</f>
        <v>47</v>
      </c>
      <c r="D1871" s="15" t="str">
        <f>TEXT(Orders[[#This Row],[OrderDate]],"mmmm")</f>
        <v>November</v>
      </c>
      <c r="E1871" s="4" t="s">
        <v>203</v>
      </c>
      <c r="F1871" s="4" t="s">
        <v>76</v>
      </c>
      <c r="G1871" s="4">
        <v>8</v>
      </c>
      <c r="H1871" s="12">
        <v>11383.699999999999</v>
      </c>
      <c r="I1871" s="13">
        <v>9676.1449999999986</v>
      </c>
      <c r="J1871" s="13">
        <f>Orders[[#This Row],[Quantity]]*Orders[[#This Row],[Selling Price]]</f>
        <v>91069.599999999991</v>
      </c>
      <c r="K1871" s="13">
        <f>Orders[[#This Row],[Quantity]]*Orders[[#This Row],[Cost Price]]</f>
        <v>77409.159999999989</v>
      </c>
      <c r="L1871" s="13">
        <f>Orders[[#This Row],[Revenue]]-Orders[[#This Row],[Expenses]]</f>
        <v>13660.440000000002</v>
      </c>
      <c r="M1871" t="s">
        <v>2194</v>
      </c>
      <c r="N1871" t="str">
        <f>_xlfn.XLOOKUP(Orders[[#This Row],[CustomerID]],Customers[CustomerID],Customers[CustomerName])</f>
        <v>Okon Bello</v>
      </c>
      <c r="O1871" t="str">
        <f>_xlfn.XLOOKUP(Orders[[#This Row],[CustomerID]],Customers[CustomerID],Customers[City])</f>
        <v>Texas</v>
      </c>
      <c r="P1871" t="str">
        <f>_xlfn.XLOOKUP(Orders[[#This Row],[CustomerID]],Customers[CustomerID],Customers[Gender])</f>
        <v>Male</v>
      </c>
      <c r="Q1871">
        <f>_xlfn.XLOOKUP(Orders[[#This Row],[CustomerID]],Customers[CustomerID],Customers[CustomerAge])</f>
        <v>20</v>
      </c>
      <c r="R1871" t="str">
        <f>IF(Orders[[#This Row],[CustomerAge]]&gt;=35, "Older", "Young")</f>
        <v>Young</v>
      </c>
      <c r="S1871" t="str">
        <f>_xlfn.XLOOKUP(Orders[[#This Row],[ProductID]],Products[ProductID],Products[ProductName])</f>
        <v>Blender</v>
      </c>
      <c r="T1871" t="str">
        <f>_xlfn.XLOOKUP(Orders[[#This Row],[ProductID]],Products[ProductID],Products[Category])</f>
        <v>Electronics</v>
      </c>
    </row>
    <row r="1872" spans="1:20" x14ac:dyDescent="0.25">
      <c r="A1872" s="4" t="s">
        <v>2061</v>
      </c>
      <c r="B1872" s="5">
        <v>46016</v>
      </c>
      <c r="C1872" s="15">
        <f>WEEKNUM(Orders[[#This Row],[OrderDate]])</f>
        <v>52</v>
      </c>
      <c r="D1872" s="15" t="str">
        <f>TEXT(Orders[[#This Row],[OrderDate]],"mmmm")</f>
        <v>December</v>
      </c>
      <c r="E1872" s="4" t="s">
        <v>605</v>
      </c>
      <c r="F1872" s="4" t="s">
        <v>253</v>
      </c>
      <c r="G1872" s="4">
        <v>4</v>
      </c>
      <c r="H1872" s="12">
        <v>5067.7999999999993</v>
      </c>
      <c r="I1872" s="13">
        <v>4307.6299999999992</v>
      </c>
      <c r="J1872" s="13">
        <f>Orders[[#This Row],[Quantity]]*Orders[[#This Row],[Selling Price]]</f>
        <v>20271.199999999997</v>
      </c>
      <c r="K1872" s="13">
        <f>Orders[[#This Row],[Quantity]]*Orders[[#This Row],[Cost Price]]</f>
        <v>17230.519999999997</v>
      </c>
      <c r="L1872" s="13">
        <f>Orders[[#This Row],[Revenue]]-Orders[[#This Row],[Expenses]]</f>
        <v>3040.6800000000003</v>
      </c>
      <c r="M1872" t="s">
        <v>2198</v>
      </c>
      <c r="N1872" t="str">
        <f>_xlfn.XLOOKUP(Orders[[#This Row],[CustomerID]],Customers[CustomerID],Customers[CustomerName])</f>
        <v>Blessing Abubakar</v>
      </c>
      <c r="O1872" t="str">
        <f>_xlfn.XLOOKUP(Orders[[#This Row],[CustomerID]],Customers[CustomerID],Customers[City])</f>
        <v>Texas</v>
      </c>
      <c r="P1872" t="str">
        <f>_xlfn.XLOOKUP(Orders[[#This Row],[CustomerID]],Customers[CustomerID],Customers[Gender])</f>
        <v>Female</v>
      </c>
      <c r="Q1872">
        <f>_xlfn.XLOOKUP(Orders[[#This Row],[CustomerID]],Customers[CustomerID],Customers[CustomerAge])</f>
        <v>44</v>
      </c>
      <c r="R1872" t="str">
        <f>IF(Orders[[#This Row],[CustomerAge]]&gt;=35, "Older", "Young")</f>
        <v>Older</v>
      </c>
      <c r="S1872" t="str">
        <f>_xlfn.XLOOKUP(Orders[[#This Row],[ProductID]],Products[ProductID],Products[ProductName])</f>
        <v>Nose Rings</v>
      </c>
      <c r="T1872" t="str">
        <f>_xlfn.XLOOKUP(Orders[[#This Row],[ProductID]],Products[ProductID],Products[Category])</f>
        <v>Accessories</v>
      </c>
    </row>
    <row r="1873" spans="1:20" x14ac:dyDescent="0.25">
      <c r="A1873" s="4" t="s">
        <v>2062</v>
      </c>
      <c r="B1873" s="5">
        <v>45937</v>
      </c>
      <c r="C1873" s="15">
        <f>WEEKNUM(Orders[[#This Row],[OrderDate]])</f>
        <v>41</v>
      </c>
      <c r="D1873" s="15" t="str">
        <f>TEXT(Orders[[#This Row],[OrderDate]],"mmmm")</f>
        <v>October</v>
      </c>
      <c r="E1873" s="4" t="s">
        <v>186</v>
      </c>
      <c r="F1873" s="4" t="s">
        <v>127</v>
      </c>
      <c r="G1873" s="4">
        <v>4</v>
      </c>
      <c r="H1873" s="12">
        <v>14140</v>
      </c>
      <c r="I1873" s="13">
        <v>12019</v>
      </c>
      <c r="J1873" s="13">
        <f>Orders[[#This Row],[Quantity]]*Orders[[#This Row],[Selling Price]]</f>
        <v>56560</v>
      </c>
      <c r="K1873" s="13">
        <f>Orders[[#This Row],[Quantity]]*Orders[[#This Row],[Cost Price]]</f>
        <v>48076</v>
      </c>
      <c r="L1873" s="13">
        <f>Orders[[#This Row],[Revenue]]-Orders[[#This Row],[Expenses]]</f>
        <v>8484</v>
      </c>
      <c r="M1873" t="s">
        <v>2209</v>
      </c>
      <c r="N1873" t="str">
        <f>_xlfn.XLOOKUP(Orders[[#This Row],[CustomerID]],Customers[CustomerID],Customers[CustomerName])</f>
        <v>Ronke Eze</v>
      </c>
      <c r="O1873" t="str">
        <f>_xlfn.XLOOKUP(Orders[[#This Row],[CustomerID]],Customers[CustomerID],Customers[City])</f>
        <v>Texas</v>
      </c>
      <c r="P1873" t="str">
        <f>_xlfn.XLOOKUP(Orders[[#This Row],[CustomerID]],Customers[CustomerID],Customers[Gender])</f>
        <v>Female</v>
      </c>
      <c r="Q1873">
        <f>_xlfn.XLOOKUP(Orders[[#This Row],[CustomerID]],Customers[CustomerID],Customers[CustomerAge])</f>
        <v>37</v>
      </c>
      <c r="R1873" t="str">
        <f>IF(Orders[[#This Row],[CustomerAge]]&gt;=35, "Older", "Young")</f>
        <v>Older</v>
      </c>
      <c r="S1873" t="str">
        <f>_xlfn.XLOOKUP(Orders[[#This Row],[ProductID]],Products[ProductID],Products[ProductName])</f>
        <v>Tops</v>
      </c>
      <c r="T1873" t="str">
        <f>_xlfn.XLOOKUP(Orders[[#This Row],[ProductID]],Products[ProductID],Products[Category])</f>
        <v>Clothing</v>
      </c>
    </row>
    <row r="1874" spans="1:20" x14ac:dyDescent="0.25">
      <c r="A1874" s="4" t="s">
        <v>2063</v>
      </c>
      <c r="B1874" s="5">
        <v>45964</v>
      </c>
      <c r="C1874" s="15">
        <f>WEEKNUM(Orders[[#This Row],[OrderDate]])</f>
        <v>45</v>
      </c>
      <c r="D1874" s="15" t="str">
        <f>TEXT(Orders[[#This Row],[OrderDate]],"mmmm")</f>
        <v>November</v>
      </c>
      <c r="E1874" s="4" t="s">
        <v>314</v>
      </c>
      <c r="F1874" s="4" t="s">
        <v>63</v>
      </c>
      <c r="G1874" s="4">
        <v>1</v>
      </c>
      <c r="H1874" s="12">
        <v>4532.7999999999993</v>
      </c>
      <c r="I1874" s="13">
        <v>3852.8799999999992</v>
      </c>
      <c r="J1874" s="13">
        <f>Orders[[#This Row],[Quantity]]*Orders[[#This Row],[Selling Price]]</f>
        <v>4532.7999999999993</v>
      </c>
      <c r="K1874" s="13">
        <f>Orders[[#This Row],[Quantity]]*Orders[[#This Row],[Cost Price]]</f>
        <v>3852.8799999999992</v>
      </c>
      <c r="L1874" s="13">
        <f>Orders[[#This Row],[Revenue]]-Orders[[#This Row],[Expenses]]</f>
        <v>679.92000000000007</v>
      </c>
      <c r="M1874" t="s">
        <v>2198</v>
      </c>
      <c r="N1874" t="str">
        <f>_xlfn.XLOOKUP(Orders[[#This Row],[CustomerID]],Customers[CustomerID],Customers[CustomerName])</f>
        <v>Bisi Ojo</v>
      </c>
      <c r="O1874" t="str">
        <f>_xlfn.XLOOKUP(Orders[[#This Row],[CustomerID]],Customers[CustomerID],Customers[City])</f>
        <v>Washington</v>
      </c>
      <c r="P1874" t="str">
        <f>_xlfn.XLOOKUP(Orders[[#This Row],[CustomerID]],Customers[CustomerID],Customers[Gender])</f>
        <v>Female</v>
      </c>
      <c r="Q1874">
        <f>_xlfn.XLOOKUP(Orders[[#This Row],[CustomerID]],Customers[CustomerID],Customers[CustomerAge])</f>
        <v>18</v>
      </c>
      <c r="R1874" t="str">
        <f>IF(Orders[[#This Row],[CustomerAge]]&gt;=35, "Older", "Young")</f>
        <v>Young</v>
      </c>
      <c r="S1874" t="str">
        <f>_xlfn.XLOOKUP(Orders[[#This Row],[ProductID]],Products[ProductID],Products[ProductName])</f>
        <v>Tennis Bat</v>
      </c>
      <c r="T1874" t="str">
        <f>_xlfn.XLOOKUP(Orders[[#This Row],[ProductID]],Products[ProductID],Products[Category])</f>
        <v>Sports</v>
      </c>
    </row>
    <row r="1875" spans="1:20" x14ac:dyDescent="0.25">
      <c r="A1875" s="4" t="s">
        <v>2064</v>
      </c>
      <c r="B1875" s="5">
        <v>46012</v>
      </c>
      <c r="C1875" s="15">
        <f>WEEKNUM(Orders[[#This Row],[OrderDate]])</f>
        <v>52</v>
      </c>
      <c r="D1875" s="15" t="str">
        <f>TEXT(Orders[[#This Row],[OrderDate]],"mmmm")</f>
        <v>December</v>
      </c>
      <c r="E1875" s="4" t="s">
        <v>524</v>
      </c>
      <c r="F1875" s="4" t="s">
        <v>157</v>
      </c>
      <c r="G1875" s="4">
        <v>1</v>
      </c>
      <c r="H1875" s="12">
        <v>18804.400000000001</v>
      </c>
      <c r="I1875" s="13">
        <v>15983.740000000002</v>
      </c>
      <c r="J1875" s="13">
        <f>Orders[[#This Row],[Quantity]]*Orders[[#This Row],[Selling Price]]</f>
        <v>18804.400000000001</v>
      </c>
      <c r="K1875" s="13">
        <f>Orders[[#This Row],[Quantity]]*Orders[[#This Row],[Cost Price]]</f>
        <v>15983.740000000002</v>
      </c>
      <c r="L1875" s="13">
        <f>Orders[[#This Row],[Revenue]]-Orders[[#This Row],[Expenses]]</f>
        <v>2820.66</v>
      </c>
      <c r="M1875" t="s">
        <v>2209</v>
      </c>
      <c r="N1875" t="str">
        <f>_xlfn.XLOOKUP(Orders[[#This Row],[CustomerID]],Customers[CustomerID],Customers[CustomerName])</f>
        <v>Chinedu Igwe</v>
      </c>
      <c r="O1875" t="str">
        <f>_xlfn.XLOOKUP(Orders[[#This Row],[CustomerID]],Customers[CustomerID],Customers[City])</f>
        <v>Florida</v>
      </c>
      <c r="P1875" t="str">
        <f>_xlfn.XLOOKUP(Orders[[#This Row],[CustomerID]],Customers[CustomerID],Customers[Gender])</f>
        <v>Male</v>
      </c>
      <c r="Q1875">
        <f>_xlfn.XLOOKUP(Orders[[#This Row],[CustomerID]],Customers[CustomerID],Customers[CustomerAge])</f>
        <v>21</v>
      </c>
      <c r="R1875" t="str">
        <f>IF(Orders[[#This Row],[CustomerAge]]&gt;=35, "Older", "Young")</f>
        <v>Young</v>
      </c>
      <c r="S1875" t="str">
        <f>_xlfn.XLOOKUP(Orders[[#This Row],[ProductID]],Products[ProductID],Products[ProductName])</f>
        <v>Football</v>
      </c>
      <c r="T1875" t="str">
        <f>_xlfn.XLOOKUP(Orders[[#This Row],[ProductID]],Products[ProductID],Products[Category])</f>
        <v>Sports</v>
      </c>
    </row>
    <row r="1876" spans="1:20" x14ac:dyDescent="0.25">
      <c r="A1876" s="4" t="s">
        <v>2065</v>
      </c>
      <c r="B1876" s="5">
        <v>45996</v>
      </c>
      <c r="C1876" s="15">
        <f>WEEKNUM(Orders[[#This Row],[OrderDate]])</f>
        <v>49</v>
      </c>
      <c r="D1876" s="15" t="str">
        <f>TEXT(Orders[[#This Row],[OrderDate]],"mmmm")</f>
        <v>December</v>
      </c>
      <c r="E1876" s="4" t="s">
        <v>48</v>
      </c>
      <c r="F1876" s="4" t="s">
        <v>23</v>
      </c>
      <c r="G1876" s="4">
        <v>10</v>
      </c>
      <c r="H1876" s="12">
        <v>8543.2000000000007</v>
      </c>
      <c r="I1876" s="13">
        <v>7261.7200000000012</v>
      </c>
      <c r="J1876" s="13">
        <f>Orders[[#This Row],[Quantity]]*Orders[[#This Row],[Selling Price]]</f>
        <v>85432</v>
      </c>
      <c r="K1876" s="13">
        <f>Orders[[#This Row],[Quantity]]*Orders[[#This Row],[Cost Price]]</f>
        <v>72617.200000000012</v>
      </c>
      <c r="L1876" s="13">
        <f>Orders[[#This Row],[Revenue]]-Orders[[#This Row],[Expenses]]</f>
        <v>12814.799999999988</v>
      </c>
      <c r="M1876" t="s">
        <v>2207</v>
      </c>
      <c r="N1876" t="str">
        <f>_xlfn.XLOOKUP(Orders[[#This Row],[CustomerID]],Customers[CustomerID],Customers[CustomerName])</f>
        <v>Mustafa Obi</v>
      </c>
      <c r="O1876" t="str">
        <f>_xlfn.XLOOKUP(Orders[[#This Row],[CustomerID]],Customers[CustomerID],Customers[City])</f>
        <v>California</v>
      </c>
      <c r="P1876" t="str">
        <f>_xlfn.XLOOKUP(Orders[[#This Row],[CustomerID]],Customers[CustomerID],Customers[Gender])</f>
        <v>Male</v>
      </c>
      <c r="Q1876">
        <f>_xlfn.XLOOKUP(Orders[[#This Row],[CustomerID]],Customers[CustomerID],Customers[CustomerAge])</f>
        <v>23</v>
      </c>
      <c r="R1876" t="str">
        <f>IF(Orders[[#This Row],[CustomerAge]]&gt;=35, "Older", "Young")</f>
        <v>Young</v>
      </c>
      <c r="S1876" t="str">
        <f>_xlfn.XLOOKUP(Orders[[#This Row],[ProductID]],Products[ProductID],Products[ProductName])</f>
        <v>Gym Gloves</v>
      </c>
      <c r="T1876" t="str">
        <f>_xlfn.XLOOKUP(Orders[[#This Row],[ProductID]],Products[ProductID],Products[Category])</f>
        <v>Gym</v>
      </c>
    </row>
    <row r="1877" spans="1:20" x14ac:dyDescent="0.25">
      <c r="A1877" s="4" t="s">
        <v>2066</v>
      </c>
      <c r="B1877" s="5">
        <v>45959</v>
      </c>
      <c r="C1877" s="15">
        <f>WEEKNUM(Orders[[#This Row],[OrderDate]])</f>
        <v>44</v>
      </c>
      <c r="D1877" s="15" t="str">
        <f>TEXT(Orders[[#This Row],[OrderDate]],"mmmm")</f>
        <v>October</v>
      </c>
      <c r="E1877" s="4" t="s">
        <v>552</v>
      </c>
      <c r="F1877" s="4" t="s">
        <v>120</v>
      </c>
      <c r="G1877" s="4">
        <v>6</v>
      </c>
      <c r="H1877" s="12">
        <v>15817.6</v>
      </c>
      <c r="I1877" s="13">
        <v>13444.960000000001</v>
      </c>
      <c r="J1877" s="13">
        <f>Orders[[#This Row],[Quantity]]*Orders[[#This Row],[Selling Price]]</f>
        <v>94905.600000000006</v>
      </c>
      <c r="K1877" s="13">
        <f>Orders[[#This Row],[Quantity]]*Orders[[#This Row],[Cost Price]]</f>
        <v>80669.760000000009</v>
      </c>
      <c r="L1877" s="13">
        <f>Orders[[#This Row],[Revenue]]-Orders[[#This Row],[Expenses]]</f>
        <v>14235.839999999997</v>
      </c>
      <c r="M1877" t="s">
        <v>2201</v>
      </c>
      <c r="N1877" t="str">
        <f>_xlfn.XLOOKUP(Orders[[#This Row],[CustomerID]],Customers[CustomerID],Customers[CustomerName])</f>
        <v>Chioma Eze</v>
      </c>
      <c r="O1877" t="str">
        <f>_xlfn.XLOOKUP(Orders[[#This Row],[CustomerID]],Customers[CustomerID],Customers[City])</f>
        <v>Georgia</v>
      </c>
      <c r="P1877" t="str">
        <f>_xlfn.XLOOKUP(Orders[[#This Row],[CustomerID]],Customers[CustomerID],Customers[Gender])</f>
        <v>Female</v>
      </c>
      <c r="Q1877">
        <f>_xlfn.XLOOKUP(Orders[[#This Row],[CustomerID]],Customers[CustomerID],Customers[CustomerAge])</f>
        <v>40</v>
      </c>
      <c r="R1877" t="str">
        <f>IF(Orders[[#This Row],[CustomerAge]]&gt;=35, "Older", "Young")</f>
        <v>Older</v>
      </c>
      <c r="S1877" t="str">
        <f>_xlfn.XLOOKUP(Orders[[#This Row],[ProductID]],Products[ProductID],Products[ProductName])</f>
        <v>Chess</v>
      </c>
      <c r="T1877" t="str">
        <f>_xlfn.XLOOKUP(Orders[[#This Row],[ProductID]],Products[ProductID],Products[Category])</f>
        <v>Games</v>
      </c>
    </row>
    <row r="1878" spans="1:20" x14ac:dyDescent="0.25">
      <c r="A1878" s="4" t="s">
        <v>2067</v>
      </c>
      <c r="B1878" s="5">
        <v>45986</v>
      </c>
      <c r="C1878" s="15">
        <f>WEEKNUM(Orders[[#This Row],[OrderDate]])</f>
        <v>48</v>
      </c>
      <c r="D1878" s="15" t="str">
        <f>TEXT(Orders[[#This Row],[OrderDate]],"mmmm")</f>
        <v>November</v>
      </c>
      <c r="E1878" s="4" t="s">
        <v>517</v>
      </c>
      <c r="F1878" s="4" t="s">
        <v>84</v>
      </c>
      <c r="G1878" s="4">
        <v>1</v>
      </c>
      <c r="H1878" s="12">
        <v>1404.9</v>
      </c>
      <c r="I1878" s="13">
        <v>1194.165</v>
      </c>
      <c r="J1878" s="13">
        <f>Orders[[#This Row],[Quantity]]*Orders[[#This Row],[Selling Price]]</f>
        <v>1404.9</v>
      </c>
      <c r="K1878" s="13">
        <f>Orders[[#This Row],[Quantity]]*Orders[[#This Row],[Cost Price]]</f>
        <v>1194.165</v>
      </c>
      <c r="L1878" s="13">
        <f>Orders[[#This Row],[Revenue]]-Orders[[#This Row],[Expenses]]</f>
        <v>210.73500000000013</v>
      </c>
      <c r="M1878" t="s">
        <v>2211</v>
      </c>
      <c r="N1878" t="str">
        <f>_xlfn.XLOOKUP(Orders[[#This Row],[CustomerID]],Customers[CustomerID],Customers[CustomerName])</f>
        <v>Efe Adeyemi</v>
      </c>
      <c r="O1878" t="str">
        <f>_xlfn.XLOOKUP(Orders[[#This Row],[CustomerID]],Customers[CustomerID],Customers[City])</f>
        <v>Florida</v>
      </c>
      <c r="P1878" t="str">
        <f>_xlfn.XLOOKUP(Orders[[#This Row],[CustomerID]],Customers[CustomerID],Customers[Gender])</f>
        <v>Female</v>
      </c>
      <c r="Q1878">
        <f>_xlfn.XLOOKUP(Orders[[#This Row],[CustomerID]],Customers[CustomerID],Customers[CustomerAge])</f>
        <v>25</v>
      </c>
      <c r="R1878" t="str">
        <f>IF(Orders[[#This Row],[CustomerAge]]&gt;=35, "Older", "Young")</f>
        <v>Young</v>
      </c>
      <c r="S1878" t="str">
        <f>_xlfn.XLOOKUP(Orders[[#This Row],[ProductID]],Products[ProductID],Products[ProductName])</f>
        <v>Gym Wears</v>
      </c>
      <c r="T1878" t="str">
        <f>_xlfn.XLOOKUP(Orders[[#This Row],[ProductID]],Products[ProductID],Products[Category])</f>
        <v>Clothing</v>
      </c>
    </row>
    <row r="1879" spans="1:20" x14ac:dyDescent="0.25">
      <c r="A1879" s="4" t="s">
        <v>2068</v>
      </c>
      <c r="B1879" s="5">
        <v>45981</v>
      </c>
      <c r="C1879" s="15">
        <f>WEEKNUM(Orders[[#This Row],[OrderDate]])</f>
        <v>47</v>
      </c>
      <c r="D1879" s="15" t="str">
        <f>TEXT(Orders[[#This Row],[OrderDate]],"mmmm")</f>
        <v>November</v>
      </c>
      <c r="E1879" s="4" t="s">
        <v>280</v>
      </c>
      <c r="F1879" s="4" t="s">
        <v>127</v>
      </c>
      <c r="G1879" s="4">
        <v>3</v>
      </c>
      <c r="H1879" s="12">
        <v>19033.599999999999</v>
      </c>
      <c r="I1879" s="13">
        <v>16178.56</v>
      </c>
      <c r="J1879" s="13">
        <f>Orders[[#This Row],[Quantity]]*Orders[[#This Row],[Selling Price]]</f>
        <v>57100.799999999996</v>
      </c>
      <c r="K1879" s="13">
        <f>Orders[[#This Row],[Quantity]]*Orders[[#This Row],[Cost Price]]</f>
        <v>48535.68</v>
      </c>
      <c r="L1879" s="13">
        <f>Orders[[#This Row],[Revenue]]-Orders[[#This Row],[Expenses]]</f>
        <v>8565.1199999999953</v>
      </c>
      <c r="M1879" t="s">
        <v>2209</v>
      </c>
      <c r="N1879" t="str">
        <f>_xlfn.XLOOKUP(Orders[[#This Row],[CustomerID]],Customers[CustomerID],Customers[CustomerName])</f>
        <v>Folasade Okonkwo</v>
      </c>
      <c r="O1879" t="str">
        <f>_xlfn.XLOOKUP(Orders[[#This Row],[CustomerID]],Customers[CustomerID],Customers[City])</f>
        <v>Texas</v>
      </c>
      <c r="P1879" t="str">
        <f>_xlfn.XLOOKUP(Orders[[#This Row],[CustomerID]],Customers[CustomerID],Customers[Gender])</f>
        <v>Female</v>
      </c>
      <c r="Q1879">
        <f>_xlfn.XLOOKUP(Orders[[#This Row],[CustomerID]],Customers[CustomerID],Customers[CustomerAge])</f>
        <v>21</v>
      </c>
      <c r="R1879" t="str">
        <f>IF(Orders[[#This Row],[CustomerAge]]&gt;=35, "Older", "Young")</f>
        <v>Young</v>
      </c>
      <c r="S1879" t="str">
        <f>_xlfn.XLOOKUP(Orders[[#This Row],[ProductID]],Products[ProductID],Products[ProductName])</f>
        <v>Tops</v>
      </c>
      <c r="T1879" t="str">
        <f>_xlfn.XLOOKUP(Orders[[#This Row],[ProductID]],Products[ProductID],Products[Category])</f>
        <v>Clothing</v>
      </c>
    </row>
    <row r="1880" spans="1:20" x14ac:dyDescent="0.25">
      <c r="A1880" s="4" t="s">
        <v>2069</v>
      </c>
      <c r="B1880" s="5">
        <v>45982</v>
      </c>
      <c r="C1880" s="15">
        <f>WEEKNUM(Orders[[#This Row],[OrderDate]])</f>
        <v>47</v>
      </c>
      <c r="D1880" s="15" t="str">
        <f>TEXT(Orders[[#This Row],[OrderDate]],"mmmm")</f>
        <v>November</v>
      </c>
      <c r="E1880" s="4" t="s">
        <v>75</v>
      </c>
      <c r="F1880" s="4" t="s">
        <v>84</v>
      </c>
      <c r="G1880" s="4">
        <v>2</v>
      </c>
      <c r="H1880" s="12">
        <v>15568.599999999999</v>
      </c>
      <c r="I1880" s="13">
        <v>13233.31</v>
      </c>
      <c r="J1880" s="13">
        <f>Orders[[#This Row],[Quantity]]*Orders[[#This Row],[Selling Price]]</f>
        <v>31137.199999999997</v>
      </c>
      <c r="K1880" s="13">
        <f>Orders[[#This Row],[Quantity]]*Orders[[#This Row],[Cost Price]]</f>
        <v>26466.62</v>
      </c>
      <c r="L1880" s="13">
        <f>Orders[[#This Row],[Revenue]]-Orders[[#This Row],[Expenses]]</f>
        <v>4670.5799999999981</v>
      </c>
      <c r="M1880" t="s">
        <v>2199</v>
      </c>
      <c r="N1880" t="str">
        <f>_xlfn.XLOOKUP(Orders[[#This Row],[CustomerID]],Customers[CustomerID],Customers[CustomerName])</f>
        <v>Tunde Danladi</v>
      </c>
      <c r="O1880" t="str">
        <f>_xlfn.XLOOKUP(Orders[[#This Row],[CustomerID]],Customers[CustomerID],Customers[City])</f>
        <v>Texas</v>
      </c>
      <c r="P1880" t="str">
        <f>_xlfn.XLOOKUP(Orders[[#This Row],[CustomerID]],Customers[CustomerID],Customers[Gender])</f>
        <v>Male</v>
      </c>
      <c r="Q1880">
        <f>_xlfn.XLOOKUP(Orders[[#This Row],[CustomerID]],Customers[CustomerID],Customers[CustomerAge])</f>
        <v>47</v>
      </c>
      <c r="R1880" t="str">
        <f>IF(Orders[[#This Row],[CustomerAge]]&gt;=35, "Older", "Young")</f>
        <v>Older</v>
      </c>
      <c r="S1880" t="str">
        <f>_xlfn.XLOOKUP(Orders[[#This Row],[ProductID]],Products[ProductID],Products[ProductName])</f>
        <v>Gym Wears</v>
      </c>
      <c r="T1880" t="str">
        <f>_xlfn.XLOOKUP(Orders[[#This Row],[ProductID]],Products[ProductID],Products[Category])</f>
        <v>Clothing</v>
      </c>
    </row>
    <row r="1881" spans="1:20" x14ac:dyDescent="0.25">
      <c r="A1881" s="4" t="s">
        <v>2070</v>
      </c>
      <c r="B1881" s="5">
        <v>46009</v>
      </c>
      <c r="C1881" s="15">
        <f>WEEKNUM(Orders[[#This Row],[OrderDate]])</f>
        <v>51</v>
      </c>
      <c r="D1881" s="15" t="str">
        <f>TEXT(Orders[[#This Row],[OrderDate]],"mmmm")</f>
        <v>December</v>
      </c>
      <c r="E1881" s="4" t="s">
        <v>514</v>
      </c>
      <c r="F1881" s="4" t="s">
        <v>81</v>
      </c>
      <c r="G1881" s="4">
        <v>2</v>
      </c>
      <c r="H1881" s="12">
        <v>18439.100000000002</v>
      </c>
      <c r="I1881" s="13">
        <v>15673.235000000002</v>
      </c>
      <c r="J1881" s="13">
        <f>Orders[[#This Row],[Quantity]]*Orders[[#This Row],[Selling Price]]</f>
        <v>36878.200000000004</v>
      </c>
      <c r="K1881" s="13">
        <f>Orders[[#This Row],[Quantity]]*Orders[[#This Row],[Cost Price]]</f>
        <v>31346.470000000005</v>
      </c>
      <c r="L1881" s="13">
        <f>Orders[[#This Row],[Revenue]]-Orders[[#This Row],[Expenses]]</f>
        <v>5531.73</v>
      </c>
      <c r="M1881" t="s">
        <v>2215</v>
      </c>
      <c r="N1881" t="str">
        <f>_xlfn.XLOOKUP(Orders[[#This Row],[CustomerID]],Customers[CustomerID],Customers[CustomerName])</f>
        <v>Ibrahim Okonkwo</v>
      </c>
      <c r="O1881" t="str">
        <f>_xlfn.XLOOKUP(Orders[[#This Row],[CustomerID]],Customers[CustomerID],Customers[City])</f>
        <v>Florida</v>
      </c>
      <c r="P1881" t="str">
        <f>_xlfn.XLOOKUP(Orders[[#This Row],[CustomerID]],Customers[CustomerID],Customers[Gender])</f>
        <v>Male</v>
      </c>
      <c r="Q1881">
        <f>_xlfn.XLOOKUP(Orders[[#This Row],[CustomerID]],Customers[CustomerID],Customers[CustomerAge])</f>
        <v>28</v>
      </c>
      <c r="R1881" t="str">
        <f>IF(Orders[[#This Row],[CustomerAge]]&gt;=35, "Older", "Young")</f>
        <v>Young</v>
      </c>
      <c r="S1881" t="str">
        <f>_xlfn.XLOOKUP(Orders[[#This Row],[ProductID]],Products[ProductID],Products[ProductName])</f>
        <v>Trousers</v>
      </c>
      <c r="T1881" t="str">
        <f>_xlfn.XLOOKUP(Orders[[#This Row],[ProductID]],Products[ProductID],Products[Category])</f>
        <v>Clothing</v>
      </c>
    </row>
    <row r="1882" spans="1:20" x14ac:dyDescent="0.25">
      <c r="A1882" s="4" t="s">
        <v>2071</v>
      </c>
      <c r="B1882" s="5">
        <v>45945</v>
      </c>
      <c r="C1882" s="15">
        <f>WEEKNUM(Orders[[#This Row],[OrderDate]])</f>
        <v>42</v>
      </c>
      <c r="D1882" s="15" t="str">
        <f>TEXT(Orders[[#This Row],[OrderDate]],"mmmm")</f>
        <v>October</v>
      </c>
      <c r="E1882" s="4" t="s">
        <v>122</v>
      </c>
      <c r="F1882" s="4" t="s">
        <v>34</v>
      </c>
      <c r="G1882" s="4">
        <v>1</v>
      </c>
      <c r="H1882" s="12">
        <v>13412.3</v>
      </c>
      <c r="I1882" s="13">
        <v>11400.455</v>
      </c>
      <c r="J1882" s="13">
        <f>Orders[[#This Row],[Quantity]]*Orders[[#This Row],[Selling Price]]</f>
        <v>13412.3</v>
      </c>
      <c r="K1882" s="13">
        <f>Orders[[#This Row],[Quantity]]*Orders[[#This Row],[Cost Price]]</f>
        <v>11400.455</v>
      </c>
      <c r="L1882" s="13">
        <f>Orders[[#This Row],[Revenue]]-Orders[[#This Row],[Expenses]]</f>
        <v>2011.8449999999993</v>
      </c>
      <c r="M1882" t="s">
        <v>2205</v>
      </c>
      <c r="N1882" t="str">
        <f>_xlfn.XLOOKUP(Orders[[#This Row],[CustomerID]],Customers[CustomerID],Customers[CustomerName])</f>
        <v>Ibrahim Eze</v>
      </c>
      <c r="O1882" t="str">
        <f>_xlfn.XLOOKUP(Orders[[#This Row],[CustomerID]],Customers[CustomerID],Customers[City])</f>
        <v>Texas</v>
      </c>
      <c r="P1882" t="str">
        <f>_xlfn.XLOOKUP(Orders[[#This Row],[CustomerID]],Customers[CustomerID],Customers[Gender])</f>
        <v>Male</v>
      </c>
      <c r="Q1882">
        <f>_xlfn.XLOOKUP(Orders[[#This Row],[CustomerID]],Customers[CustomerID],Customers[CustomerAge])</f>
        <v>52</v>
      </c>
      <c r="R1882" t="str">
        <f>IF(Orders[[#This Row],[CustomerAge]]&gt;=35, "Older", "Young")</f>
        <v>Older</v>
      </c>
      <c r="S1882" t="str">
        <f>_xlfn.XLOOKUP(Orders[[#This Row],[ProductID]],Products[ProductID],Products[ProductName])</f>
        <v>Gold Bracelets</v>
      </c>
      <c r="T1882" t="str">
        <f>_xlfn.XLOOKUP(Orders[[#This Row],[ProductID]],Products[ProductID],Products[Category])</f>
        <v>Accessories</v>
      </c>
    </row>
    <row r="1883" spans="1:20" x14ac:dyDescent="0.25">
      <c r="A1883" s="4" t="s">
        <v>2072</v>
      </c>
      <c r="B1883" s="5">
        <v>45946</v>
      </c>
      <c r="C1883" s="15">
        <f>WEEKNUM(Orders[[#This Row],[OrderDate]])</f>
        <v>42</v>
      </c>
      <c r="D1883" s="15" t="str">
        <f>TEXT(Orders[[#This Row],[OrderDate]],"mmmm")</f>
        <v>October</v>
      </c>
      <c r="E1883" s="4" t="s">
        <v>136</v>
      </c>
      <c r="F1883" s="4" t="s">
        <v>23</v>
      </c>
      <c r="G1883" s="4">
        <v>4</v>
      </c>
      <c r="H1883" s="12">
        <v>14572</v>
      </c>
      <c r="I1883" s="13">
        <v>12386.2</v>
      </c>
      <c r="J1883" s="13">
        <f>Orders[[#This Row],[Quantity]]*Orders[[#This Row],[Selling Price]]</f>
        <v>58288</v>
      </c>
      <c r="K1883" s="13">
        <f>Orders[[#This Row],[Quantity]]*Orders[[#This Row],[Cost Price]]</f>
        <v>49544.800000000003</v>
      </c>
      <c r="L1883" s="13">
        <f>Orders[[#This Row],[Revenue]]-Orders[[#This Row],[Expenses]]</f>
        <v>8743.1999999999971</v>
      </c>
      <c r="M1883" t="s">
        <v>2205</v>
      </c>
      <c r="N1883" t="str">
        <f>_xlfn.XLOOKUP(Orders[[#This Row],[CustomerID]],Customers[CustomerID],Customers[CustomerName])</f>
        <v>Chinedu Obi</v>
      </c>
      <c r="O1883" t="str">
        <f>_xlfn.XLOOKUP(Orders[[#This Row],[CustomerID]],Customers[CustomerID],Customers[City])</f>
        <v>California</v>
      </c>
      <c r="P1883" t="str">
        <f>_xlfn.XLOOKUP(Orders[[#This Row],[CustomerID]],Customers[CustomerID],Customers[Gender])</f>
        <v>Male</v>
      </c>
      <c r="Q1883">
        <f>_xlfn.XLOOKUP(Orders[[#This Row],[CustomerID]],Customers[CustomerID],Customers[CustomerAge])</f>
        <v>27</v>
      </c>
      <c r="R1883" t="str">
        <f>IF(Orders[[#This Row],[CustomerAge]]&gt;=35, "Older", "Young")</f>
        <v>Young</v>
      </c>
      <c r="S1883" t="str">
        <f>_xlfn.XLOOKUP(Orders[[#This Row],[ProductID]],Products[ProductID],Products[ProductName])</f>
        <v>Gym Gloves</v>
      </c>
      <c r="T1883" t="str">
        <f>_xlfn.XLOOKUP(Orders[[#This Row],[ProductID]],Products[ProductID],Products[Category])</f>
        <v>Gym</v>
      </c>
    </row>
    <row r="1884" spans="1:20" x14ac:dyDescent="0.25">
      <c r="A1884" s="4" t="s">
        <v>2073</v>
      </c>
      <c r="B1884" s="5">
        <v>46020</v>
      </c>
      <c r="C1884" s="15">
        <f>WEEKNUM(Orders[[#This Row],[OrderDate]])</f>
        <v>53</v>
      </c>
      <c r="D1884" s="15" t="str">
        <f>TEXT(Orders[[#This Row],[OrderDate]],"mmmm")</f>
        <v>December</v>
      </c>
      <c r="E1884" s="4" t="s">
        <v>282</v>
      </c>
      <c r="F1884" s="4" t="s">
        <v>70</v>
      </c>
      <c r="G1884" s="4">
        <v>3</v>
      </c>
      <c r="H1884" s="12">
        <v>14855.9</v>
      </c>
      <c r="I1884" s="13">
        <v>12627.514999999999</v>
      </c>
      <c r="J1884" s="13">
        <f>Orders[[#This Row],[Quantity]]*Orders[[#This Row],[Selling Price]]</f>
        <v>44567.7</v>
      </c>
      <c r="K1884" s="13">
        <f>Orders[[#This Row],[Quantity]]*Orders[[#This Row],[Cost Price]]</f>
        <v>37882.544999999998</v>
      </c>
      <c r="L1884" s="13">
        <f>Orders[[#This Row],[Revenue]]-Orders[[#This Row],[Expenses]]</f>
        <v>6685.1549999999988</v>
      </c>
      <c r="M1884" t="s">
        <v>2215</v>
      </c>
      <c r="N1884" t="str">
        <f>_xlfn.XLOOKUP(Orders[[#This Row],[CustomerID]],Customers[CustomerID],Customers[CustomerName])</f>
        <v>Bisi Ojo</v>
      </c>
      <c r="O1884" t="str">
        <f>_xlfn.XLOOKUP(Orders[[#This Row],[CustomerID]],Customers[CustomerID],Customers[City])</f>
        <v>Texas</v>
      </c>
      <c r="P1884" t="str">
        <f>_xlfn.XLOOKUP(Orders[[#This Row],[CustomerID]],Customers[CustomerID],Customers[Gender])</f>
        <v>Female</v>
      </c>
      <c r="Q1884">
        <f>_xlfn.XLOOKUP(Orders[[#This Row],[CustomerID]],Customers[CustomerID],Customers[CustomerAge])</f>
        <v>26</v>
      </c>
      <c r="R1884" t="str">
        <f>IF(Orders[[#This Row],[CustomerAge]]&gt;=35, "Older", "Young")</f>
        <v>Young</v>
      </c>
      <c r="S1884" t="str">
        <f>_xlfn.XLOOKUP(Orders[[#This Row],[ProductID]],Products[ProductID],Products[ProductName])</f>
        <v>Yoga Mat</v>
      </c>
      <c r="T1884" t="str">
        <f>_xlfn.XLOOKUP(Orders[[#This Row],[ProductID]],Products[ProductID],Products[Category])</f>
        <v>Gym</v>
      </c>
    </row>
    <row r="1885" spans="1:20" x14ac:dyDescent="0.25">
      <c r="A1885" s="4" t="s">
        <v>2074</v>
      </c>
      <c r="B1885" s="5">
        <v>45953</v>
      </c>
      <c r="C1885" s="15">
        <f>WEEKNUM(Orders[[#This Row],[OrderDate]])</f>
        <v>43</v>
      </c>
      <c r="D1885" s="15" t="str">
        <f>TEXT(Orders[[#This Row],[OrderDate]],"mmmm")</f>
        <v>October</v>
      </c>
      <c r="E1885" s="4" t="s">
        <v>154</v>
      </c>
      <c r="F1885" s="4" t="s">
        <v>23</v>
      </c>
      <c r="G1885" s="4">
        <v>8</v>
      </c>
      <c r="H1885" s="12">
        <v>16424.5</v>
      </c>
      <c r="I1885" s="13">
        <v>13960.825000000001</v>
      </c>
      <c r="J1885" s="13">
        <f>Orders[[#This Row],[Quantity]]*Orders[[#This Row],[Selling Price]]</f>
        <v>131396</v>
      </c>
      <c r="K1885" s="13">
        <f>Orders[[#This Row],[Quantity]]*Orders[[#This Row],[Cost Price]]</f>
        <v>111686.6</v>
      </c>
      <c r="L1885" s="13">
        <f>Orders[[#This Row],[Revenue]]-Orders[[#This Row],[Expenses]]</f>
        <v>19709.399999999994</v>
      </c>
      <c r="M1885" t="s">
        <v>2199</v>
      </c>
      <c r="N1885" t="str">
        <f>_xlfn.XLOOKUP(Orders[[#This Row],[CustomerID]],Customers[CustomerID],Customers[CustomerName])</f>
        <v>Ronke Danladi</v>
      </c>
      <c r="O1885" t="str">
        <f>_xlfn.XLOOKUP(Orders[[#This Row],[CustomerID]],Customers[CustomerID],Customers[City])</f>
        <v>Illinois</v>
      </c>
      <c r="P1885" t="str">
        <f>_xlfn.XLOOKUP(Orders[[#This Row],[CustomerID]],Customers[CustomerID],Customers[Gender])</f>
        <v>Female</v>
      </c>
      <c r="Q1885">
        <f>_xlfn.XLOOKUP(Orders[[#This Row],[CustomerID]],Customers[CustomerID],Customers[CustomerAge])</f>
        <v>46</v>
      </c>
      <c r="R1885" t="str">
        <f>IF(Orders[[#This Row],[CustomerAge]]&gt;=35, "Older", "Young")</f>
        <v>Older</v>
      </c>
      <c r="S1885" t="str">
        <f>_xlfn.XLOOKUP(Orders[[#This Row],[ProductID]],Products[ProductID],Products[ProductName])</f>
        <v>Gym Gloves</v>
      </c>
      <c r="T1885" t="str">
        <f>_xlfn.XLOOKUP(Orders[[#This Row],[ProductID]],Products[ProductID],Products[Category])</f>
        <v>Gym</v>
      </c>
    </row>
    <row r="1886" spans="1:20" x14ac:dyDescent="0.25">
      <c r="A1886" s="4" t="s">
        <v>2075</v>
      </c>
      <c r="B1886" s="5">
        <v>46017</v>
      </c>
      <c r="C1886" s="15">
        <f>WEEKNUM(Orders[[#This Row],[OrderDate]])</f>
        <v>52</v>
      </c>
      <c r="D1886" s="15" t="str">
        <f>TEXT(Orders[[#This Row],[OrderDate]],"mmmm")</f>
        <v>December</v>
      </c>
      <c r="E1886" s="4" t="s">
        <v>8</v>
      </c>
      <c r="F1886" s="4" t="s">
        <v>25</v>
      </c>
      <c r="G1886" s="4">
        <v>5</v>
      </c>
      <c r="H1886" s="12">
        <v>6719.2</v>
      </c>
      <c r="I1886" s="13">
        <v>5711.32</v>
      </c>
      <c r="J1886" s="13">
        <f>Orders[[#This Row],[Quantity]]*Orders[[#This Row],[Selling Price]]</f>
        <v>33596</v>
      </c>
      <c r="K1886" s="13">
        <f>Orders[[#This Row],[Quantity]]*Orders[[#This Row],[Cost Price]]</f>
        <v>28556.6</v>
      </c>
      <c r="L1886" s="13">
        <f>Orders[[#This Row],[Revenue]]-Orders[[#This Row],[Expenses]]</f>
        <v>5039.4000000000015</v>
      </c>
      <c r="M1886" t="s">
        <v>2192</v>
      </c>
      <c r="N1886" t="str">
        <f>_xlfn.XLOOKUP(Orders[[#This Row],[CustomerID]],Customers[CustomerID],Customers[CustomerName])</f>
        <v>Bi si Bello</v>
      </c>
      <c r="O1886" t="str">
        <f>_xlfn.XLOOKUP(Orders[[#This Row],[CustomerID]],Customers[CustomerID],Customers[City])</f>
        <v>Washington</v>
      </c>
      <c r="P1886" t="str">
        <f>_xlfn.XLOOKUP(Orders[[#This Row],[CustomerID]],Customers[CustomerID],Customers[Gender])</f>
        <v>Female</v>
      </c>
      <c r="Q1886">
        <f>_xlfn.XLOOKUP(Orders[[#This Row],[CustomerID]],Customers[CustomerID],Customers[CustomerAge])</f>
        <v>38</v>
      </c>
      <c r="R1886" t="str">
        <f>IF(Orders[[#This Row],[CustomerAge]]&gt;=35, "Older", "Young")</f>
        <v>Older</v>
      </c>
      <c r="S1886" t="str">
        <f>_xlfn.XLOOKUP(Orders[[#This Row],[ProductID]],Products[ProductID],Products[ProductName])</f>
        <v>Gold Rings</v>
      </c>
      <c r="T1886" t="str">
        <f>_xlfn.XLOOKUP(Orders[[#This Row],[ProductID]],Products[ProductID],Products[Category])</f>
        <v>Accessories</v>
      </c>
    </row>
    <row r="1887" spans="1:20" x14ac:dyDescent="0.25">
      <c r="A1887" s="4" t="s">
        <v>2076</v>
      </c>
      <c r="B1887" s="5">
        <v>45986</v>
      </c>
      <c r="C1887" s="15">
        <f>WEEKNUM(Orders[[#This Row],[OrderDate]])</f>
        <v>48</v>
      </c>
      <c r="D1887" s="15" t="str">
        <f>TEXT(Orders[[#This Row],[OrderDate]],"mmmm")</f>
        <v>November</v>
      </c>
      <c r="E1887" s="4" t="s">
        <v>182</v>
      </c>
      <c r="F1887" s="4" t="s">
        <v>31</v>
      </c>
      <c r="G1887" s="4">
        <v>10</v>
      </c>
      <c r="H1887" s="12">
        <v>13252.8</v>
      </c>
      <c r="I1887" s="13">
        <v>11264.88</v>
      </c>
      <c r="J1887" s="13">
        <f>Orders[[#This Row],[Quantity]]*Orders[[#This Row],[Selling Price]]</f>
        <v>132528</v>
      </c>
      <c r="K1887" s="13">
        <f>Orders[[#This Row],[Quantity]]*Orders[[#This Row],[Cost Price]]</f>
        <v>112648.79999999999</v>
      </c>
      <c r="L1887" s="13">
        <f>Orders[[#This Row],[Revenue]]-Orders[[#This Row],[Expenses]]</f>
        <v>19879.200000000012</v>
      </c>
      <c r="M1887" t="s">
        <v>2209</v>
      </c>
      <c r="N1887" t="str">
        <f>_xlfn.XLOOKUP(Orders[[#This Row],[CustomerID]],Customers[CustomerID],Customers[CustomerName])</f>
        <v>Abiola Okonkwo</v>
      </c>
      <c r="O1887" t="str">
        <f>_xlfn.XLOOKUP(Orders[[#This Row],[CustomerID]],Customers[CustomerID],Customers[City])</f>
        <v>Georgia</v>
      </c>
      <c r="P1887" t="str">
        <f>_xlfn.XLOOKUP(Orders[[#This Row],[CustomerID]],Customers[CustomerID],Customers[Gender])</f>
        <v>Male</v>
      </c>
      <c r="Q1887">
        <f>_xlfn.XLOOKUP(Orders[[#This Row],[CustomerID]],Customers[CustomerID],Customers[CustomerAge])</f>
        <v>39</v>
      </c>
      <c r="R1887" t="str">
        <f>IF(Orders[[#This Row],[CustomerAge]]&gt;=35, "Older", "Young")</f>
        <v>Older</v>
      </c>
      <c r="S1887" t="str">
        <f>_xlfn.XLOOKUP(Orders[[#This Row],[ProductID]],Products[ProductID],Products[ProductName])</f>
        <v>Kids Games</v>
      </c>
      <c r="T1887" t="str">
        <f>_xlfn.XLOOKUP(Orders[[#This Row],[ProductID]],Products[ProductID],Products[Category])</f>
        <v>Games</v>
      </c>
    </row>
    <row r="1888" spans="1:20" x14ac:dyDescent="0.25">
      <c r="A1888" s="4" t="s">
        <v>2077</v>
      </c>
      <c r="B1888" s="5">
        <v>45935</v>
      </c>
      <c r="C1888" s="15">
        <f>WEEKNUM(Orders[[#This Row],[OrderDate]])</f>
        <v>41</v>
      </c>
      <c r="D1888" s="15" t="str">
        <f>TEXT(Orders[[#This Row],[OrderDate]],"mmmm")</f>
        <v>October</v>
      </c>
      <c r="E1888" s="4" t="s">
        <v>275</v>
      </c>
      <c r="F1888" s="4" t="s">
        <v>63</v>
      </c>
      <c r="G1888" s="4">
        <v>2</v>
      </c>
      <c r="H1888" s="12">
        <v>12147.9</v>
      </c>
      <c r="I1888" s="13">
        <v>10325.715</v>
      </c>
      <c r="J1888" s="13">
        <f>Orders[[#This Row],[Quantity]]*Orders[[#This Row],[Selling Price]]</f>
        <v>24295.8</v>
      </c>
      <c r="K1888" s="13">
        <f>Orders[[#This Row],[Quantity]]*Orders[[#This Row],[Cost Price]]</f>
        <v>20651.43</v>
      </c>
      <c r="L1888" s="13">
        <f>Orders[[#This Row],[Revenue]]-Orders[[#This Row],[Expenses]]</f>
        <v>3644.369999999999</v>
      </c>
      <c r="M1888" t="s">
        <v>2213</v>
      </c>
      <c r="N1888" t="str">
        <f>_xlfn.XLOOKUP(Orders[[#This Row],[CustomerID]],Customers[CustomerID],Customers[CustomerName])</f>
        <v>Ngozi Danladi</v>
      </c>
      <c r="O1888" t="str">
        <f>_xlfn.XLOOKUP(Orders[[#This Row],[CustomerID]],Customers[CustomerID],Customers[City])</f>
        <v>Texas</v>
      </c>
      <c r="P1888" t="str">
        <f>_xlfn.XLOOKUP(Orders[[#This Row],[CustomerID]],Customers[CustomerID],Customers[Gender])</f>
        <v>Female</v>
      </c>
      <c r="Q1888">
        <f>_xlfn.XLOOKUP(Orders[[#This Row],[CustomerID]],Customers[CustomerID],Customers[CustomerAge])</f>
        <v>25</v>
      </c>
      <c r="R1888" t="str">
        <f>IF(Orders[[#This Row],[CustomerAge]]&gt;=35, "Older", "Young")</f>
        <v>Young</v>
      </c>
      <c r="S1888" t="str">
        <f>_xlfn.XLOOKUP(Orders[[#This Row],[ProductID]],Products[ProductID],Products[ProductName])</f>
        <v>Tennis Bat</v>
      </c>
      <c r="T1888" t="str">
        <f>_xlfn.XLOOKUP(Orders[[#This Row],[ProductID]],Products[ProductID],Products[Category])</f>
        <v>Sports</v>
      </c>
    </row>
    <row r="1889" spans="1:20" x14ac:dyDescent="0.25">
      <c r="A1889" s="4" t="s">
        <v>2078</v>
      </c>
      <c r="B1889" s="5">
        <v>45950</v>
      </c>
      <c r="C1889" s="15">
        <f>WEEKNUM(Orders[[#This Row],[OrderDate]])</f>
        <v>43</v>
      </c>
      <c r="D1889" s="15" t="str">
        <f>TEXT(Orders[[#This Row],[OrderDate]],"mmmm")</f>
        <v>October</v>
      </c>
      <c r="E1889" s="4" t="s">
        <v>524</v>
      </c>
      <c r="F1889" s="4" t="s">
        <v>37</v>
      </c>
      <c r="G1889" s="4">
        <v>5</v>
      </c>
      <c r="H1889" s="12">
        <v>15509.400000000001</v>
      </c>
      <c r="I1889" s="13">
        <v>13182.990000000002</v>
      </c>
      <c r="J1889" s="13">
        <f>Orders[[#This Row],[Quantity]]*Orders[[#This Row],[Selling Price]]</f>
        <v>77547</v>
      </c>
      <c r="K1889" s="13">
        <f>Orders[[#This Row],[Quantity]]*Orders[[#This Row],[Cost Price]]</f>
        <v>65914.950000000012</v>
      </c>
      <c r="L1889" s="13">
        <f>Orders[[#This Row],[Revenue]]-Orders[[#This Row],[Expenses]]</f>
        <v>11632.049999999988</v>
      </c>
      <c r="M1889" t="s">
        <v>2216</v>
      </c>
      <c r="N1889" t="str">
        <f>_xlfn.XLOOKUP(Orders[[#This Row],[CustomerID]],Customers[CustomerID],Customers[CustomerName])</f>
        <v>Chinedu Igwe</v>
      </c>
      <c r="O1889" t="str">
        <f>_xlfn.XLOOKUP(Orders[[#This Row],[CustomerID]],Customers[CustomerID],Customers[City])</f>
        <v>Florida</v>
      </c>
      <c r="P1889" t="str">
        <f>_xlfn.XLOOKUP(Orders[[#This Row],[CustomerID]],Customers[CustomerID],Customers[Gender])</f>
        <v>Male</v>
      </c>
      <c r="Q1889">
        <f>_xlfn.XLOOKUP(Orders[[#This Row],[CustomerID]],Customers[CustomerID],Customers[CustomerAge])</f>
        <v>21</v>
      </c>
      <c r="R1889" t="str">
        <f>IF(Orders[[#This Row],[CustomerAge]]&gt;=35, "Older", "Young")</f>
        <v>Young</v>
      </c>
      <c r="S1889" t="str">
        <f>_xlfn.XLOOKUP(Orders[[#This Row],[ProductID]],Products[ProductID],Products[ProductName])</f>
        <v>Iron</v>
      </c>
      <c r="T1889" t="str">
        <f>_xlfn.XLOOKUP(Orders[[#This Row],[ProductID]],Products[ProductID],Products[Category])</f>
        <v>Electronics</v>
      </c>
    </row>
    <row r="1890" spans="1:20" x14ac:dyDescent="0.25">
      <c r="A1890" s="4" t="s">
        <v>2079</v>
      </c>
      <c r="B1890" s="5">
        <v>45955</v>
      </c>
      <c r="C1890" s="15">
        <f>WEEKNUM(Orders[[#This Row],[OrderDate]])</f>
        <v>43</v>
      </c>
      <c r="D1890" s="15" t="str">
        <f>TEXT(Orders[[#This Row],[OrderDate]],"mmmm")</f>
        <v>October</v>
      </c>
      <c r="E1890" s="4" t="s">
        <v>210</v>
      </c>
      <c r="F1890" s="4" t="s">
        <v>57</v>
      </c>
      <c r="G1890" s="4">
        <v>6</v>
      </c>
      <c r="H1890" s="12">
        <v>1647.5</v>
      </c>
      <c r="I1890" s="13">
        <v>1400.375</v>
      </c>
      <c r="J1890" s="13">
        <f>Orders[[#This Row],[Quantity]]*Orders[[#This Row],[Selling Price]]</f>
        <v>9885</v>
      </c>
      <c r="K1890" s="13">
        <f>Orders[[#This Row],[Quantity]]*Orders[[#This Row],[Cost Price]]</f>
        <v>8402.25</v>
      </c>
      <c r="L1890" s="13">
        <f>Orders[[#This Row],[Revenue]]-Orders[[#This Row],[Expenses]]</f>
        <v>1482.75</v>
      </c>
      <c r="M1890" t="s">
        <v>2203</v>
      </c>
      <c r="N1890" t="str">
        <f>_xlfn.XLOOKUP(Orders[[#This Row],[CustomerID]],Customers[CustomerID],Customers[CustomerName])</f>
        <v>Zainab Bello</v>
      </c>
      <c r="O1890" t="str">
        <f>_xlfn.XLOOKUP(Orders[[#This Row],[CustomerID]],Customers[CustomerID],Customers[City])</f>
        <v>Illinois</v>
      </c>
      <c r="P1890" t="str">
        <f>_xlfn.XLOOKUP(Orders[[#This Row],[CustomerID]],Customers[CustomerID],Customers[Gender])</f>
        <v>Female</v>
      </c>
      <c r="Q1890">
        <f>_xlfn.XLOOKUP(Orders[[#This Row],[CustomerID]],Customers[CustomerID],Customers[CustomerAge])</f>
        <v>27</v>
      </c>
      <c r="R1890" t="str">
        <f>IF(Orders[[#This Row],[CustomerAge]]&gt;=35, "Older", "Young")</f>
        <v>Young</v>
      </c>
      <c r="S1890" t="str">
        <f>_xlfn.XLOOKUP(Orders[[#This Row],[ProductID]],Products[ProductID],Products[ProductName])</f>
        <v>Badminton Racket</v>
      </c>
      <c r="T1890" t="str">
        <f>_xlfn.XLOOKUP(Orders[[#This Row],[ProductID]],Products[ProductID],Products[Category])</f>
        <v>Sports</v>
      </c>
    </row>
    <row r="1891" spans="1:20" x14ac:dyDescent="0.25">
      <c r="A1891" s="4" t="s">
        <v>2080</v>
      </c>
      <c r="B1891" s="5">
        <v>45979</v>
      </c>
      <c r="C1891" s="15">
        <f>WEEKNUM(Orders[[#This Row],[OrderDate]])</f>
        <v>47</v>
      </c>
      <c r="D1891" s="15" t="str">
        <f>TEXT(Orders[[#This Row],[OrderDate]],"mmmm")</f>
        <v>November</v>
      </c>
      <c r="E1891" s="4" t="s">
        <v>605</v>
      </c>
      <c r="F1891" s="4" t="s">
        <v>31</v>
      </c>
      <c r="G1891" s="4">
        <v>4</v>
      </c>
      <c r="H1891" s="12">
        <v>3904.2000000000003</v>
      </c>
      <c r="I1891" s="13">
        <v>3318.57</v>
      </c>
      <c r="J1891" s="13">
        <f>Orders[[#This Row],[Quantity]]*Orders[[#This Row],[Selling Price]]</f>
        <v>15616.800000000001</v>
      </c>
      <c r="K1891" s="13">
        <f>Orders[[#This Row],[Quantity]]*Orders[[#This Row],[Cost Price]]</f>
        <v>13274.28</v>
      </c>
      <c r="L1891" s="13">
        <f>Orders[[#This Row],[Revenue]]-Orders[[#This Row],[Expenses]]</f>
        <v>2342.5200000000004</v>
      </c>
      <c r="M1891" t="s">
        <v>2200</v>
      </c>
      <c r="N1891" t="str">
        <f>_xlfn.XLOOKUP(Orders[[#This Row],[CustomerID]],Customers[CustomerID],Customers[CustomerName])</f>
        <v>Blessing Abubakar</v>
      </c>
      <c r="O1891" t="str">
        <f>_xlfn.XLOOKUP(Orders[[#This Row],[CustomerID]],Customers[CustomerID],Customers[City])</f>
        <v>Texas</v>
      </c>
      <c r="P1891" t="str">
        <f>_xlfn.XLOOKUP(Orders[[#This Row],[CustomerID]],Customers[CustomerID],Customers[Gender])</f>
        <v>Female</v>
      </c>
      <c r="Q1891">
        <f>_xlfn.XLOOKUP(Orders[[#This Row],[CustomerID]],Customers[CustomerID],Customers[CustomerAge])</f>
        <v>44</v>
      </c>
      <c r="R1891" t="str">
        <f>IF(Orders[[#This Row],[CustomerAge]]&gt;=35, "Older", "Young")</f>
        <v>Older</v>
      </c>
      <c r="S1891" t="str">
        <f>_xlfn.XLOOKUP(Orders[[#This Row],[ProductID]],Products[ProductID],Products[ProductName])</f>
        <v>Kids Games</v>
      </c>
      <c r="T1891" t="str">
        <f>_xlfn.XLOOKUP(Orders[[#This Row],[ProductID]],Products[ProductID],Products[Category])</f>
        <v>Games</v>
      </c>
    </row>
    <row r="1892" spans="1:20" x14ac:dyDescent="0.25">
      <c r="A1892" s="4" t="s">
        <v>2081</v>
      </c>
      <c r="B1892" s="5">
        <v>45989</v>
      </c>
      <c r="C1892" s="15">
        <f>WEEKNUM(Orders[[#This Row],[OrderDate]])</f>
        <v>48</v>
      </c>
      <c r="D1892" s="15" t="str">
        <f>TEXT(Orders[[#This Row],[OrderDate]],"mmmm")</f>
        <v>November</v>
      </c>
      <c r="E1892" s="4" t="s">
        <v>14</v>
      </c>
      <c r="F1892" s="4" t="s">
        <v>25</v>
      </c>
      <c r="G1892" s="4">
        <v>5</v>
      </c>
      <c r="H1892" s="12">
        <v>14747.1</v>
      </c>
      <c r="I1892" s="13">
        <v>12535.035</v>
      </c>
      <c r="J1892" s="13">
        <f>Orders[[#This Row],[Quantity]]*Orders[[#This Row],[Selling Price]]</f>
        <v>73735.5</v>
      </c>
      <c r="K1892" s="13">
        <f>Orders[[#This Row],[Quantity]]*Orders[[#This Row],[Cost Price]]</f>
        <v>62675.175000000003</v>
      </c>
      <c r="L1892" s="13">
        <f>Orders[[#This Row],[Revenue]]-Orders[[#This Row],[Expenses]]</f>
        <v>11060.324999999997</v>
      </c>
      <c r="M1892" t="s">
        <v>2209</v>
      </c>
      <c r="N1892" t="str">
        <f>_xlfn.XLOOKUP(Orders[[#This Row],[CustomerID]],Customers[CustomerID],Customers[CustomerName])</f>
        <v>Abiola Igwe</v>
      </c>
      <c r="O1892" t="str">
        <f>_xlfn.XLOOKUP(Orders[[#This Row],[CustomerID]],Customers[CustomerID],Customers[City])</f>
        <v>Texas</v>
      </c>
      <c r="P1892" t="str">
        <f>_xlfn.XLOOKUP(Orders[[#This Row],[CustomerID]],Customers[CustomerID],Customers[Gender])</f>
        <v>Male</v>
      </c>
      <c r="Q1892">
        <f>_xlfn.XLOOKUP(Orders[[#This Row],[CustomerID]],Customers[CustomerID],Customers[CustomerAge])</f>
        <v>39</v>
      </c>
      <c r="R1892" t="str">
        <f>IF(Orders[[#This Row],[CustomerAge]]&gt;=35, "Older", "Young")</f>
        <v>Older</v>
      </c>
      <c r="S1892" t="str">
        <f>_xlfn.XLOOKUP(Orders[[#This Row],[ProductID]],Products[ProductID],Products[ProductName])</f>
        <v>Gold Rings</v>
      </c>
      <c r="T1892" t="str">
        <f>_xlfn.XLOOKUP(Orders[[#This Row],[ProductID]],Products[ProductID],Products[Category])</f>
        <v>Accessories</v>
      </c>
    </row>
    <row r="1893" spans="1:20" x14ac:dyDescent="0.25">
      <c r="A1893" s="4" t="s">
        <v>2082</v>
      </c>
      <c r="B1893" s="5">
        <v>46006</v>
      </c>
      <c r="C1893" s="15">
        <f>WEEKNUM(Orders[[#This Row],[OrderDate]])</f>
        <v>51</v>
      </c>
      <c r="D1893" s="15" t="str">
        <f>TEXT(Orders[[#This Row],[OrderDate]],"mmmm")</f>
        <v>December</v>
      </c>
      <c r="E1893" s="4" t="s">
        <v>36</v>
      </c>
      <c r="F1893" s="4" t="s">
        <v>120</v>
      </c>
      <c r="G1893" s="4">
        <v>6</v>
      </c>
      <c r="H1893" s="12">
        <v>19398.699999999997</v>
      </c>
      <c r="I1893" s="13">
        <v>16488.894999999997</v>
      </c>
      <c r="J1893" s="13">
        <f>Orders[[#This Row],[Quantity]]*Orders[[#This Row],[Selling Price]]</f>
        <v>116392.19999999998</v>
      </c>
      <c r="K1893" s="13">
        <f>Orders[[#This Row],[Quantity]]*Orders[[#This Row],[Cost Price]]</f>
        <v>98933.369999999981</v>
      </c>
      <c r="L1893" s="13">
        <f>Orders[[#This Row],[Revenue]]-Orders[[#This Row],[Expenses]]</f>
        <v>17458.830000000002</v>
      </c>
      <c r="M1893" t="s">
        <v>2210</v>
      </c>
      <c r="N1893" t="str">
        <f>_xlfn.XLOOKUP(Orders[[#This Row],[CustomerID]],Customers[CustomerID],Customers[CustomerName])</f>
        <v>Jide Eze</v>
      </c>
      <c r="O1893" t="str">
        <f>_xlfn.XLOOKUP(Orders[[#This Row],[CustomerID]],Customers[CustomerID],Customers[City])</f>
        <v>California</v>
      </c>
      <c r="P1893" t="str">
        <f>_xlfn.XLOOKUP(Orders[[#This Row],[CustomerID]],Customers[CustomerID],Customers[Gender])</f>
        <v>Male</v>
      </c>
      <c r="Q1893">
        <f>_xlfn.XLOOKUP(Orders[[#This Row],[CustomerID]],Customers[CustomerID],Customers[CustomerAge])</f>
        <v>21</v>
      </c>
      <c r="R1893" t="str">
        <f>IF(Orders[[#This Row],[CustomerAge]]&gt;=35, "Older", "Young")</f>
        <v>Young</v>
      </c>
      <c r="S1893" t="str">
        <f>_xlfn.XLOOKUP(Orders[[#This Row],[ProductID]],Products[ProductID],Products[ProductName])</f>
        <v>Chess</v>
      </c>
      <c r="T1893" t="str">
        <f>_xlfn.XLOOKUP(Orders[[#This Row],[ProductID]],Products[ProductID],Products[Category])</f>
        <v>Games</v>
      </c>
    </row>
    <row r="1894" spans="1:20" x14ac:dyDescent="0.25">
      <c r="A1894" s="4" t="s">
        <v>2083</v>
      </c>
      <c r="B1894" s="5">
        <v>46016</v>
      </c>
      <c r="C1894" s="15">
        <f>WEEKNUM(Orders[[#This Row],[OrderDate]])</f>
        <v>52</v>
      </c>
      <c r="D1894" s="15" t="str">
        <f>TEXT(Orders[[#This Row],[OrderDate]],"mmmm")</f>
        <v>December</v>
      </c>
      <c r="E1894" s="4" t="s">
        <v>596</v>
      </c>
      <c r="F1894" s="4" t="s">
        <v>34</v>
      </c>
      <c r="G1894" s="4">
        <v>9</v>
      </c>
      <c r="H1894" s="12">
        <v>6682.5</v>
      </c>
      <c r="I1894" s="13">
        <v>5680.125</v>
      </c>
      <c r="J1894" s="13">
        <f>Orders[[#This Row],[Quantity]]*Orders[[#This Row],[Selling Price]]</f>
        <v>60142.5</v>
      </c>
      <c r="K1894" s="13">
        <f>Orders[[#This Row],[Quantity]]*Orders[[#This Row],[Cost Price]]</f>
        <v>51121.125</v>
      </c>
      <c r="L1894" s="13">
        <f>Orders[[#This Row],[Revenue]]-Orders[[#This Row],[Expenses]]</f>
        <v>9021.375</v>
      </c>
      <c r="M1894" t="s">
        <v>2205</v>
      </c>
      <c r="N1894" t="str">
        <f>_xlfn.XLOOKUP(Orders[[#This Row],[CustomerID]],Customers[CustomerID],Customers[CustomerName])</f>
        <v>Blessing Balogun</v>
      </c>
      <c r="O1894" t="str">
        <f>_xlfn.XLOOKUP(Orders[[#This Row],[CustomerID]],Customers[CustomerID],Customers[City])</f>
        <v>Texas</v>
      </c>
      <c r="P1894" t="str">
        <f>_xlfn.XLOOKUP(Orders[[#This Row],[CustomerID]],Customers[CustomerID],Customers[Gender])</f>
        <v>Female</v>
      </c>
      <c r="Q1894">
        <f>_xlfn.XLOOKUP(Orders[[#This Row],[CustomerID]],Customers[CustomerID],Customers[CustomerAge])</f>
        <v>26</v>
      </c>
      <c r="R1894" t="str">
        <f>IF(Orders[[#This Row],[CustomerAge]]&gt;=35, "Older", "Young")</f>
        <v>Young</v>
      </c>
      <c r="S1894" t="str">
        <f>_xlfn.XLOOKUP(Orders[[#This Row],[ProductID]],Products[ProductID],Products[ProductName])</f>
        <v>Gold Bracelets</v>
      </c>
      <c r="T1894" t="str">
        <f>_xlfn.XLOOKUP(Orders[[#This Row],[ProductID]],Products[ProductID],Products[Category])</f>
        <v>Accessories</v>
      </c>
    </row>
    <row r="1895" spans="1:20" x14ac:dyDescent="0.25">
      <c r="A1895" s="4" t="s">
        <v>2084</v>
      </c>
      <c r="B1895" s="5">
        <v>45947</v>
      </c>
      <c r="C1895" s="15">
        <f>WEEKNUM(Orders[[#This Row],[OrderDate]])</f>
        <v>42</v>
      </c>
      <c r="D1895" s="15" t="str">
        <f>TEXT(Orders[[#This Row],[OrderDate]],"mmmm")</f>
        <v>October</v>
      </c>
      <c r="E1895" s="4" t="s">
        <v>444</v>
      </c>
      <c r="F1895" s="4" t="s">
        <v>23</v>
      </c>
      <c r="G1895" s="4">
        <v>6</v>
      </c>
      <c r="H1895" s="12">
        <v>10317.700000000001</v>
      </c>
      <c r="I1895" s="13">
        <v>8770.0450000000001</v>
      </c>
      <c r="J1895" s="13">
        <f>Orders[[#This Row],[Quantity]]*Orders[[#This Row],[Selling Price]]</f>
        <v>61906.200000000004</v>
      </c>
      <c r="K1895" s="13">
        <f>Orders[[#This Row],[Quantity]]*Orders[[#This Row],[Cost Price]]</f>
        <v>52620.270000000004</v>
      </c>
      <c r="L1895" s="13">
        <f>Orders[[#This Row],[Revenue]]-Orders[[#This Row],[Expenses]]</f>
        <v>9285.93</v>
      </c>
      <c r="M1895" t="s">
        <v>2211</v>
      </c>
      <c r="N1895" t="str">
        <f>_xlfn.XLOOKUP(Orders[[#This Row],[CustomerID]],Customers[CustomerID],Customers[CustomerName])</f>
        <v>Blessing Eze</v>
      </c>
      <c r="O1895" t="str">
        <f>_xlfn.XLOOKUP(Orders[[#This Row],[CustomerID]],Customers[CustomerID],Customers[City])</f>
        <v>Texas</v>
      </c>
      <c r="P1895" t="str">
        <f>_xlfn.XLOOKUP(Orders[[#This Row],[CustomerID]],Customers[CustomerID],Customers[Gender])</f>
        <v>Female</v>
      </c>
      <c r="Q1895">
        <f>_xlfn.XLOOKUP(Orders[[#This Row],[CustomerID]],Customers[CustomerID],Customers[CustomerAge])</f>
        <v>24</v>
      </c>
      <c r="R1895" t="str">
        <f>IF(Orders[[#This Row],[CustomerAge]]&gt;=35, "Older", "Young")</f>
        <v>Young</v>
      </c>
      <c r="S1895" t="str">
        <f>_xlfn.XLOOKUP(Orders[[#This Row],[ProductID]],Products[ProductID],Products[ProductName])</f>
        <v>Gym Gloves</v>
      </c>
      <c r="T1895" t="str">
        <f>_xlfn.XLOOKUP(Orders[[#This Row],[ProductID]],Products[ProductID],Products[Category])</f>
        <v>Gym</v>
      </c>
    </row>
    <row r="1896" spans="1:20" x14ac:dyDescent="0.25">
      <c r="A1896" s="4" t="s">
        <v>2085</v>
      </c>
      <c r="B1896" s="5">
        <v>45994</v>
      </c>
      <c r="C1896" s="15">
        <f>WEEKNUM(Orders[[#This Row],[OrderDate]])</f>
        <v>49</v>
      </c>
      <c r="D1896" s="15" t="str">
        <f>TEXT(Orders[[#This Row],[OrderDate]],"mmmm")</f>
        <v>December</v>
      </c>
      <c r="E1896" s="4" t="s">
        <v>282</v>
      </c>
      <c r="F1896" s="4" t="s">
        <v>25</v>
      </c>
      <c r="G1896" s="4">
        <v>10</v>
      </c>
      <c r="H1896" s="12">
        <v>11089</v>
      </c>
      <c r="I1896" s="13">
        <v>9425.65</v>
      </c>
      <c r="J1896" s="13">
        <f>Orders[[#This Row],[Quantity]]*Orders[[#This Row],[Selling Price]]</f>
        <v>110890</v>
      </c>
      <c r="K1896" s="13">
        <f>Orders[[#This Row],[Quantity]]*Orders[[#This Row],[Cost Price]]</f>
        <v>94256.5</v>
      </c>
      <c r="L1896" s="13">
        <f>Orders[[#This Row],[Revenue]]-Orders[[#This Row],[Expenses]]</f>
        <v>16633.5</v>
      </c>
      <c r="M1896" t="s">
        <v>2195</v>
      </c>
      <c r="N1896" t="str">
        <f>_xlfn.XLOOKUP(Orders[[#This Row],[CustomerID]],Customers[CustomerID],Customers[CustomerName])</f>
        <v>Bisi Ojo</v>
      </c>
      <c r="O1896" t="str">
        <f>_xlfn.XLOOKUP(Orders[[#This Row],[CustomerID]],Customers[CustomerID],Customers[City])</f>
        <v>Texas</v>
      </c>
      <c r="P1896" t="str">
        <f>_xlfn.XLOOKUP(Orders[[#This Row],[CustomerID]],Customers[CustomerID],Customers[Gender])</f>
        <v>Female</v>
      </c>
      <c r="Q1896">
        <f>_xlfn.XLOOKUP(Orders[[#This Row],[CustomerID]],Customers[CustomerID],Customers[CustomerAge])</f>
        <v>26</v>
      </c>
      <c r="R1896" t="str">
        <f>IF(Orders[[#This Row],[CustomerAge]]&gt;=35, "Older", "Young")</f>
        <v>Young</v>
      </c>
      <c r="S1896" t="str">
        <f>_xlfn.XLOOKUP(Orders[[#This Row],[ProductID]],Products[ProductID],Products[ProductName])</f>
        <v>Gold Rings</v>
      </c>
      <c r="T1896" t="str">
        <f>_xlfn.XLOOKUP(Orders[[#This Row],[ProductID]],Products[ProductID],Products[Category])</f>
        <v>Accessories</v>
      </c>
    </row>
    <row r="1897" spans="1:20" x14ac:dyDescent="0.25">
      <c r="A1897" s="4" t="s">
        <v>2086</v>
      </c>
      <c r="B1897" s="5">
        <v>45998</v>
      </c>
      <c r="C1897" s="15">
        <f>WEEKNUM(Orders[[#This Row],[OrderDate]])</f>
        <v>50</v>
      </c>
      <c r="D1897" s="15" t="str">
        <f>TEXT(Orders[[#This Row],[OrderDate]],"mmmm")</f>
        <v>December</v>
      </c>
      <c r="E1897" s="4" t="s">
        <v>256</v>
      </c>
      <c r="F1897" s="4" t="s">
        <v>37</v>
      </c>
      <c r="G1897" s="4">
        <v>2</v>
      </c>
      <c r="H1897" s="12">
        <v>16729.7</v>
      </c>
      <c r="I1897" s="13">
        <v>14220.245000000001</v>
      </c>
      <c r="J1897" s="13">
        <f>Orders[[#This Row],[Quantity]]*Orders[[#This Row],[Selling Price]]</f>
        <v>33459.4</v>
      </c>
      <c r="K1897" s="13">
        <f>Orders[[#This Row],[Quantity]]*Orders[[#This Row],[Cost Price]]</f>
        <v>28440.49</v>
      </c>
      <c r="L1897" s="13">
        <f>Orders[[#This Row],[Revenue]]-Orders[[#This Row],[Expenses]]</f>
        <v>5018.91</v>
      </c>
      <c r="M1897" t="s">
        <v>2192</v>
      </c>
      <c r="N1897" t="str">
        <f>_xlfn.XLOOKUP(Orders[[#This Row],[CustomerID]],Customers[CustomerID],Customers[CustomerName])</f>
        <v>Efe Ojo</v>
      </c>
      <c r="O1897" t="str">
        <f>_xlfn.XLOOKUP(Orders[[#This Row],[CustomerID]],Customers[CustomerID],Customers[City])</f>
        <v>Georgia</v>
      </c>
      <c r="P1897" t="str">
        <f>_xlfn.XLOOKUP(Orders[[#This Row],[CustomerID]],Customers[CustomerID],Customers[Gender])</f>
        <v>Female</v>
      </c>
      <c r="Q1897">
        <f>_xlfn.XLOOKUP(Orders[[#This Row],[CustomerID]],Customers[CustomerID],Customers[CustomerAge])</f>
        <v>23</v>
      </c>
      <c r="R1897" t="str">
        <f>IF(Orders[[#This Row],[CustomerAge]]&gt;=35, "Older", "Young")</f>
        <v>Young</v>
      </c>
      <c r="S1897" t="str">
        <f>_xlfn.XLOOKUP(Orders[[#This Row],[ProductID]],Products[ProductID],Products[ProductName])</f>
        <v>Iron</v>
      </c>
      <c r="T1897" t="str">
        <f>_xlfn.XLOOKUP(Orders[[#This Row],[ProductID]],Products[ProductID],Products[Category])</f>
        <v>Electronics</v>
      </c>
    </row>
    <row r="1898" spans="1:20" x14ac:dyDescent="0.25">
      <c r="A1898" s="4" t="s">
        <v>2087</v>
      </c>
      <c r="B1898" s="5">
        <v>46006</v>
      </c>
      <c r="C1898" s="15">
        <f>WEEKNUM(Orders[[#This Row],[OrderDate]])</f>
        <v>51</v>
      </c>
      <c r="D1898" s="15" t="str">
        <f>TEXT(Orders[[#This Row],[OrderDate]],"mmmm")</f>
        <v>December</v>
      </c>
      <c r="E1898" s="4" t="s">
        <v>205</v>
      </c>
      <c r="F1898" s="4" t="s">
        <v>111</v>
      </c>
      <c r="G1898" s="4">
        <v>1</v>
      </c>
      <c r="H1898" s="12">
        <v>9660.9</v>
      </c>
      <c r="I1898" s="13">
        <v>8211.7649999999994</v>
      </c>
      <c r="J1898" s="13">
        <f>Orders[[#This Row],[Quantity]]*Orders[[#This Row],[Selling Price]]</f>
        <v>9660.9</v>
      </c>
      <c r="K1898" s="13">
        <f>Orders[[#This Row],[Quantity]]*Orders[[#This Row],[Cost Price]]</f>
        <v>8211.7649999999994</v>
      </c>
      <c r="L1898" s="13">
        <f>Orders[[#This Row],[Revenue]]-Orders[[#This Row],[Expenses]]</f>
        <v>1449.1350000000002</v>
      </c>
      <c r="M1898" t="s">
        <v>2195</v>
      </c>
      <c r="N1898" t="str">
        <f>_xlfn.XLOOKUP(Orders[[#This Row],[CustomerID]],Customers[CustomerID],Customers[CustomerName])</f>
        <v>Jide Adeyemi</v>
      </c>
      <c r="O1898" t="str">
        <f>_xlfn.XLOOKUP(Orders[[#This Row],[CustomerID]],Customers[CustomerID],Customers[City])</f>
        <v>Washington</v>
      </c>
      <c r="P1898" t="str">
        <f>_xlfn.XLOOKUP(Orders[[#This Row],[CustomerID]],Customers[CustomerID],Customers[Gender])</f>
        <v>Male</v>
      </c>
      <c r="Q1898">
        <f>_xlfn.XLOOKUP(Orders[[#This Row],[CustomerID]],Customers[CustomerID],Customers[CustomerAge])</f>
        <v>19</v>
      </c>
      <c r="R1898" t="str">
        <f>IF(Orders[[#This Row],[CustomerAge]]&gt;=35, "Older", "Young")</f>
        <v>Young</v>
      </c>
      <c r="S1898" t="str">
        <f>_xlfn.XLOOKUP(Orders[[#This Row],[ProductID]],Products[ProductID],Products[ProductName])</f>
        <v>Refrigerator</v>
      </c>
      <c r="T1898" t="str">
        <f>_xlfn.XLOOKUP(Orders[[#This Row],[ProductID]],Products[ProductID],Products[Category])</f>
        <v>Electronics</v>
      </c>
    </row>
    <row r="1899" spans="1:20" x14ac:dyDescent="0.25">
      <c r="A1899" s="4" t="s">
        <v>2088</v>
      </c>
      <c r="B1899" s="5">
        <v>45977</v>
      </c>
      <c r="C1899" s="15">
        <f>WEEKNUM(Orders[[#This Row],[OrderDate]])</f>
        <v>47</v>
      </c>
      <c r="D1899" s="15" t="str">
        <f>TEXT(Orders[[#This Row],[OrderDate]],"mmmm")</f>
        <v>November</v>
      </c>
      <c r="E1899" s="4" t="s">
        <v>163</v>
      </c>
      <c r="F1899" s="4" t="s">
        <v>57</v>
      </c>
      <c r="G1899" s="4">
        <v>10</v>
      </c>
      <c r="H1899" s="12">
        <v>14186.6</v>
      </c>
      <c r="I1899" s="13">
        <v>12058.61</v>
      </c>
      <c r="J1899" s="13">
        <f>Orders[[#This Row],[Quantity]]*Orders[[#This Row],[Selling Price]]</f>
        <v>141866</v>
      </c>
      <c r="K1899" s="13">
        <f>Orders[[#This Row],[Quantity]]*Orders[[#This Row],[Cost Price]]</f>
        <v>120586.1</v>
      </c>
      <c r="L1899" s="13">
        <f>Orders[[#This Row],[Revenue]]-Orders[[#This Row],[Expenses]]</f>
        <v>21279.899999999994</v>
      </c>
      <c r="M1899" t="s">
        <v>2213</v>
      </c>
      <c r="N1899" t="str">
        <f>_xlfn.XLOOKUP(Orders[[#This Row],[CustomerID]],Customers[CustomerID],Customers[CustomerName])</f>
        <v>Folasade Danladi</v>
      </c>
      <c r="O1899" t="str">
        <f>_xlfn.XLOOKUP(Orders[[#This Row],[CustomerID]],Customers[CustomerID],Customers[City])</f>
        <v>Texas</v>
      </c>
      <c r="P1899" t="str">
        <f>_xlfn.XLOOKUP(Orders[[#This Row],[CustomerID]],Customers[CustomerID],Customers[Gender])</f>
        <v>Female</v>
      </c>
      <c r="Q1899">
        <f>_xlfn.XLOOKUP(Orders[[#This Row],[CustomerID]],Customers[CustomerID],Customers[CustomerAge])</f>
        <v>32</v>
      </c>
      <c r="R1899" t="str">
        <f>IF(Orders[[#This Row],[CustomerAge]]&gt;=35, "Older", "Young")</f>
        <v>Young</v>
      </c>
      <c r="S1899" t="str">
        <f>_xlfn.XLOOKUP(Orders[[#This Row],[ProductID]],Products[ProductID],Products[ProductName])</f>
        <v>Badminton Racket</v>
      </c>
      <c r="T1899" t="str">
        <f>_xlfn.XLOOKUP(Orders[[#This Row],[ProductID]],Products[ProductID],Products[Category])</f>
        <v>Sports</v>
      </c>
    </row>
    <row r="1900" spans="1:20" x14ac:dyDescent="0.25">
      <c r="A1900" s="4" t="s">
        <v>2089</v>
      </c>
      <c r="B1900" s="5">
        <v>46012</v>
      </c>
      <c r="C1900" s="15">
        <f>WEEKNUM(Orders[[#This Row],[OrderDate]])</f>
        <v>52</v>
      </c>
      <c r="D1900" s="15" t="str">
        <f>TEXT(Orders[[#This Row],[OrderDate]],"mmmm")</f>
        <v>December</v>
      </c>
      <c r="E1900" s="4" t="s">
        <v>340</v>
      </c>
      <c r="F1900" s="4" t="s">
        <v>76</v>
      </c>
      <c r="G1900" s="4">
        <v>5</v>
      </c>
      <c r="H1900" s="12">
        <v>6997.1</v>
      </c>
      <c r="I1900" s="13">
        <v>5947.5349999999999</v>
      </c>
      <c r="J1900" s="13">
        <f>Orders[[#This Row],[Quantity]]*Orders[[#This Row],[Selling Price]]</f>
        <v>34985.5</v>
      </c>
      <c r="K1900" s="13">
        <f>Orders[[#This Row],[Quantity]]*Orders[[#This Row],[Cost Price]]</f>
        <v>29737.674999999999</v>
      </c>
      <c r="L1900" s="13">
        <f>Orders[[#This Row],[Revenue]]-Orders[[#This Row],[Expenses]]</f>
        <v>5247.8250000000007</v>
      </c>
      <c r="M1900" t="s">
        <v>2209</v>
      </c>
      <c r="N1900" t="str">
        <f>_xlfn.XLOOKUP(Orders[[#This Row],[CustomerID]],Customers[CustomerID],Customers[CustomerName])</f>
        <v>Uche Abubakar</v>
      </c>
      <c r="O1900" t="str">
        <f>_xlfn.XLOOKUP(Orders[[#This Row],[CustomerID]],Customers[CustomerID],Customers[City])</f>
        <v>Illinois</v>
      </c>
      <c r="P1900" t="str">
        <f>_xlfn.XLOOKUP(Orders[[#This Row],[CustomerID]],Customers[CustomerID],Customers[Gender])</f>
        <v>Male</v>
      </c>
      <c r="Q1900">
        <f>_xlfn.XLOOKUP(Orders[[#This Row],[CustomerID]],Customers[CustomerID],Customers[CustomerAge])</f>
        <v>18</v>
      </c>
      <c r="R1900" t="str">
        <f>IF(Orders[[#This Row],[CustomerAge]]&gt;=35, "Older", "Young")</f>
        <v>Young</v>
      </c>
      <c r="S1900" t="str">
        <f>_xlfn.XLOOKUP(Orders[[#This Row],[ProductID]],Products[ProductID],Products[ProductName])</f>
        <v>Blender</v>
      </c>
      <c r="T1900" t="str">
        <f>_xlfn.XLOOKUP(Orders[[#This Row],[ProductID]],Products[ProductID],Products[Category])</f>
        <v>Electronics</v>
      </c>
    </row>
    <row r="1901" spans="1:20" x14ac:dyDescent="0.25">
      <c r="A1901" s="4" t="s">
        <v>2090</v>
      </c>
      <c r="B1901" s="5">
        <v>45992</v>
      </c>
      <c r="C1901" s="15">
        <f>WEEKNUM(Orders[[#This Row],[OrderDate]])</f>
        <v>49</v>
      </c>
      <c r="D1901" s="15" t="str">
        <f>TEXT(Orders[[#This Row],[OrderDate]],"mmmm")</f>
        <v>December</v>
      </c>
      <c r="E1901" s="4" t="s">
        <v>439</v>
      </c>
      <c r="F1901" s="4" t="s">
        <v>57</v>
      </c>
      <c r="G1901" s="4">
        <v>2</v>
      </c>
      <c r="H1901" s="12">
        <v>6485.5999999999995</v>
      </c>
      <c r="I1901" s="13">
        <v>5512.7599999999993</v>
      </c>
      <c r="J1901" s="13">
        <f>Orders[[#This Row],[Quantity]]*Orders[[#This Row],[Selling Price]]</f>
        <v>12971.199999999999</v>
      </c>
      <c r="K1901" s="13">
        <f>Orders[[#This Row],[Quantity]]*Orders[[#This Row],[Cost Price]]</f>
        <v>11025.519999999999</v>
      </c>
      <c r="L1901" s="13">
        <f>Orders[[#This Row],[Revenue]]-Orders[[#This Row],[Expenses]]</f>
        <v>1945.6800000000003</v>
      </c>
      <c r="M1901" t="s">
        <v>2218</v>
      </c>
      <c r="N1901" t="str">
        <f>_xlfn.XLOOKUP(Orders[[#This Row],[CustomerID]],Customers[CustomerID],Customers[CustomerName])</f>
        <v>Efe Abubakar</v>
      </c>
      <c r="O1901" t="str">
        <f>_xlfn.XLOOKUP(Orders[[#This Row],[CustomerID]],Customers[CustomerID],Customers[City])</f>
        <v>Texas</v>
      </c>
      <c r="P1901" t="str">
        <f>_xlfn.XLOOKUP(Orders[[#This Row],[CustomerID]],Customers[CustomerID],Customers[Gender])</f>
        <v>Female</v>
      </c>
      <c r="Q1901">
        <f>_xlfn.XLOOKUP(Orders[[#This Row],[CustomerID]],Customers[CustomerID],Customers[CustomerAge])</f>
        <v>50</v>
      </c>
      <c r="R1901" t="str">
        <f>IF(Orders[[#This Row],[CustomerAge]]&gt;=35, "Older", "Young")</f>
        <v>Older</v>
      </c>
      <c r="S1901" t="str">
        <f>_xlfn.XLOOKUP(Orders[[#This Row],[ProductID]],Products[ProductID],Products[ProductName])</f>
        <v>Badminton Racket</v>
      </c>
      <c r="T1901" t="str">
        <f>_xlfn.XLOOKUP(Orders[[#This Row],[ProductID]],Products[ProductID],Products[Category])</f>
        <v>Sports</v>
      </c>
    </row>
    <row r="1902" spans="1:20" x14ac:dyDescent="0.25">
      <c r="A1902" s="4" t="s">
        <v>2091</v>
      </c>
      <c r="B1902" s="5">
        <v>45944</v>
      </c>
      <c r="C1902" s="15">
        <f>WEEKNUM(Orders[[#This Row],[OrderDate]])</f>
        <v>42</v>
      </c>
      <c r="D1902" s="15" t="str">
        <f>TEXT(Orders[[#This Row],[OrderDate]],"mmmm")</f>
        <v>October</v>
      </c>
      <c r="E1902" s="4" t="s">
        <v>142</v>
      </c>
      <c r="F1902" s="4" t="s">
        <v>111</v>
      </c>
      <c r="G1902" s="4">
        <v>10</v>
      </c>
      <c r="H1902" s="12">
        <v>15863.4</v>
      </c>
      <c r="I1902" s="13">
        <v>13483.89</v>
      </c>
      <c r="J1902" s="13">
        <f>Orders[[#This Row],[Quantity]]*Orders[[#This Row],[Selling Price]]</f>
        <v>158634</v>
      </c>
      <c r="K1902" s="13">
        <f>Orders[[#This Row],[Quantity]]*Orders[[#This Row],[Cost Price]]</f>
        <v>134838.9</v>
      </c>
      <c r="L1902" s="13">
        <f>Orders[[#This Row],[Revenue]]-Orders[[#This Row],[Expenses]]</f>
        <v>23795.100000000006</v>
      </c>
      <c r="M1902" t="s">
        <v>2212</v>
      </c>
      <c r="N1902" t="str">
        <f>_xlfn.XLOOKUP(Orders[[#This Row],[CustomerID]],Customers[CustomerID],Customers[CustomerName])</f>
        <v>Obi Adeyemi</v>
      </c>
      <c r="O1902" t="str">
        <f>_xlfn.XLOOKUP(Orders[[#This Row],[CustomerID]],Customers[CustomerID],Customers[City])</f>
        <v>Florida</v>
      </c>
      <c r="P1902" t="str">
        <f>_xlfn.XLOOKUP(Orders[[#This Row],[CustomerID]],Customers[CustomerID],Customers[Gender])</f>
        <v>Male</v>
      </c>
      <c r="Q1902">
        <f>_xlfn.XLOOKUP(Orders[[#This Row],[CustomerID]],Customers[CustomerID],Customers[CustomerAge])</f>
        <v>31</v>
      </c>
      <c r="R1902" t="str">
        <f>IF(Orders[[#This Row],[CustomerAge]]&gt;=35, "Older", "Young")</f>
        <v>Young</v>
      </c>
      <c r="S1902" t="str">
        <f>_xlfn.XLOOKUP(Orders[[#This Row],[ProductID]],Products[ProductID],Products[ProductName])</f>
        <v>Refrigerator</v>
      </c>
      <c r="T1902" t="str">
        <f>_xlfn.XLOOKUP(Orders[[#This Row],[ProductID]],Products[ProductID],Products[Category])</f>
        <v>Electronics</v>
      </c>
    </row>
    <row r="1903" spans="1:20" x14ac:dyDescent="0.25">
      <c r="A1903" s="4" t="s">
        <v>2092</v>
      </c>
      <c r="B1903" s="5">
        <v>45991</v>
      </c>
      <c r="C1903" s="15">
        <f>WEEKNUM(Orders[[#This Row],[OrderDate]])</f>
        <v>49</v>
      </c>
      <c r="D1903" s="15" t="str">
        <f>TEXT(Orders[[#This Row],[OrderDate]],"mmmm")</f>
        <v>November</v>
      </c>
      <c r="E1903" s="4" t="s">
        <v>352</v>
      </c>
      <c r="F1903" s="4" t="s">
        <v>23</v>
      </c>
      <c r="G1903" s="4">
        <v>9</v>
      </c>
      <c r="H1903" s="12">
        <v>15372.1</v>
      </c>
      <c r="I1903" s="13">
        <v>13066.285</v>
      </c>
      <c r="J1903" s="13">
        <f>Orders[[#This Row],[Quantity]]*Orders[[#This Row],[Selling Price]]</f>
        <v>138348.9</v>
      </c>
      <c r="K1903" s="13">
        <f>Orders[[#This Row],[Quantity]]*Orders[[#This Row],[Cost Price]]</f>
        <v>117596.565</v>
      </c>
      <c r="L1903" s="13">
        <f>Orders[[#This Row],[Revenue]]-Orders[[#This Row],[Expenses]]</f>
        <v>20752.334999999992</v>
      </c>
      <c r="M1903" t="s">
        <v>2214</v>
      </c>
      <c r="N1903" t="str">
        <f>_xlfn.XLOOKUP(Orders[[#This Row],[CustomerID]],Customers[CustomerID],Customers[CustomerName])</f>
        <v>Zainab Eze</v>
      </c>
      <c r="O1903" t="str">
        <f>_xlfn.XLOOKUP(Orders[[#This Row],[CustomerID]],Customers[CustomerID],Customers[City])</f>
        <v>Texas</v>
      </c>
      <c r="P1903" t="str">
        <f>_xlfn.XLOOKUP(Orders[[#This Row],[CustomerID]],Customers[CustomerID],Customers[Gender])</f>
        <v>Female</v>
      </c>
      <c r="Q1903">
        <f>_xlfn.XLOOKUP(Orders[[#This Row],[CustomerID]],Customers[CustomerID],Customers[CustomerAge])</f>
        <v>40</v>
      </c>
      <c r="R1903" t="str">
        <f>IF(Orders[[#This Row],[CustomerAge]]&gt;=35, "Older", "Young")</f>
        <v>Older</v>
      </c>
      <c r="S1903" t="str">
        <f>_xlfn.XLOOKUP(Orders[[#This Row],[ProductID]],Products[ProductID],Products[ProductName])</f>
        <v>Gym Gloves</v>
      </c>
      <c r="T1903" t="str">
        <f>_xlfn.XLOOKUP(Orders[[#This Row],[ProductID]],Products[ProductID],Products[Category])</f>
        <v>Gym</v>
      </c>
    </row>
    <row r="1904" spans="1:20" x14ac:dyDescent="0.25">
      <c r="A1904" s="4" t="s">
        <v>2093</v>
      </c>
      <c r="B1904" s="5">
        <v>45983</v>
      </c>
      <c r="C1904" s="15">
        <f>WEEKNUM(Orders[[#This Row],[OrderDate]])</f>
        <v>47</v>
      </c>
      <c r="D1904" s="15" t="str">
        <f>TEXT(Orders[[#This Row],[OrderDate]],"mmmm")</f>
        <v>November</v>
      </c>
      <c r="E1904" s="4" t="s">
        <v>264</v>
      </c>
      <c r="F1904" s="4" t="s">
        <v>57</v>
      </c>
      <c r="G1904" s="4">
        <v>3</v>
      </c>
      <c r="H1904" s="12">
        <v>12312</v>
      </c>
      <c r="I1904" s="13">
        <v>10465.200000000001</v>
      </c>
      <c r="J1904" s="13">
        <f>Orders[[#This Row],[Quantity]]*Orders[[#This Row],[Selling Price]]</f>
        <v>36936</v>
      </c>
      <c r="K1904" s="13">
        <f>Orders[[#This Row],[Quantity]]*Orders[[#This Row],[Cost Price]]</f>
        <v>31395.600000000002</v>
      </c>
      <c r="L1904" s="13">
        <f>Orders[[#This Row],[Revenue]]-Orders[[#This Row],[Expenses]]</f>
        <v>5540.3999999999978</v>
      </c>
      <c r="M1904" t="s">
        <v>2204</v>
      </c>
      <c r="N1904" t="str">
        <f>_xlfn.XLOOKUP(Orders[[#This Row],[CustomerID]],Customers[CustomerID],Customers[CustomerName])</f>
        <v>Ronke Adeyemi</v>
      </c>
      <c r="O1904" t="str">
        <f>_xlfn.XLOOKUP(Orders[[#This Row],[CustomerID]],Customers[CustomerID],Customers[City])</f>
        <v>Georgia</v>
      </c>
      <c r="P1904" t="str">
        <f>_xlfn.XLOOKUP(Orders[[#This Row],[CustomerID]],Customers[CustomerID],Customers[Gender])</f>
        <v>Female</v>
      </c>
      <c r="Q1904">
        <f>_xlfn.XLOOKUP(Orders[[#This Row],[CustomerID]],Customers[CustomerID],Customers[CustomerAge])</f>
        <v>19</v>
      </c>
      <c r="R1904" t="str">
        <f>IF(Orders[[#This Row],[CustomerAge]]&gt;=35, "Older", "Young")</f>
        <v>Young</v>
      </c>
      <c r="S1904" t="str">
        <f>_xlfn.XLOOKUP(Orders[[#This Row],[ProductID]],Products[ProductID],Products[ProductName])</f>
        <v>Badminton Racket</v>
      </c>
      <c r="T1904" t="str">
        <f>_xlfn.XLOOKUP(Orders[[#This Row],[ProductID]],Products[ProductID],Products[Category])</f>
        <v>Sports</v>
      </c>
    </row>
    <row r="1905" spans="1:20" x14ac:dyDescent="0.25">
      <c r="A1905" s="4" t="s">
        <v>2094</v>
      </c>
      <c r="B1905" s="5">
        <v>45998</v>
      </c>
      <c r="C1905" s="15">
        <f>WEEKNUM(Orders[[#This Row],[OrderDate]])</f>
        <v>50</v>
      </c>
      <c r="D1905" s="15" t="str">
        <f>TEXT(Orders[[#This Row],[OrderDate]],"mmmm")</f>
        <v>December</v>
      </c>
      <c r="E1905" s="4" t="s">
        <v>80</v>
      </c>
      <c r="F1905" s="4" t="s">
        <v>34</v>
      </c>
      <c r="G1905" s="4">
        <v>7</v>
      </c>
      <c r="H1905" s="12">
        <v>14308.4</v>
      </c>
      <c r="I1905" s="13">
        <v>12162.14</v>
      </c>
      <c r="J1905" s="13">
        <f>Orders[[#This Row],[Quantity]]*Orders[[#This Row],[Selling Price]]</f>
        <v>100158.8</v>
      </c>
      <c r="K1905" s="13">
        <f>Orders[[#This Row],[Quantity]]*Orders[[#This Row],[Cost Price]]</f>
        <v>85134.98</v>
      </c>
      <c r="L1905" s="13">
        <f>Orders[[#This Row],[Revenue]]-Orders[[#This Row],[Expenses]]</f>
        <v>15023.820000000007</v>
      </c>
      <c r="M1905" t="s">
        <v>2205</v>
      </c>
      <c r="N1905" t="str">
        <f>_xlfn.XLOOKUP(Orders[[#This Row],[CustomerID]],Customers[CustomerID],Customers[CustomerName])</f>
        <v>Sani Ojo</v>
      </c>
      <c r="O1905" t="str">
        <f>_xlfn.XLOOKUP(Orders[[#This Row],[CustomerID]],Customers[CustomerID],Customers[City])</f>
        <v>Texas</v>
      </c>
      <c r="P1905" t="str">
        <f>_xlfn.XLOOKUP(Orders[[#This Row],[CustomerID]],Customers[CustomerID],Customers[Gender])</f>
        <v>Male</v>
      </c>
      <c r="Q1905">
        <f>_xlfn.XLOOKUP(Orders[[#This Row],[CustomerID]],Customers[CustomerID],Customers[CustomerAge])</f>
        <v>35</v>
      </c>
      <c r="R1905" t="str">
        <f>IF(Orders[[#This Row],[CustomerAge]]&gt;=35, "Older", "Young")</f>
        <v>Older</v>
      </c>
      <c r="S1905" t="str">
        <f>_xlfn.XLOOKUP(Orders[[#This Row],[ProductID]],Products[ProductID],Products[ProductName])</f>
        <v>Gold Bracelets</v>
      </c>
      <c r="T1905" t="str">
        <f>_xlfn.XLOOKUP(Orders[[#This Row],[ProductID]],Products[ProductID],Products[Category])</f>
        <v>Accessories</v>
      </c>
    </row>
    <row r="1906" spans="1:20" x14ac:dyDescent="0.25">
      <c r="A1906" s="4" t="s">
        <v>2095</v>
      </c>
      <c r="B1906" s="5">
        <v>45977</v>
      </c>
      <c r="C1906" s="15">
        <f>WEEKNUM(Orders[[#This Row],[OrderDate]])</f>
        <v>47</v>
      </c>
      <c r="D1906" s="15" t="str">
        <f>TEXT(Orders[[#This Row],[OrderDate]],"mmmm")</f>
        <v>November</v>
      </c>
      <c r="E1906" s="4" t="s">
        <v>218</v>
      </c>
      <c r="F1906" s="4" t="s">
        <v>130</v>
      </c>
      <c r="G1906" s="4">
        <v>1</v>
      </c>
      <c r="H1906" s="12">
        <v>13421.800000000001</v>
      </c>
      <c r="I1906" s="13">
        <v>11408.53</v>
      </c>
      <c r="J1906" s="13">
        <f>Orders[[#This Row],[Quantity]]*Orders[[#This Row],[Selling Price]]</f>
        <v>13421.800000000001</v>
      </c>
      <c r="K1906" s="13">
        <f>Orders[[#This Row],[Quantity]]*Orders[[#This Row],[Cost Price]]</f>
        <v>11408.53</v>
      </c>
      <c r="L1906" s="13">
        <f>Orders[[#This Row],[Revenue]]-Orders[[#This Row],[Expenses]]</f>
        <v>2013.2700000000004</v>
      </c>
      <c r="M1906" t="s">
        <v>2198</v>
      </c>
      <c r="N1906" t="str">
        <f>_xlfn.XLOOKUP(Orders[[#This Row],[CustomerID]],Customers[CustomerID],Customers[CustomerName])</f>
        <v>Temi Danladi</v>
      </c>
      <c r="O1906" t="str">
        <f>_xlfn.XLOOKUP(Orders[[#This Row],[CustomerID]],Customers[CustomerID],Customers[City])</f>
        <v>Florida</v>
      </c>
      <c r="P1906" t="str">
        <f>_xlfn.XLOOKUP(Orders[[#This Row],[CustomerID]],Customers[CustomerID],Customers[Gender])</f>
        <v>Female</v>
      </c>
      <c r="Q1906">
        <f>_xlfn.XLOOKUP(Orders[[#This Row],[CustomerID]],Customers[CustomerID],Customers[CustomerAge])</f>
        <v>48</v>
      </c>
      <c r="R1906" t="str">
        <f>IF(Orders[[#This Row],[CustomerAge]]&gt;=35, "Older", "Young")</f>
        <v>Older</v>
      </c>
      <c r="S1906" t="str">
        <f>_xlfn.XLOOKUP(Orders[[#This Row],[ProductID]],Products[ProductID],Products[ProductName])</f>
        <v>Gold Earrings And Necklaces</v>
      </c>
      <c r="T1906" t="str">
        <f>_xlfn.XLOOKUP(Orders[[#This Row],[ProductID]],Products[ProductID],Products[Category])</f>
        <v>Accessories</v>
      </c>
    </row>
    <row r="1907" spans="1:20" x14ac:dyDescent="0.25">
      <c r="A1907" s="4" t="s">
        <v>2096</v>
      </c>
      <c r="B1907" s="5">
        <v>45977</v>
      </c>
      <c r="C1907" s="15">
        <f>WEEKNUM(Orders[[#This Row],[OrderDate]])</f>
        <v>47</v>
      </c>
      <c r="D1907" s="15" t="str">
        <f>TEXT(Orders[[#This Row],[OrderDate]],"mmmm")</f>
        <v>November</v>
      </c>
      <c r="E1907" s="4" t="s">
        <v>311</v>
      </c>
      <c r="F1907" s="4" t="s">
        <v>120</v>
      </c>
      <c r="G1907" s="4">
        <v>8</v>
      </c>
      <c r="H1907" s="12">
        <v>5163.4000000000005</v>
      </c>
      <c r="I1907" s="13">
        <v>4388.8900000000003</v>
      </c>
      <c r="J1907" s="13">
        <f>Orders[[#This Row],[Quantity]]*Orders[[#This Row],[Selling Price]]</f>
        <v>41307.200000000004</v>
      </c>
      <c r="K1907" s="13">
        <f>Orders[[#This Row],[Quantity]]*Orders[[#This Row],[Cost Price]]</f>
        <v>35111.120000000003</v>
      </c>
      <c r="L1907" s="13">
        <f>Orders[[#This Row],[Revenue]]-Orders[[#This Row],[Expenses]]</f>
        <v>6196.0800000000017</v>
      </c>
      <c r="M1907" t="s">
        <v>2212</v>
      </c>
      <c r="N1907" t="str">
        <f>_xlfn.XLOOKUP(Orders[[#This Row],[CustomerID]],Customers[CustomerID],Customers[CustomerName])</f>
        <v>Bisi Bello</v>
      </c>
      <c r="O1907" t="str">
        <f>_xlfn.XLOOKUP(Orders[[#This Row],[CustomerID]],Customers[CustomerID],Customers[City])</f>
        <v>Georgia</v>
      </c>
      <c r="P1907" t="str">
        <f>_xlfn.XLOOKUP(Orders[[#This Row],[CustomerID]],Customers[CustomerID],Customers[Gender])</f>
        <v>Female</v>
      </c>
      <c r="Q1907">
        <f>_xlfn.XLOOKUP(Orders[[#This Row],[CustomerID]],Customers[CustomerID],Customers[CustomerAge])</f>
        <v>31</v>
      </c>
      <c r="R1907" t="str">
        <f>IF(Orders[[#This Row],[CustomerAge]]&gt;=35, "Older", "Young")</f>
        <v>Young</v>
      </c>
      <c r="S1907" t="str">
        <f>_xlfn.XLOOKUP(Orders[[#This Row],[ProductID]],Products[ProductID],Products[ProductName])</f>
        <v>Chess</v>
      </c>
      <c r="T1907" t="str">
        <f>_xlfn.XLOOKUP(Orders[[#This Row],[ProductID]],Products[ProductID],Products[Category])</f>
        <v>Games</v>
      </c>
    </row>
    <row r="1908" spans="1:20" x14ac:dyDescent="0.25">
      <c r="A1908" s="4" t="s">
        <v>2097</v>
      </c>
      <c r="B1908" s="5">
        <v>46003</v>
      </c>
      <c r="C1908" s="15">
        <f>WEEKNUM(Orders[[#This Row],[OrderDate]])</f>
        <v>50</v>
      </c>
      <c r="D1908" s="15" t="str">
        <f>TEXT(Orders[[#This Row],[OrderDate]],"mmmm")</f>
        <v>December</v>
      </c>
      <c r="E1908" s="4" t="s">
        <v>383</v>
      </c>
      <c r="F1908" s="4" t="s">
        <v>57</v>
      </c>
      <c r="G1908" s="4">
        <v>2</v>
      </c>
      <c r="H1908" s="12">
        <v>14591.6</v>
      </c>
      <c r="I1908" s="13">
        <v>12402.86</v>
      </c>
      <c r="J1908" s="13">
        <f>Orders[[#This Row],[Quantity]]*Orders[[#This Row],[Selling Price]]</f>
        <v>29183.200000000001</v>
      </c>
      <c r="K1908" s="13">
        <f>Orders[[#This Row],[Quantity]]*Orders[[#This Row],[Cost Price]]</f>
        <v>24805.72</v>
      </c>
      <c r="L1908" s="13">
        <f>Orders[[#This Row],[Revenue]]-Orders[[#This Row],[Expenses]]</f>
        <v>4377.4799999999996</v>
      </c>
      <c r="M1908" t="s">
        <v>2212</v>
      </c>
      <c r="N1908" t="str">
        <f>_xlfn.XLOOKUP(Orders[[#This Row],[CustomerID]],Customers[CustomerID],Customers[CustomerName])</f>
        <v>Ibrahim Balogun</v>
      </c>
      <c r="O1908" t="str">
        <f>_xlfn.XLOOKUP(Orders[[#This Row],[CustomerID]],Customers[CustomerID],Customers[City])</f>
        <v>Florida</v>
      </c>
      <c r="P1908" t="str">
        <f>_xlfn.XLOOKUP(Orders[[#This Row],[CustomerID]],Customers[CustomerID],Customers[Gender])</f>
        <v>Male</v>
      </c>
      <c r="Q1908">
        <f>_xlfn.XLOOKUP(Orders[[#This Row],[CustomerID]],Customers[CustomerID],Customers[CustomerAge])</f>
        <v>27</v>
      </c>
      <c r="R1908" t="str">
        <f>IF(Orders[[#This Row],[CustomerAge]]&gt;=35, "Older", "Young")</f>
        <v>Young</v>
      </c>
      <c r="S1908" t="str">
        <f>_xlfn.XLOOKUP(Orders[[#This Row],[ProductID]],Products[ProductID],Products[ProductName])</f>
        <v>Badminton Racket</v>
      </c>
      <c r="T1908" t="str">
        <f>_xlfn.XLOOKUP(Orders[[#This Row],[ProductID]],Products[ProductID],Products[Category])</f>
        <v>Sports</v>
      </c>
    </row>
    <row r="1909" spans="1:20" x14ac:dyDescent="0.25">
      <c r="A1909" s="4" t="s">
        <v>2098</v>
      </c>
      <c r="B1909" s="5">
        <v>45958</v>
      </c>
      <c r="C1909" s="15">
        <f>WEEKNUM(Orders[[#This Row],[OrderDate]])</f>
        <v>44</v>
      </c>
      <c r="D1909" s="15" t="str">
        <f>TEXT(Orders[[#This Row],[OrderDate]],"mmmm")</f>
        <v>October</v>
      </c>
      <c r="E1909" s="4" t="s">
        <v>833</v>
      </c>
      <c r="F1909" s="4" t="s">
        <v>84</v>
      </c>
      <c r="G1909" s="4">
        <v>7</v>
      </c>
      <c r="H1909" s="12">
        <v>16331.199999999999</v>
      </c>
      <c r="I1909" s="13">
        <v>13881.519999999999</v>
      </c>
      <c r="J1909" s="13">
        <f>Orders[[#This Row],[Quantity]]*Orders[[#This Row],[Selling Price]]</f>
        <v>114318.39999999999</v>
      </c>
      <c r="K1909" s="13">
        <f>Orders[[#This Row],[Quantity]]*Orders[[#This Row],[Cost Price]]</f>
        <v>97170.639999999985</v>
      </c>
      <c r="L1909" s="13">
        <f>Orders[[#This Row],[Revenue]]-Orders[[#This Row],[Expenses]]</f>
        <v>17147.760000000009</v>
      </c>
      <c r="M1909" t="s">
        <v>2210</v>
      </c>
      <c r="N1909" t="str">
        <f>_xlfn.XLOOKUP(Orders[[#This Row],[CustomerID]],Customers[CustomerID],Customers[CustomerName])</f>
        <v>Abiola Adeyemi</v>
      </c>
      <c r="O1909" t="str">
        <f>_xlfn.XLOOKUP(Orders[[#This Row],[CustomerID]],Customers[CustomerID],Customers[City])</f>
        <v>Washington</v>
      </c>
      <c r="P1909" t="str">
        <f>_xlfn.XLOOKUP(Orders[[#This Row],[CustomerID]],Customers[CustomerID],Customers[Gender])</f>
        <v>Male</v>
      </c>
      <c r="Q1909">
        <f>_xlfn.XLOOKUP(Orders[[#This Row],[CustomerID]],Customers[CustomerID],Customers[CustomerAge])</f>
        <v>53</v>
      </c>
      <c r="R1909" t="str">
        <f>IF(Orders[[#This Row],[CustomerAge]]&gt;=35, "Older", "Young")</f>
        <v>Older</v>
      </c>
      <c r="S1909" t="str">
        <f>_xlfn.XLOOKUP(Orders[[#This Row],[ProductID]],Products[ProductID],Products[ProductName])</f>
        <v>Gym Wears</v>
      </c>
      <c r="T1909" t="str">
        <f>_xlfn.XLOOKUP(Orders[[#This Row],[ProductID]],Products[ProductID],Products[Category])</f>
        <v>Clothing</v>
      </c>
    </row>
    <row r="1910" spans="1:20" x14ac:dyDescent="0.25">
      <c r="A1910" s="4" t="s">
        <v>2099</v>
      </c>
      <c r="B1910" s="5">
        <v>46010</v>
      </c>
      <c r="C1910" s="15">
        <f>WEEKNUM(Orders[[#This Row],[OrderDate]])</f>
        <v>51</v>
      </c>
      <c r="D1910" s="15" t="str">
        <f>TEXT(Orders[[#This Row],[OrderDate]],"mmmm")</f>
        <v>December</v>
      </c>
      <c r="E1910" s="4" t="s">
        <v>43</v>
      </c>
      <c r="F1910" s="4" t="s">
        <v>120</v>
      </c>
      <c r="G1910" s="4">
        <v>8</v>
      </c>
      <c r="H1910" s="12">
        <v>2059.3000000000002</v>
      </c>
      <c r="I1910" s="13">
        <v>1750.4050000000002</v>
      </c>
      <c r="J1910" s="13">
        <f>Orders[[#This Row],[Quantity]]*Orders[[#This Row],[Selling Price]]</f>
        <v>16474.400000000001</v>
      </c>
      <c r="K1910" s="13">
        <f>Orders[[#This Row],[Quantity]]*Orders[[#This Row],[Cost Price]]</f>
        <v>14003.240000000002</v>
      </c>
      <c r="L1910" s="13">
        <f>Orders[[#This Row],[Revenue]]-Orders[[#This Row],[Expenses]]</f>
        <v>2471.16</v>
      </c>
      <c r="M1910" t="s">
        <v>2217</v>
      </c>
      <c r="N1910" t="str">
        <f>_xlfn.XLOOKUP(Orders[[#This Row],[CustomerID]],Customers[CustomerID],Customers[CustomerName])</f>
        <v>Mustafa Danladi</v>
      </c>
      <c r="O1910" t="str">
        <f>_xlfn.XLOOKUP(Orders[[#This Row],[CustomerID]],Customers[CustomerID],Customers[City])</f>
        <v>Georgia</v>
      </c>
      <c r="P1910" t="str">
        <f>_xlfn.XLOOKUP(Orders[[#This Row],[CustomerID]],Customers[CustomerID],Customers[Gender])</f>
        <v>Male</v>
      </c>
      <c r="Q1910">
        <f>_xlfn.XLOOKUP(Orders[[#This Row],[CustomerID]],Customers[CustomerID],Customers[CustomerAge])</f>
        <v>49</v>
      </c>
      <c r="R1910" t="str">
        <f>IF(Orders[[#This Row],[CustomerAge]]&gt;=35, "Older", "Young")</f>
        <v>Older</v>
      </c>
      <c r="S1910" t="str">
        <f>_xlfn.XLOOKUP(Orders[[#This Row],[ProductID]],Products[ProductID],Products[ProductName])</f>
        <v>Chess</v>
      </c>
      <c r="T1910" t="str">
        <f>_xlfn.XLOOKUP(Orders[[#This Row],[ProductID]],Products[ProductID],Products[Category])</f>
        <v>Games</v>
      </c>
    </row>
    <row r="1911" spans="1:20" x14ac:dyDescent="0.25">
      <c r="A1911" s="4" t="s">
        <v>2100</v>
      </c>
      <c r="B1911" s="5">
        <v>45997</v>
      </c>
      <c r="C1911" s="15">
        <f>WEEKNUM(Orders[[#This Row],[OrderDate]])</f>
        <v>49</v>
      </c>
      <c r="D1911" s="15" t="str">
        <f>TEXT(Orders[[#This Row],[OrderDate]],"mmmm")</f>
        <v>December</v>
      </c>
      <c r="E1911" s="4" t="s">
        <v>388</v>
      </c>
      <c r="F1911" s="4" t="s">
        <v>253</v>
      </c>
      <c r="G1911" s="4">
        <v>4</v>
      </c>
      <c r="H1911" s="12">
        <v>15843.900000000001</v>
      </c>
      <c r="I1911" s="13">
        <v>13467.315000000002</v>
      </c>
      <c r="J1911" s="13">
        <f>Orders[[#This Row],[Quantity]]*Orders[[#This Row],[Selling Price]]</f>
        <v>63375.600000000006</v>
      </c>
      <c r="K1911" s="13">
        <f>Orders[[#This Row],[Quantity]]*Orders[[#This Row],[Cost Price]]</f>
        <v>53869.260000000009</v>
      </c>
      <c r="L1911" s="13">
        <f>Orders[[#This Row],[Revenue]]-Orders[[#This Row],[Expenses]]</f>
        <v>9506.3399999999965</v>
      </c>
      <c r="M1911" t="s">
        <v>2196</v>
      </c>
      <c r="N1911" t="str">
        <f>_xlfn.XLOOKUP(Orders[[#This Row],[CustomerID]],Customers[CustomerID],Customers[CustomerName])</f>
        <v>Folasade Okonkwo</v>
      </c>
      <c r="O1911" t="str">
        <f>_xlfn.XLOOKUP(Orders[[#This Row],[CustomerID]],Customers[CustomerID],Customers[City])</f>
        <v>Washington</v>
      </c>
      <c r="P1911" t="str">
        <f>_xlfn.XLOOKUP(Orders[[#This Row],[CustomerID]],Customers[CustomerID],Customers[Gender])</f>
        <v>Female</v>
      </c>
      <c r="Q1911">
        <f>_xlfn.XLOOKUP(Orders[[#This Row],[CustomerID]],Customers[CustomerID],Customers[CustomerAge])</f>
        <v>52</v>
      </c>
      <c r="R1911" t="str">
        <f>IF(Orders[[#This Row],[CustomerAge]]&gt;=35, "Older", "Young")</f>
        <v>Older</v>
      </c>
      <c r="S1911" t="str">
        <f>_xlfn.XLOOKUP(Orders[[#This Row],[ProductID]],Products[ProductID],Products[ProductName])</f>
        <v>Nose Rings</v>
      </c>
      <c r="T1911" t="str">
        <f>_xlfn.XLOOKUP(Orders[[#This Row],[ProductID]],Products[ProductID],Products[Category])</f>
        <v>Accessories</v>
      </c>
    </row>
    <row r="1912" spans="1:20" x14ac:dyDescent="0.25">
      <c r="A1912" s="4" t="s">
        <v>2101</v>
      </c>
      <c r="B1912" s="5">
        <v>45943</v>
      </c>
      <c r="C1912" s="15">
        <f>WEEKNUM(Orders[[#This Row],[OrderDate]])</f>
        <v>42</v>
      </c>
      <c r="D1912" s="15" t="str">
        <f>TEXT(Orders[[#This Row],[OrderDate]],"mmmm")</f>
        <v>October</v>
      </c>
      <c r="E1912" s="4" t="s">
        <v>302</v>
      </c>
      <c r="F1912" s="4" t="s">
        <v>34</v>
      </c>
      <c r="G1912" s="4">
        <v>10</v>
      </c>
      <c r="H1912" s="12">
        <v>1726.3</v>
      </c>
      <c r="I1912" s="13">
        <v>1467.355</v>
      </c>
      <c r="J1912" s="13">
        <f>Orders[[#This Row],[Quantity]]*Orders[[#This Row],[Selling Price]]</f>
        <v>17263</v>
      </c>
      <c r="K1912" s="13">
        <f>Orders[[#This Row],[Quantity]]*Orders[[#This Row],[Cost Price]]</f>
        <v>14673.55</v>
      </c>
      <c r="L1912" s="13">
        <f>Orders[[#This Row],[Revenue]]-Orders[[#This Row],[Expenses]]</f>
        <v>2589.4500000000007</v>
      </c>
      <c r="M1912" t="s">
        <v>2196</v>
      </c>
      <c r="N1912" t="str">
        <f>_xlfn.XLOOKUP(Orders[[#This Row],[CustomerID]],Customers[CustomerID],Customers[CustomerName])</f>
        <v>Sani Bello</v>
      </c>
      <c r="O1912" t="str">
        <f>_xlfn.XLOOKUP(Orders[[#This Row],[CustomerID]],Customers[CustomerID],Customers[City])</f>
        <v>Washington</v>
      </c>
      <c r="P1912" t="str">
        <f>_xlfn.XLOOKUP(Orders[[#This Row],[CustomerID]],Customers[CustomerID],Customers[Gender])</f>
        <v>Male</v>
      </c>
      <c r="Q1912">
        <f>_xlfn.XLOOKUP(Orders[[#This Row],[CustomerID]],Customers[CustomerID],Customers[CustomerAge])</f>
        <v>23</v>
      </c>
      <c r="R1912" t="str">
        <f>IF(Orders[[#This Row],[CustomerAge]]&gt;=35, "Older", "Young")</f>
        <v>Young</v>
      </c>
      <c r="S1912" t="str">
        <f>_xlfn.XLOOKUP(Orders[[#This Row],[ProductID]],Products[ProductID],Products[ProductName])</f>
        <v>Gold Bracelets</v>
      </c>
      <c r="T1912" t="str">
        <f>_xlfn.XLOOKUP(Orders[[#This Row],[ProductID]],Products[ProductID],Products[Category])</f>
        <v>Accessories</v>
      </c>
    </row>
    <row r="1913" spans="1:20" x14ac:dyDescent="0.25">
      <c r="A1913" s="4" t="s">
        <v>2102</v>
      </c>
      <c r="B1913" s="5">
        <v>45950</v>
      </c>
      <c r="C1913" s="15">
        <f>WEEKNUM(Orders[[#This Row],[OrderDate]])</f>
        <v>43</v>
      </c>
      <c r="D1913" s="15" t="str">
        <f>TEXT(Orders[[#This Row],[OrderDate]],"mmmm")</f>
        <v>October</v>
      </c>
      <c r="E1913" s="4" t="s">
        <v>564</v>
      </c>
      <c r="F1913" s="4" t="s">
        <v>34</v>
      </c>
      <c r="G1913" s="4">
        <v>4</v>
      </c>
      <c r="H1913" s="12">
        <v>4443.3</v>
      </c>
      <c r="I1913" s="13">
        <v>3776.8050000000003</v>
      </c>
      <c r="J1913" s="13">
        <f>Orders[[#This Row],[Quantity]]*Orders[[#This Row],[Selling Price]]</f>
        <v>17773.2</v>
      </c>
      <c r="K1913" s="13">
        <f>Orders[[#This Row],[Quantity]]*Orders[[#This Row],[Cost Price]]</f>
        <v>15107.220000000001</v>
      </c>
      <c r="L1913" s="13">
        <f>Orders[[#This Row],[Revenue]]-Orders[[#This Row],[Expenses]]</f>
        <v>2665.9799999999996</v>
      </c>
      <c r="M1913" t="s">
        <v>2196</v>
      </c>
      <c r="N1913" t="str">
        <f>_xlfn.XLOOKUP(Orders[[#This Row],[CustomerID]],Customers[CustomerID],Customers[CustomerName])</f>
        <v>Blessing Eze</v>
      </c>
      <c r="O1913" t="str">
        <f>_xlfn.XLOOKUP(Orders[[#This Row],[CustomerID]],Customers[CustomerID],Customers[City])</f>
        <v>Georgia</v>
      </c>
      <c r="P1913" t="str">
        <f>_xlfn.XLOOKUP(Orders[[#This Row],[CustomerID]],Customers[CustomerID],Customers[Gender])</f>
        <v>Female</v>
      </c>
      <c r="Q1913">
        <f>_xlfn.XLOOKUP(Orders[[#This Row],[CustomerID]],Customers[CustomerID],Customers[CustomerAge])</f>
        <v>19</v>
      </c>
      <c r="R1913" t="str">
        <f>IF(Orders[[#This Row],[CustomerAge]]&gt;=35, "Older", "Young")</f>
        <v>Young</v>
      </c>
      <c r="S1913" t="str">
        <f>_xlfn.XLOOKUP(Orders[[#This Row],[ProductID]],Products[ProductID],Products[ProductName])</f>
        <v>Gold Bracelets</v>
      </c>
      <c r="T1913" t="str">
        <f>_xlfn.XLOOKUP(Orders[[#This Row],[ProductID]],Products[ProductID],Products[Category])</f>
        <v>Accessories</v>
      </c>
    </row>
    <row r="1914" spans="1:20" x14ac:dyDescent="0.25">
      <c r="A1914" s="4" t="s">
        <v>2103</v>
      </c>
      <c r="B1914" s="5">
        <v>46009</v>
      </c>
      <c r="C1914" s="15">
        <f>WEEKNUM(Orders[[#This Row],[OrderDate]])</f>
        <v>51</v>
      </c>
      <c r="D1914" s="15" t="str">
        <f>TEXT(Orders[[#This Row],[OrderDate]],"mmmm")</f>
        <v>December</v>
      </c>
      <c r="E1914" s="4" t="s">
        <v>105</v>
      </c>
      <c r="F1914" s="4" t="s">
        <v>37</v>
      </c>
      <c r="G1914" s="4">
        <v>10</v>
      </c>
      <c r="H1914" s="12">
        <v>1285.8000000000002</v>
      </c>
      <c r="I1914" s="13">
        <v>1092.93</v>
      </c>
      <c r="J1914" s="13">
        <f>Orders[[#This Row],[Quantity]]*Orders[[#This Row],[Selling Price]]</f>
        <v>12858.000000000002</v>
      </c>
      <c r="K1914" s="13">
        <f>Orders[[#This Row],[Quantity]]*Orders[[#This Row],[Cost Price]]</f>
        <v>10929.300000000001</v>
      </c>
      <c r="L1914" s="13">
        <f>Orders[[#This Row],[Revenue]]-Orders[[#This Row],[Expenses]]</f>
        <v>1928.7000000000007</v>
      </c>
      <c r="M1914" t="s">
        <v>2193</v>
      </c>
      <c r="N1914" t="str">
        <f>_xlfn.XLOOKUP(Orders[[#This Row],[CustomerID]],Customers[CustomerID],Customers[CustomerName])</f>
        <v>Folasade Adeyemi</v>
      </c>
      <c r="O1914" t="str">
        <f>_xlfn.XLOOKUP(Orders[[#This Row],[CustomerID]],Customers[CustomerID],Customers[City])</f>
        <v>Georgia</v>
      </c>
      <c r="P1914" t="str">
        <f>_xlfn.XLOOKUP(Orders[[#This Row],[CustomerID]],Customers[CustomerID],Customers[Gender])</f>
        <v>Female</v>
      </c>
      <c r="Q1914">
        <f>_xlfn.XLOOKUP(Orders[[#This Row],[CustomerID]],Customers[CustomerID],Customers[CustomerAge])</f>
        <v>42</v>
      </c>
      <c r="R1914" t="str">
        <f>IF(Orders[[#This Row],[CustomerAge]]&gt;=35, "Older", "Young")</f>
        <v>Older</v>
      </c>
      <c r="S1914" t="str">
        <f>_xlfn.XLOOKUP(Orders[[#This Row],[ProductID]],Products[ProductID],Products[ProductName])</f>
        <v>Iron</v>
      </c>
      <c r="T1914" t="str">
        <f>_xlfn.XLOOKUP(Orders[[#This Row],[ProductID]],Products[ProductID],Products[Category])</f>
        <v>Electronics</v>
      </c>
    </row>
    <row r="1915" spans="1:20" x14ac:dyDescent="0.25">
      <c r="A1915" s="4" t="s">
        <v>2104</v>
      </c>
      <c r="B1915" s="5">
        <v>45948</v>
      </c>
      <c r="C1915" s="15">
        <f>WEEKNUM(Orders[[#This Row],[OrderDate]])</f>
        <v>42</v>
      </c>
      <c r="D1915" s="15" t="str">
        <f>TEXT(Orders[[#This Row],[OrderDate]],"mmmm")</f>
        <v>October</v>
      </c>
      <c r="E1915" s="4" t="s">
        <v>287</v>
      </c>
      <c r="F1915" s="4" t="s">
        <v>20</v>
      </c>
      <c r="G1915" s="4">
        <v>7</v>
      </c>
      <c r="H1915" s="12">
        <v>1571.6999999999998</v>
      </c>
      <c r="I1915" s="13">
        <v>1335.9449999999999</v>
      </c>
      <c r="J1915" s="13">
        <f>Orders[[#This Row],[Quantity]]*Orders[[#This Row],[Selling Price]]</f>
        <v>11001.899999999998</v>
      </c>
      <c r="K1915" s="13">
        <f>Orders[[#This Row],[Quantity]]*Orders[[#This Row],[Cost Price]]</f>
        <v>9351.6149999999998</v>
      </c>
      <c r="L1915" s="13">
        <f>Orders[[#This Row],[Revenue]]-Orders[[#This Row],[Expenses]]</f>
        <v>1650.284999999998</v>
      </c>
      <c r="M1915" t="s">
        <v>2192</v>
      </c>
      <c r="N1915" t="str">
        <f>_xlfn.XLOOKUP(Orders[[#This Row],[CustomerID]],Customers[CustomerID],Customers[CustomerName])</f>
        <v>Okon Obi</v>
      </c>
      <c r="O1915" t="str">
        <f>_xlfn.XLOOKUP(Orders[[#This Row],[CustomerID]],Customers[CustomerID],Customers[City])</f>
        <v>Texas</v>
      </c>
      <c r="P1915" t="str">
        <f>_xlfn.XLOOKUP(Orders[[#This Row],[CustomerID]],Customers[CustomerID],Customers[Gender])</f>
        <v>Male</v>
      </c>
      <c r="Q1915">
        <f>_xlfn.XLOOKUP(Orders[[#This Row],[CustomerID]],Customers[CustomerID],Customers[CustomerAge])</f>
        <v>55</v>
      </c>
      <c r="R1915" t="str">
        <f>IF(Orders[[#This Row],[CustomerAge]]&gt;=35, "Older", "Young")</f>
        <v>Older</v>
      </c>
      <c r="S1915" t="str">
        <f>_xlfn.XLOOKUP(Orders[[#This Row],[ProductID]],Products[ProductID],Products[ProductName])</f>
        <v>Gym Bag</v>
      </c>
      <c r="T1915" t="str">
        <f>_xlfn.XLOOKUP(Orders[[#This Row],[ProductID]],Products[ProductID],Products[Category])</f>
        <v>Gym</v>
      </c>
    </row>
    <row r="1916" spans="1:20" x14ac:dyDescent="0.25">
      <c r="A1916" s="4" t="s">
        <v>2105</v>
      </c>
      <c r="B1916" s="5">
        <v>45981</v>
      </c>
      <c r="C1916" s="15">
        <f>WEEKNUM(Orders[[#This Row],[OrderDate]])</f>
        <v>47</v>
      </c>
      <c r="D1916" s="15" t="str">
        <f>TEXT(Orders[[#This Row],[OrderDate]],"mmmm")</f>
        <v>November</v>
      </c>
      <c r="E1916" s="4" t="s">
        <v>30</v>
      </c>
      <c r="F1916" s="4" t="s">
        <v>151</v>
      </c>
      <c r="G1916" s="4">
        <v>7</v>
      </c>
      <c r="H1916" s="12">
        <v>5804.4000000000005</v>
      </c>
      <c r="I1916" s="13">
        <v>4933.7400000000007</v>
      </c>
      <c r="J1916" s="13">
        <f>Orders[[#This Row],[Quantity]]*Orders[[#This Row],[Selling Price]]</f>
        <v>40630.800000000003</v>
      </c>
      <c r="K1916" s="13">
        <f>Orders[[#This Row],[Quantity]]*Orders[[#This Row],[Cost Price]]</f>
        <v>34536.180000000008</v>
      </c>
      <c r="L1916" s="13">
        <f>Orders[[#This Row],[Revenue]]-Orders[[#This Row],[Expenses]]</f>
        <v>6094.6199999999953</v>
      </c>
      <c r="M1916" t="s">
        <v>2208</v>
      </c>
      <c r="N1916" t="str">
        <f>_xlfn.XLOOKUP(Orders[[#This Row],[CustomerID]],Customers[CustomerID],Customers[CustomerName])</f>
        <v>Amina Danladi</v>
      </c>
      <c r="O1916" t="str">
        <f>_xlfn.XLOOKUP(Orders[[#This Row],[CustomerID]],Customers[CustomerID],Customers[City])</f>
        <v>Florida</v>
      </c>
      <c r="P1916" t="str">
        <f>_xlfn.XLOOKUP(Orders[[#This Row],[CustomerID]],Customers[CustomerID],Customers[Gender])</f>
        <v>Female</v>
      </c>
      <c r="Q1916">
        <f>_xlfn.XLOOKUP(Orders[[#This Row],[CustomerID]],Customers[CustomerID],Customers[CustomerAge])</f>
        <v>42</v>
      </c>
      <c r="R1916" t="str">
        <f>IF(Orders[[#This Row],[CustomerAge]]&gt;=35, "Older", "Young")</f>
        <v>Older</v>
      </c>
      <c r="S1916" t="str">
        <f>_xlfn.XLOOKUP(Orders[[#This Row],[ProductID]],Products[ProductID],Products[ProductName])</f>
        <v>Checkers</v>
      </c>
      <c r="T1916" t="str">
        <f>_xlfn.XLOOKUP(Orders[[#This Row],[ProductID]],Products[ProductID],Products[Category])</f>
        <v>Games</v>
      </c>
    </row>
    <row r="1917" spans="1:20" x14ac:dyDescent="0.25">
      <c r="A1917" s="4" t="s">
        <v>2106</v>
      </c>
      <c r="B1917" s="5">
        <v>45958</v>
      </c>
      <c r="C1917" s="15">
        <f>WEEKNUM(Orders[[#This Row],[OrderDate]])</f>
        <v>44</v>
      </c>
      <c r="D1917" s="15" t="str">
        <f>TEXT(Orders[[#This Row],[OrderDate]],"mmmm")</f>
        <v>October</v>
      </c>
      <c r="E1917" s="4" t="s">
        <v>346</v>
      </c>
      <c r="F1917" s="4" t="s">
        <v>66</v>
      </c>
      <c r="G1917" s="4">
        <v>8</v>
      </c>
      <c r="H1917" s="12">
        <v>3767.7999999999997</v>
      </c>
      <c r="I1917" s="13">
        <v>3202.6299999999997</v>
      </c>
      <c r="J1917" s="13">
        <f>Orders[[#This Row],[Quantity]]*Orders[[#This Row],[Selling Price]]</f>
        <v>30142.399999999998</v>
      </c>
      <c r="K1917" s="13">
        <f>Orders[[#This Row],[Quantity]]*Orders[[#This Row],[Cost Price]]</f>
        <v>25621.039999999997</v>
      </c>
      <c r="L1917" s="13">
        <f>Orders[[#This Row],[Revenue]]-Orders[[#This Row],[Expenses]]</f>
        <v>4521.3600000000006</v>
      </c>
      <c r="M1917" t="s">
        <v>2204</v>
      </c>
      <c r="N1917" t="str">
        <f>_xlfn.XLOOKUP(Orders[[#This Row],[CustomerID]],Customers[CustomerID],Customers[CustomerName])</f>
        <v>Ngozi Danladi</v>
      </c>
      <c r="O1917" t="str">
        <f>_xlfn.XLOOKUP(Orders[[#This Row],[CustomerID]],Customers[CustomerID],Customers[City])</f>
        <v>California</v>
      </c>
      <c r="P1917" t="str">
        <f>_xlfn.XLOOKUP(Orders[[#This Row],[CustomerID]],Customers[CustomerID],Customers[Gender])</f>
        <v>Female</v>
      </c>
      <c r="Q1917">
        <f>_xlfn.XLOOKUP(Orders[[#This Row],[CustomerID]],Customers[CustomerID],Customers[CustomerAge])</f>
        <v>30</v>
      </c>
      <c r="R1917" t="str">
        <f>IF(Orders[[#This Row],[CustomerAge]]&gt;=35, "Older", "Young")</f>
        <v>Young</v>
      </c>
      <c r="S1917" t="str">
        <f>_xlfn.XLOOKUP(Orders[[#This Row],[ProductID]],Products[ProductID],Products[ProductName])</f>
        <v>Microwave</v>
      </c>
      <c r="T1917" t="str">
        <f>_xlfn.XLOOKUP(Orders[[#This Row],[ProductID]],Products[ProductID],Products[Category])</f>
        <v>Electronics</v>
      </c>
    </row>
    <row r="1918" spans="1:20" x14ac:dyDescent="0.25">
      <c r="A1918" s="4" t="s">
        <v>2107</v>
      </c>
      <c r="B1918" s="5">
        <v>45978</v>
      </c>
      <c r="C1918" s="15">
        <f>WEEKNUM(Orders[[#This Row],[OrderDate]])</f>
        <v>47</v>
      </c>
      <c r="D1918" s="15" t="str">
        <f>TEXT(Orders[[#This Row],[OrderDate]],"mmmm")</f>
        <v>November</v>
      </c>
      <c r="E1918" s="4" t="s">
        <v>43</v>
      </c>
      <c r="F1918" s="4" t="s">
        <v>111</v>
      </c>
      <c r="G1918" s="4">
        <v>6</v>
      </c>
      <c r="H1918" s="12">
        <v>18341.300000000003</v>
      </c>
      <c r="I1918" s="13">
        <v>15590.105000000003</v>
      </c>
      <c r="J1918" s="13">
        <f>Orders[[#This Row],[Quantity]]*Orders[[#This Row],[Selling Price]]</f>
        <v>110047.80000000002</v>
      </c>
      <c r="K1918" s="13">
        <f>Orders[[#This Row],[Quantity]]*Orders[[#This Row],[Cost Price]]</f>
        <v>93540.630000000019</v>
      </c>
      <c r="L1918" s="13">
        <f>Orders[[#This Row],[Revenue]]-Orders[[#This Row],[Expenses]]</f>
        <v>16507.169999999998</v>
      </c>
      <c r="M1918" t="s">
        <v>2199</v>
      </c>
      <c r="N1918" t="str">
        <f>_xlfn.XLOOKUP(Orders[[#This Row],[CustomerID]],Customers[CustomerID],Customers[CustomerName])</f>
        <v>Mustafa Danladi</v>
      </c>
      <c r="O1918" t="str">
        <f>_xlfn.XLOOKUP(Orders[[#This Row],[CustomerID]],Customers[CustomerID],Customers[City])</f>
        <v>Georgia</v>
      </c>
      <c r="P1918" t="str">
        <f>_xlfn.XLOOKUP(Orders[[#This Row],[CustomerID]],Customers[CustomerID],Customers[Gender])</f>
        <v>Male</v>
      </c>
      <c r="Q1918">
        <f>_xlfn.XLOOKUP(Orders[[#This Row],[CustomerID]],Customers[CustomerID],Customers[CustomerAge])</f>
        <v>49</v>
      </c>
      <c r="R1918" t="str">
        <f>IF(Orders[[#This Row],[CustomerAge]]&gt;=35, "Older", "Young")</f>
        <v>Older</v>
      </c>
      <c r="S1918" t="str">
        <f>_xlfn.XLOOKUP(Orders[[#This Row],[ProductID]],Products[ProductID],Products[ProductName])</f>
        <v>Refrigerator</v>
      </c>
      <c r="T1918" t="str">
        <f>_xlfn.XLOOKUP(Orders[[#This Row],[ProductID]],Products[ProductID],Products[Category])</f>
        <v>Electronics</v>
      </c>
    </row>
    <row r="1919" spans="1:20" x14ac:dyDescent="0.25">
      <c r="A1919" s="4" t="s">
        <v>2108</v>
      </c>
      <c r="B1919" s="5">
        <v>45972</v>
      </c>
      <c r="C1919" s="15">
        <f>WEEKNUM(Orders[[#This Row],[OrderDate]])</f>
        <v>46</v>
      </c>
      <c r="D1919" s="15" t="str">
        <f>TEXT(Orders[[#This Row],[OrderDate]],"mmmm")</f>
        <v>November</v>
      </c>
      <c r="E1919" s="4" t="s">
        <v>260</v>
      </c>
      <c r="F1919" s="4" t="s">
        <v>53</v>
      </c>
      <c r="G1919" s="4">
        <v>4</v>
      </c>
      <c r="H1919" s="12">
        <v>19517</v>
      </c>
      <c r="I1919" s="13">
        <v>16589.45</v>
      </c>
      <c r="J1919" s="13">
        <f>Orders[[#This Row],[Quantity]]*Orders[[#This Row],[Selling Price]]</f>
        <v>78068</v>
      </c>
      <c r="K1919" s="13">
        <f>Orders[[#This Row],[Quantity]]*Orders[[#This Row],[Cost Price]]</f>
        <v>66357.8</v>
      </c>
      <c r="L1919" s="13">
        <f>Orders[[#This Row],[Revenue]]-Orders[[#This Row],[Expenses]]</f>
        <v>11710.199999999997</v>
      </c>
      <c r="M1919" t="s">
        <v>2197</v>
      </c>
      <c r="N1919" t="str">
        <f>_xlfn.XLOOKUP(Orders[[#This Row],[CustomerID]],Customers[CustomerID],Customers[CustomerName])</f>
        <v>Amina Obi</v>
      </c>
      <c r="O1919" t="str">
        <f>_xlfn.XLOOKUP(Orders[[#This Row],[CustomerID]],Customers[CustomerID],Customers[City])</f>
        <v>Florida</v>
      </c>
      <c r="P1919" t="str">
        <f>_xlfn.XLOOKUP(Orders[[#This Row],[CustomerID]],Customers[CustomerID],Customers[Gender])</f>
        <v>Female</v>
      </c>
      <c r="Q1919">
        <f>_xlfn.XLOOKUP(Orders[[#This Row],[CustomerID]],Customers[CustomerID],Customers[CustomerAge])</f>
        <v>29</v>
      </c>
      <c r="R1919" t="str">
        <f>IF(Orders[[#This Row],[CustomerAge]]&gt;=35, "Older", "Young")</f>
        <v>Young</v>
      </c>
      <c r="S1919" t="str">
        <f>_xlfn.XLOOKUP(Orders[[#This Row],[ProductID]],Products[ProductID],Products[ProductName])</f>
        <v>Silver Bangles</v>
      </c>
      <c r="T1919" t="str">
        <f>_xlfn.XLOOKUP(Orders[[#This Row],[ProductID]],Products[ProductID],Products[Category])</f>
        <v>Accessories</v>
      </c>
    </row>
    <row r="1920" spans="1:20" x14ac:dyDescent="0.25">
      <c r="A1920" s="4" t="s">
        <v>2109</v>
      </c>
      <c r="B1920" s="5">
        <v>45956</v>
      </c>
      <c r="C1920" s="15">
        <f>WEEKNUM(Orders[[#This Row],[OrderDate]])</f>
        <v>44</v>
      </c>
      <c r="D1920" s="15" t="str">
        <f>TEXT(Orders[[#This Row],[OrderDate]],"mmmm")</f>
        <v>October</v>
      </c>
      <c r="E1920" s="4" t="s">
        <v>302</v>
      </c>
      <c r="F1920" s="4" t="s">
        <v>34</v>
      </c>
      <c r="G1920" s="4">
        <v>5</v>
      </c>
      <c r="H1920" s="12">
        <v>1434.3000000000002</v>
      </c>
      <c r="I1920" s="13">
        <v>1219.1550000000002</v>
      </c>
      <c r="J1920" s="13">
        <f>Orders[[#This Row],[Quantity]]*Orders[[#This Row],[Selling Price]]</f>
        <v>7171.5000000000009</v>
      </c>
      <c r="K1920" s="13">
        <f>Orders[[#This Row],[Quantity]]*Orders[[#This Row],[Cost Price]]</f>
        <v>6095.7750000000015</v>
      </c>
      <c r="L1920" s="13">
        <f>Orders[[#This Row],[Revenue]]-Orders[[#This Row],[Expenses]]</f>
        <v>1075.7249999999995</v>
      </c>
      <c r="M1920" t="s">
        <v>2192</v>
      </c>
      <c r="N1920" t="str">
        <f>_xlfn.XLOOKUP(Orders[[#This Row],[CustomerID]],Customers[CustomerID],Customers[CustomerName])</f>
        <v>Sani Bello</v>
      </c>
      <c r="O1920" t="str">
        <f>_xlfn.XLOOKUP(Orders[[#This Row],[CustomerID]],Customers[CustomerID],Customers[City])</f>
        <v>Washington</v>
      </c>
      <c r="P1920" t="str">
        <f>_xlfn.XLOOKUP(Orders[[#This Row],[CustomerID]],Customers[CustomerID],Customers[Gender])</f>
        <v>Male</v>
      </c>
      <c r="Q1920">
        <f>_xlfn.XLOOKUP(Orders[[#This Row],[CustomerID]],Customers[CustomerID],Customers[CustomerAge])</f>
        <v>23</v>
      </c>
      <c r="R1920" t="str">
        <f>IF(Orders[[#This Row],[CustomerAge]]&gt;=35, "Older", "Young")</f>
        <v>Young</v>
      </c>
      <c r="S1920" t="str">
        <f>_xlfn.XLOOKUP(Orders[[#This Row],[ProductID]],Products[ProductID],Products[ProductName])</f>
        <v>Gold Bracelets</v>
      </c>
      <c r="T1920" t="str">
        <f>_xlfn.XLOOKUP(Orders[[#This Row],[ProductID]],Products[ProductID],Products[Category])</f>
        <v>Accessories</v>
      </c>
    </row>
    <row r="1921" spans="1:20" x14ac:dyDescent="0.25">
      <c r="A1921" s="4" t="s">
        <v>2110</v>
      </c>
      <c r="B1921" s="5">
        <v>46020</v>
      </c>
      <c r="C1921" s="15">
        <f>WEEKNUM(Orders[[#This Row],[OrderDate]])</f>
        <v>53</v>
      </c>
      <c r="D1921" s="15" t="str">
        <f>TEXT(Orders[[#This Row],[OrderDate]],"mmmm")</f>
        <v>December</v>
      </c>
      <c r="E1921" s="4" t="s">
        <v>227</v>
      </c>
      <c r="F1921" s="4" t="s">
        <v>20</v>
      </c>
      <c r="G1921" s="4">
        <v>10</v>
      </c>
      <c r="H1921" s="12">
        <v>14474</v>
      </c>
      <c r="I1921" s="13">
        <v>12302.9</v>
      </c>
      <c r="J1921" s="13">
        <f>Orders[[#This Row],[Quantity]]*Orders[[#This Row],[Selling Price]]</f>
        <v>144740</v>
      </c>
      <c r="K1921" s="13">
        <f>Orders[[#This Row],[Quantity]]*Orders[[#This Row],[Cost Price]]</f>
        <v>123029</v>
      </c>
      <c r="L1921" s="13">
        <f>Orders[[#This Row],[Revenue]]-Orders[[#This Row],[Expenses]]</f>
        <v>21711</v>
      </c>
      <c r="M1921" t="s">
        <v>2219</v>
      </c>
      <c r="N1921" t="str">
        <f>_xlfn.XLOOKUP(Orders[[#This Row],[CustomerID]],Customers[CustomerID],Customers[CustomerName])</f>
        <v>Emmanuel Victor</v>
      </c>
      <c r="O1921" t="str">
        <f>_xlfn.XLOOKUP(Orders[[#This Row],[CustomerID]],Customers[CustomerID],Customers[City])</f>
        <v>Washington</v>
      </c>
      <c r="P1921" t="str">
        <f>_xlfn.XLOOKUP(Orders[[#This Row],[CustomerID]],Customers[CustomerID],Customers[Gender])</f>
        <v>Male</v>
      </c>
      <c r="Q1921">
        <f>_xlfn.XLOOKUP(Orders[[#This Row],[CustomerID]],Customers[CustomerID],Customers[CustomerAge])</f>
        <v>35</v>
      </c>
      <c r="R1921" t="str">
        <f>IF(Orders[[#This Row],[CustomerAge]]&gt;=35, "Older", "Young")</f>
        <v>Older</v>
      </c>
      <c r="S1921" t="str">
        <f>_xlfn.XLOOKUP(Orders[[#This Row],[ProductID]],Products[ProductID],Products[ProductName])</f>
        <v>Gym Bag</v>
      </c>
      <c r="T1921" t="str">
        <f>_xlfn.XLOOKUP(Orders[[#This Row],[ProductID]],Products[ProductID],Products[Category])</f>
        <v>Gym</v>
      </c>
    </row>
    <row r="1922" spans="1:20" x14ac:dyDescent="0.25">
      <c r="A1922" s="4" t="s">
        <v>2111</v>
      </c>
      <c r="B1922" s="5">
        <v>46005</v>
      </c>
      <c r="C1922" s="15">
        <f>WEEKNUM(Orders[[#This Row],[OrderDate]])</f>
        <v>51</v>
      </c>
      <c r="D1922" s="15" t="str">
        <f>TEXT(Orders[[#This Row],[OrderDate]],"mmmm")</f>
        <v>December</v>
      </c>
      <c r="E1922" s="4" t="s">
        <v>287</v>
      </c>
      <c r="F1922" s="4" t="s">
        <v>70</v>
      </c>
      <c r="G1922" s="4">
        <v>4</v>
      </c>
      <c r="H1922" s="12">
        <v>6701.2</v>
      </c>
      <c r="I1922" s="13">
        <v>5696.0199999999995</v>
      </c>
      <c r="J1922" s="13">
        <f>Orders[[#This Row],[Quantity]]*Orders[[#This Row],[Selling Price]]</f>
        <v>26804.799999999999</v>
      </c>
      <c r="K1922" s="13">
        <f>Orders[[#This Row],[Quantity]]*Orders[[#This Row],[Cost Price]]</f>
        <v>22784.079999999998</v>
      </c>
      <c r="L1922" s="13">
        <f>Orders[[#This Row],[Revenue]]-Orders[[#This Row],[Expenses]]</f>
        <v>4020.7200000000012</v>
      </c>
      <c r="M1922" t="s">
        <v>2205</v>
      </c>
      <c r="N1922" t="str">
        <f>_xlfn.XLOOKUP(Orders[[#This Row],[CustomerID]],Customers[CustomerID],Customers[CustomerName])</f>
        <v>Okon Obi</v>
      </c>
      <c r="O1922" t="str">
        <f>_xlfn.XLOOKUP(Orders[[#This Row],[CustomerID]],Customers[CustomerID],Customers[City])</f>
        <v>Texas</v>
      </c>
      <c r="P1922" t="str">
        <f>_xlfn.XLOOKUP(Orders[[#This Row],[CustomerID]],Customers[CustomerID],Customers[Gender])</f>
        <v>Male</v>
      </c>
      <c r="Q1922">
        <f>_xlfn.XLOOKUP(Orders[[#This Row],[CustomerID]],Customers[CustomerID],Customers[CustomerAge])</f>
        <v>55</v>
      </c>
      <c r="R1922" t="str">
        <f>IF(Orders[[#This Row],[CustomerAge]]&gt;=35, "Older", "Young")</f>
        <v>Older</v>
      </c>
      <c r="S1922" t="str">
        <f>_xlfn.XLOOKUP(Orders[[#This Row],[ProductID]],Products[ProductID],Products[ProductName])</f>
        <v>Yoga Mat</v>
      </c>
      <c r="T1922" t="str">
        <f>_xlfn.XLOOKUP(Orders[[#This Row],[ProductID]],Products[ProductID],Products[Category])</f>
        <v>Gym</v>
      </c>
    </row>
    <row r="1923" spans="1:20" x14ac:dyDescent="0.25">
      <c r="A1923" s="4" t="s">
        <v>2112</v>
      </c>
      <c r="B1923" s="5">
        <v>45953</v>
      </c>
      <c r="C1923" s="15">
        <f>WEEKNUM(Orders[[#This Row],[OrderDate]])</f>
        <v>43</v>
      </c>
      <c r="D1923" s="15" t="str">
        <f>TEXT(Orders[[#This Row],[OrderDate]],"mmmm")</f>
        <v>October</v>
      </c>
      <c r="E1923" s="4" t="s">
        <v>113</v>
      </c>
      <c r="F1923" s="4" t="s">
        <v>25</v>
      </c>
      <c r="G1923" s="4">
        <v>6</v>
      </c>
      <c r="H1923" s="12">
        <v>11537</v>
      </c>
      <c r="I1923" s="13">
        <v>9806.4500000000007</v>
      </c>
      <c r="J1923" s="13">
        <f>Orders[[#This Row],[Quantity]]*Orders[[#This Row],[Selling Price]]</f>
        <v>69222</v>
      </c>
      <c r="K1923" s="13">
        <f>Orders[[#This Row],[Quantity]]*Orders[[#This Row],[Cost Price]]</f>
        <v>58838.700000000004</v>
      </c>
      <c r="L1923" s="13">
        <f>Orders[[#This Row],[Revenue]]-Orders[[#This Row],[Expenses]]</f>
        <v>10383.299999999996</v>
      </c>
      <c r="M1923" t="s">
        <v>2197</v>
      </c>
      <c r="N1923" t="str">
        <f>_xlfn.XLOOKUP(Orders[[#This Row],[CustomerID]],Customers[CustomerID],Customers[CustomerName])</f>
        <v>Uche Igwe</v>
      </c>
      <c r="O1923" t="str">
        <f>_xlfn.XLOOKUP(Orders[[#This Row],[CustomerID]],Customers[CustomerID],Customers[City])</f>
        <v>Texas</v>
      </c>
      <c r="P1923" t="str">
        <f>_xlfn.XLOOKUP(Orders[[#This Row],[CustomerID]],Customers[CustomerID],Customers[Gender])</f>
        <v>Male</v>
      </c>
      <c r="Q1923">
        <f>_xlfn.XLOOKUP(Orders[[#This Row],[CustomerID]],Customers[CustomerID],Customers[CustomerAge])</f>
        <v>35</v>
      </c>
      <c r="R1923" t="str">
        <f>IF(Orders[[#This Row],[CustomerAge]]&gt;=35, "Older", "Young")</f>
        <v>Older</v>
      </c>
      <c r="S1923" t="str">
        <f>_xlfn.XLOOKUP(Orders[[#This Row],[ProductID]],Products[ProductID],Products[ProductName])</f>
        <v>Gold Rings</v>
      </c>
      <c r="T1923" t="str">
        <f>_xlfn.XLOOKUP(Orders[[#This Row],[ProductID]],Products[ProductID],Products[Category])</f>
        <v>Accessories</v>
      </c>
    </row>
    <row r="1924" spans="1:20" x14ac:dyDescent="0.25">
      <c r="A1924" s="4" t="s">
        <v>2113</v>
      </c>
      <c r="B1924" s="5">
        <v>45951</v>
      </c>
      <c r="C1924" s="15">
        <f>WEEKNUM(Orders[[#This Row],[OrderDate]])</f>
        <v>43</v>
      </c>
      <c r="D1924" s="15" t="str">
        <f>TEXT(Orders[[#This Row],[OrderDate]],"mmmm")</f>
        <v>October</v>
      </c>
      <c r="E1924" s="4" t="s">
        <v>98</v>
      </c>
      <c r="F1924" s="4" t="s">
        <v>111</v>
      </c>
      <c r="G1924" s="4">
        <v>1</v>
      </c>
      <c r="H1924" s="12">
        <v>16522.8</v>
      </c>
      <c r="I1924" s="13">
        <v>14044.38</v>
      </c>
      <c r="J1924" s="13">
        <f>Orders[[#This Row],[Quantity]]*Orders[[#This Row],[Selling Price]]</f>
        <v>16522.8</v>
      </c>
      <c r="K1924" s="13">
        <f>Orders[[#This Row],[Quantity]]*Orders[[#This Row],[Cost Price]]</f>
        <v>14044.38</v>
      </c>
      <c r="L1924" s="13">
        <f>Orders[[#This Row],[Revenue]]-Orders[[#This Row],[Expenses]]</f>
        <v>2478.42</v>
      </c>
      <c r="M1924" t="s">
        <v>2207</v>
      </c>
      <c r="N1924" t="str">
        <f>_xlfn.XLOOKUP(Orders[[#This Row],[CustomerID]],Customers[CustomerID],Customers[CustomerName])</f>
        <v>Chioma Adeyemi</v>
      </c>
      <c r="O1924" t="str">
        <f>_xlfn.XLOOKUP(Orders[[#This Row],[CustomerID]],Customers[CustomerID],Customers[City])</f>
        <v>Illinois</v>
      </c>
      <c r="P1924" t="str">
        <f>_xlfn.XLOOKUP(Orders[[#This Row],[CustomerID]],Customers[CustomerID],Customers[Gender])</f>
        <v>Female</v>
      </c>
      <c r="Q1924">
        <f>_xlfn.XLOOKUP(Orders[[#This Row],[CustomerID]],Customers[CustomerID],Customers[CustomerAge])</f>
        <v>23</v>
      </c>
      <c r="R1924" t="str">
        <f>IF(Orders[[#This Row],[CustomerAge]]&gt;=35, "Older", "Young")</f>
        <v>Young</v>
      </c>
      <c r="S1924" t="str">
        <f>_xlfn.XLOOKUP(Orders[[#This Row],[ProductID]],Products[ProductID],Products[ProductName])</f>
        <v>Refrigerator</v>
      </c>
      <c r="T1924" t="str">
        <f>_xlfn.XLOOKUP(Orders[[#This Row],[ProductID]],Products[ProductID],Products[Category])</f>
        <v>Electronics</v>
      </c>
    </row>
    <row r="1925" spans="1:20" x14ac:dyDescent="0.25">
      <c r="A1925" s="4" t="s">
        <v>2114</v>
      </c>
      <c r="B1925" s="5">
        <v>45961</v>
      </c>
      <c r="C1925" s="15">
        <f>WEEKNUM(Orders[[#This Row],[OrderDate]])</f>
        <v>44</v>
      </c>
      <c r="D1925" s="15" t="str">
        <f>TEXT(Orders[[#This Row],[OrderDate]],"mmmm")</f>
        <v>October</v>
      </c>
      <c r="E1925" s="4" t="s">
        <v>216</v>
      </c>
      <c r="F1925" s="4" t="s">
        <v>28</v>
      </c>
      <c r="G1925" s="4">
        <v>6</v>
      </c>
      <c r="H1925" s="12">
        <v>3723.1</v>
      </c>
      <c r="I1925" s="13">
        <v>3164.6350000000002</v>
      </c>
      <c r="J1925" s="13">
        <f>Orders[[#This Row],[Quantity]]*Orders[[#This Row],[Selling Price]]</f>
        <v>22338.6</v>
      </c>
      <c r="K1925" s="13">
        <f>Orders[[#This Row],[Quantity]]*Orders[[#This Row],[Cost Price]]</f>
        <v>18987.810000000001</v>
      </c>
      <c r="L1925" s="13">
        <f>Orders[[#This Row],[Revenue]]-Orders[[#This Row],[Expenses]]</f>
        <v>3350.7899999999972</v>
      </c>
      <c r="M1925" t="s">
        <v>2215</v>
      </c>
      <c r="N1925" t="str">
        <f>_xlfn.XLOOKUP(Orders[[#This Row],[CustomerID]],Customers[CustomerID],Customers[CustomerName])</f>
        <v>Ngozi Obi</v>
      </c>
      <c r="O1925" t="str">
        <f>_xlfn.XLOOKUP(Orders[[#This Row],[CustomerID]],Customers[CustomerID],Customers[City])</f>
        <v>California</v>
      </c>
      <c r="P1925" t="str">
        <f>_xlfn.XLOOKUP(Orders[[#This Row],[CustomerID]],Customers[CustomerID],Customers[Gender])</f>
        <v>Female</v>
      </c>
      <c r="Q1925">
        <f>_xlfn.XLOOKUP(Orders[[#This Row],[CustomerID]],Customers[CustomerID],Customers[CustomerAge])</f>
        <v>54</v>
      </c>
      <c r="R1925" t="str">
        <f>IF(Orders[[#This Row],[CustomerAge]]&gt;=35, "Older", "Young")</f>
        <v>Older</v>
      </c>
      <c r="S1925" t="str">
        <f>_xlfn.XLOOKUP(Orders[[#This Row],[ProductID]],Products[ProductID],Products[ProductName])</f>
        <v>Sneakers</v>
      </c>
      <c r="T1925" t="str">
        <f>_xlfn.XLOOKUP(Orders[[#This Row],[ProductID]],Products[ProductID],Products[Category])</f>
        <v>Sports</v>
      </c>
    </row>
    <row r="1926" spans="1:20" x14ac:dyDescent="0.25">
      <c r="A1926" s="4" t="s">
        <v>2115</v>
      </c>
      <c r="B1926" s="5">
        <v>45983</v>
      </c>
      <c r="C1926" s="15">
        <f>WEEKNUM(Orders[[#This Row],[OrderDate]])</f>
        <v>47</v>
      </c>
      <c r="D1926" s="15" t="str">
        <f>TEXT(Orders[[#This Row],[OrderDate]],"mmmm")</f>
        <v>November</v>
      </c>
      <c r="E1926" s="4" t="s">
        <v>444</v>
      </c>
      <c r="F1926" s="4" t="s">
        <v>23</v>
      </c>
      <c r="G1926" s="4">
        <v>2</v>
      </c>
      <c r="H1926" s="12">
        <v>16981.199999999997</v>
      </c>
      <c r="I1926" s="13">
        <v>14434.019999999997</v>
      </c>
      <c r="J1926" s="13">
        <f>Orders[[#This Row],[Quantity]]*Orders[[#This Row],[Selling Price]]</f>
        <v>33962.399999999994</v>
      </c>
      <c r="K1926" s="13">
        <f>Orders[[#This Row],[Quantity]]*Orders[[#This Row],[Cost Price]]</f>
        <v>28868.039999999994</v>
      </c>
      <c r="L1926" s="13">
        <f>Orders[[#This Row],[Revenue]]-Orders[[#This Row],[Expenses]]</f>
        <v>5094.3600000000006</v>
      </c>
      <c r="M1926" t="s">
        <v>2206</v>
      </c>
      <c r="N1926" t="str">
        <f>_xlfn.XLOOKUP(Orders[[#This Row],[CustomerID]],Customers[CustomerID],Customers[CustomerName])</f>
        <v>Blessing Eze</v>
      </c>
      <c r="O1926" t="str">
        <f>_xlfn.XLOOKUP(Orders[[#This Row],[CustomerID]],Customers[CustomerID],Customers[City])</f>
        <v>Texas</v>
      </c>
      <c r="P1926" t="str">
        <f>_xlfn.XLOOKUP(Orders[[#This Row],[CustomerID]],Customers[CustomerID],Customers[Gender])</f>
        <v>Female</v>
      </c>
      <c r="Q1926">
        <f>_xlfn.XLOOKUP(Orders[[#This Row],[CustomerID]],Customers[CustomerID],Customers[CustomerAge])</f>
        <v>24</v>
      </c>
      <c r="R1926" t="str">
        <f>IF(Orders[[#This Row],[CustomerAge]]&gt;=35, "Older", "Young")</f>
        <v>Young</v>
      </c>
      <c r="S1926" t="str">
        <f>_xlfn.XLOOKUP(Orders[[#This Row],[ProductID]],Products[ProductID],Products[ProductName])</f>
        <v>Gym Gloves</v>
      </c>
      <c r="T1926" t="str">
        <f>_xlfn.XLOOKUP(Orders[[#This Row],[ProductID]],Products[ProductID],Products[Category])</f>
        <v>Gym</v>
      </c>
    </row>
    <row r="1927" spans="1:20" x14ac:dyDescent="0.25">
      <c r="A1927" s="4" t="s">
        <v>2116</v>
      </c>
      <c r="B1927" s="5">
        <v>45967</v>
      </c>
      <c r="C1927" s="15">
        <f>WEEKNUM(Orders[[#This Row],[OrderDate]])</f>
        <v>45</v>
      </c>
      <c r="D1927" s="15" t="str">
        <f>TEXT(Orders[[#This Row],[OrderDate]],"mmmm")</f>
        <v>November</v>
      </c>
      <c r="E1927" s="4" t="s">
        <v>122</v>
      </c>
      <c r="F1927" s="4" t="s">
        <v>28</v>
      </c>
      <c r="G1927" s="4">
        <v>4</v>
      </c>
      <c r="H1927" s="12">
        <v>9056.6999999999989</v>
      </c>
      <c r="I1927" s="13">
        <v>7698.1949999999988</v>
      </c>
      <c r="J1927" s="13">
        <f>Orders[[#This Row],[Quantity]]*Orders[[#This Row],[Selling Price]]</f>
        <v>36226.799999999996</v>
      </c>
      <c r="K1927" s="13">
        <f>Orders[[#This Row],[Quantity]]*Orders[[#This Row],[Cost Price]]</f>
        <v>30792.779999999995</v>
      </c>
      <c r="L1927" s="13">
        <f>Orders[[#This Row],[Revenue]]-Orders[[#This Row],[Expenses]]</f>
        <v>5434.02</v>
      </c>
      <c r="M1927" t="s">
        <v>2210</v>
      </c>
      <c r="N1927" t="str">
        <f>_xlfn.XLOOKUP(Orders[[#This Row],[CustomerID]],Customers[CustomerID],Customers[CustomerName])</f>
        <v>Ibrahim Eze</v>
      </c>
      <c r="O1927" t="str">
        <f>_xlfn.XLOOKUP(Orders[[#This Row],[CustomerID]],Customers[CustomerID],Customers[City])</f>
        <v>Texas</v>
      </c>
      <c r="P1927" t="str">
        <f>_xlfn.XLOOKUP(Orders[[#This Row],[CustomerID]],Customers[CustomerID],Customers[Gender])</f>
        <v>Male</v>
      </c>
      <c r="Q1927">
        <f>_xlfn.XLOOKUP(Orders[[#This Row],[CustomerID]],Customers[CustomerID],Customers[CustomerAge])</f>
        <v>52</v>
      </c>
      <c r="R1927" t="str">
        <f>IF(Orders[[#This Row],[CustomerAge]]&gt;=35, "Older", "Young")</f>
        <v>Older</v>
      </c>
      <c r="S1927" t="str">
        <f>_xlfn.XLOOKUP(Orders[[#This Row],[ProductID]],Products[ProductID],Products[ProductName])</f>
        <v>Sneakers</v>
      </c>
      <c r="T1927" t="str">
        <f>_xlfn.XLOOKUP(Orders[[#This Row],[ProductID]],Products[ProductID],Products[Category])</f>
        <v>Sports</v>
      </c>
    </row>
    <row r="1928" spans="1:20" x14ac:dyDescent="0.25">
      <c r="A1928" s="4" t="s">
        <v>2117</v>
      </c>
      <c r="B1928" s="5">
        <v>45984</v>
      </c>
      <c r="C1928" s="15">
        <f>WEEKNUM(Orders[[#This Row],[OrderDate]])</f>
        <v>48</v>
      </c>
      <c r="D1928" s="15" t="str">
        <f>TEXT(Orders[[#This Row],[OrderDate]],"mmmm")</f>
        <v>November</v>
      </c>
      <c r="E1928" s="4" t="s">
        <v>59</v>
      </c>
      <c r="F1928" s="4" t="s">
        <v>127</v>
      </c>
      <c r="G1928" s="4">
        <v>3</v>
      </c>
      <c r="H1928" s="12">
        <v>4387.0999999999995</v>
      </c>
      <c r="I1928" s="13">
        <v>3729.0349999999994</v>
      </c>
      <c r="J1928" s="13">
        <f>Orders[[#This Row],[Quantity]]*Orders[[#This Row],[Selling Price]]</f>
        <v>13161.3</v>
      </c>
      <c r="K1928" s="13">
        <f>Orders[[#This Row],[Quantity]]*Orders[[#This Row],[Cost Price]]</f>
        <v>11187.104999999998</v>
      </c>
      <c r="L1928" s="13">
        <f>Orders[[#This Row],[Revenue]]-Orders[[#This Row],[Expenses]]</f>
        <v>1974.1950000000015</v>
      </c>
      <c r="M1928" t="s">
        <v>2218</v>
      </c>
      <c r="N1928" t="str">
        <f>_xlfn.XLOOKUP(Orders[[#This Row],[CustomerID]],Customers[CustomerID],Customers[CustomerName])</f>
        <v>Adanma Danladi</v>
      </c>
      <c r="O1928" t="str">
        <f>_xlfn.XLOOKUP(Orders[[#This Row],[CustomerID]],Customers[CustomerID],Customers[City])</f>
        <v>Texas</v>
      </c>
      <c r="P1928" t="str">
        <f>_xlfn.XLOOKUP(Orders[[#This Row],[CustomerID]],Customers[CustomerID],Customers[Gender])</f>
        <v>Female</v>
      </c>
      <c r="Q1928">
        <f>_xlfn.XLOOKUP(Orders[[#This Row],[CustomerID]],Customers[CustomerID],Customers[CustomerAge])</f>
        <v>24</v>
      </c>
      <c r="R1928" t="str">
        <f>IF(Orders[[#This Row],[CustomerAge]]&gt;=35, "Older", "Young")</f>
        <v>Young</v>
      </c>
      <c r="S1928" t="str">
        <f>_xlfn.XLOOKUP(Orders[[#This Row],[ProductID]],Products[ProductID],Products[ProductName])</f>
        <v>Tops</v>
      </c>
      <c r="T1928" t="str">
        <f>_xlfn.XLOOKUP(Orders[[#This Row],[ProductID]],Products[ProductID],Products[Category])</f>
        <v>Clothing</v>
      </c>
    </row>
    <row r="1929" spans="1:20" x14ac:dyDescent="0.25">
      <c r="A1929" s="4" t="s">
        <v>2118</v>
      </c>
      <c r="B1929" s="5">
        <v>46011</v>
      </c>
      <c r="C1929" s="15">
        <f>WEEKNUM(Orders[[#This Row],[OrderDate]])</f>
        <v>51</v>
      </c>
      <c r="D1929" s="15" t="str">
        <f>TEXT(Orders[[#This Row],[OrderDate]],"mmmm")</f>
        <v>December</v>
      </c>
      <c r="E1929" s="4" t="s">
        <v>48</v>
      </c>
      <c r="F1929" s="4" t="s">
        <v>70</v>
      </c>
      <c r="G1929" s="4">
        <v>3</v>
      </c>
      <c r="H1929" s="12">
        <v>11511.400000000001</v>
      </c>
      <c r="I1929" s="13">
        <v>9784.69</v>
      </c>
      <c r="J1929" s="13">
        <f>Orders[[#This Row],[Quantity]]*Orders[[#This Row],[Selling Price]]</f>
        <v>34534.200000000004</v>
      </c>
      <c r="K1929" s="13">
        <f>Orders[[#This Row],[Quantity]]*Orders[[#This Row],[Cost Price]]</f>
        <v>29354.07</v>
      </c>
      <c r="L1929" s="13">
        <f>Orders[[#This Row],[Revenue]]-Orders[[#This Row],[Expenses]]</f>
        <v>5180.1300000000047</v>
      </c>
      <c r="M1929" t="s">
        <v>2215</v>
      </c>
      <c r="N1929" t="str">
        <f>_xlfn.XLOOKUP(Orders[[#This Row],[CustomerID]],Customers[CustomerID],Customers[CustomerName])</f>
        <v>Mustafa Obi</v>
      </c>
      <c r="O1929" t="str">
        <f>_xlfn.XLOOKUP(Orders[[#This Row],[CustomerID]],Customers[CustomerID],Customers[City])</f>
        <v>California</v>
      </c>
      <c r="P1929" t="str">
        <f>_xlfn.XLOOKUP(Orders[[#This Row],[CustomerID]],Customers[CustomerID],Customers[Gender])</f>
        <v>Male</v>
      </c>
      <c r="Q1929">
        <f>_xlfn.XLOOKUP(Orders[[#This Row],[CustomerID]],Customers[CustomerID],Customers[CustomerAge])</f>
        <v>23</v>
      </c>
      <c r="R1929" t="str">
        <f>IF(Orders[[#This Row],[CustomerAge]]&gt;=35, "Older", "Young")</f>
        <v>Young</v>
      </c>
      <c r="S1929" t="str">
        <f>_xlfn.XLOOKUP(Orders[[#This Row],[ProductID]],Products[ProductID],Products[ProductName])</f>
        <v>Yoga Mat</v>
      </c>
      <c r="T1929" t="str">
        <f>_xlfn.XLOOKUP(Orders[[#This Row],[ProductID]],Products[ProductID],Products[Category])</f>
        <v>Gym</v>
      </c>
    </row>
    <row r="1930" spans="1:20" x14ac:dyDescent="0.25">
      <c r="A1930" s="4" t="s">
        <v>2119</v>
      </c>
      <c r="B1930" s="5">
        <v>45945</v>
      </c>
      <c r="C1930" s="15">
        <f>WEEKNUM(Orders[[#This Row],[OrderDate]])</f>
        <v>42</v>
      </c>
      <c r="D1930" s="15" t="str">
        <f>TEXT(Orders[[#This Row],[OrderDate]],"mmmm")</f>
        <v>October</v>
      </c>
      <c r="E1930" s="4" t="s">
        <v>285</v>
      </c>
      <c r="F1930" s="4" t="s">
        <v>66</v>
      </c>
      <c r="G1930" s="4">
        <v>4</v>
      </c>
      <c r="H1930" s="12">
        <v>18375.2</v>
      </c>
      <c r="I1930" s="13">
        <v>15618.92</v>
      </c>
      <c r="J1930" s="13">
        <f>Orders[[#This Row],[Quantity]]*Orders[[#This Row],[Selling Price]]</f>
        <v>73500.800000000003</v>
      </c>
      <c r="K1930" s="13">
        <f>Orders[[#This Row],[Quantity]]*Orders[[#This Row],[Cost Price]]</f>
        <v>62475.68</v>
      </c>
      <c r="L1930" s="13">
        <f>Orders[[#This Row],[Revenue]]-Orders[[#This Row],[Expenses]]</f>
        <v>11025.120000000003</v>
      </c>
      <c r="M1930" t="s">
        <v>2213</v>
      </c>
      <c r="N1930" t="str">
        <f>_xlfn.XLOOKUP(Orders[[#This Row],[CustomerID]],Customers[CustomerID],Customers[CustomerName])</f>
        <v>Sani Balogun</v>
      </c>
      <c r="O1930" t="str">
        <f>_xlfn.XLOOKUP(Orders[[#This Row],[CustomerID]],Customers[CustomerID],Customers[City])</f>
        <v>California</v>
      </c>
      <c r="P1930" t="str">
        <f>_xlfn.XLOOKUP(Orders[[#This Row],[CustomerID]],Customers[CustomerID],Customers[Gender])</f>
        <v>Male</v>
      </c>
      <c r="Q1930">
        <f>_xlfn.XLOOKUP(Orders[[#This Row],[CustomerID]],Customers[CustomerID],Customers[CustomerAge])</f>
        <v>27</v>
      </c>
      <c r="R1930" t="str">
        <f>IF(Orders[[#This Row],[CustomerAge]]&gt;=35, "Older", "Young")</f>
        <v>Young</v>
      </c>
      <c r="S1930" t="str">
        <f>_xlfn.XLOOKUP(Orders[[#This Row],[ProductID]],Products[ProductID],Products[ProductName])</f>
        <v>Microwave</v>
      </c>
      <c r="T1930" t="str">
        <f>_xlfn.XLOOKUP(Orders[[#This Row],[ProductID]],Products[ProductID],Products[Category])</f>
        <v>Electronics</v>
      </c>
    </row>
    <row r="1931" spans="1:20" x14ac:dyDescent="0.25">
      <c r="A1931" s="4" t="s">
        <v>2120</v>
      </c>
      <c r="B1931" s="5">
        <v>45972</v>
      </c>
      <c r="C1931" s="15">
        <f>WEEKNUM(Orders[[#This Row],[OrderDate]])</f>
        <v>46</v>
      </c>
      <c r="D1931" s="15" t="str">
        <f>TEXT(Orders[[#This Row],[OrderDate]],"mmmm")</f>
        <v>November</v>
      </c>
      <c r="E1931" s="4" t="s">
        <v>83</v>
      </c>
      <c r="F1931" s="4" t="s">
        <v>76</v>
      </c>
      <c r="G1931" s="4">
        <v>4</v>
      </c>
      <c r="H1931" s="12">
        <v>4158.8999999999996</v>
      </c>
      <c r="I1931" s="13">
        <v>3535.0649999999996</v>
      </c>
      <c r="J1931" s="13">
        <f>Orders[[#This Row],[Quantity]]*Orders[[#This Row],[Selling Price]]</f>
        <v>16635.599999999999</v>
      </c>
      <c r="K1931" s="13">
        <f>Orders[[#This Row],[Quantity]]*Orders[[#This Row],[Cost Price]]</f>
        <v>14140.259999999998</v>
      </c>
      <c r="L1931" s="13">
        <f>Orders[[#This Row],[Revenue]]-Orders[[#This Row],[Expenses]]</f>
        <v>2495.34</v>
      </c>
      <c r="M1931" t="s">
        <v>2205</v>
      </c>
      <c r="N1931" t="str">
        <f>_xlfn.XLOOKUP(Orders[[#This Row],[CustomerID]],Customers[CustomerID],Customers[CustomerName])</f>
        <v>Funke Danladi</v>
      </c>
      <c r="O1931" t="str">
        <f>_xlfn.XLOOKUP(Orders[[#This Row],[CustomerID]],Customers[CustomerID],Customers[City])</f>
        <v>Florida</v>
      </c>
      <c r="P1931" t="str">
        <f>_xlfn.XLOOKUP(Orders[[#This Row],[CustomerID]],Customers[CustomerID],Customers[Gender])</f>
        <v>Female</v>
      </c>
      <c r="Q1931">
        <f>_xlfn.XLOOKUP(Orders[[#This Row],[CustomerID]],Customers[CustomerID],Customers[CustomerAge])</f>
        <v>26</v>
      </c>
      <c r="R1931" t="str">
        <f>IF(Orders[[#This Row],[CustomerAge]]&gt;=35, "Older", "Young")</f>
        <v>Young</v>
      </c>
      <c r="S1931" t="str">
        <f>_xlfn.XLOOKUP(Orders[[#This Row],[ProductID]],Products[ProductID],Products[ProductName])</f>
        <v>Blender</v>
      </c>
      <c r="T1931" t="str">
        <f>_xlfn.XLOOKUP(Orders[[#This Row],[ProductID]],Products[ProductID],Products[Category])</f>
        <v>Electronics</v>
      </c>
    </row>
    <row r="1932" spans="1:20" x14ac:dyDescent="0.25">
      <c r="A1932" s="4" t="s">
        <v>2121</v>
      </c>
      <c r="B1932" s="5">
        <v>45952</v>
      </c>
      <c r="C1932" s="15">
        <f>WEEKNUM(Orders[[#This Row],[OrderDate]])</f>
        <v>43</v>
      </c>
      <c r="D1932" s="15" t="str">
        <f>TEXT(Orders[[#This Row],[OrderDate]],"mmmm")</f>
        <v>October</v>
      </c>
      <c r="E1932" s="4" t="s">
        <v>148</v>
      </c>
      <c r="F1932" s="4" t="s">
        <v>37</v>
      </c>
      <c r="G1932" s="4">
        <v>3</v>
      </c>
      <c r="H1932" s="12">
        <v>609.20000000000005</v>
      </c>
      <c r="I1932" s="13">
        <v>517.82000000000005</v>
      </c>
      <c r="J1932" s="13">
        <f>Orders[[#This Row],[Quantity]]*Orders[[#This Row],[Selling Price]]</f>
        <v>1827.6000000000001</v>
      </c>
      <c r="K1932" s="13">
        <f>Orders[[#This Row],[Quantity]]*Orders[[#This Row],[Cost Price]]</f>
        <v>1553.46</v>
      </c>
      <c r="L1932" s="13">
        <f>Orders[[#This Row],[Revenue]]-Orders[[#This Row],[Expenses]]</f>
        <v>274.1400000000001</v>
      </c>
      <c r="M1932" t="s">
        <v>2215</v>
      </c>
      <c r="N1932" t="str">
        <f>_xlfn.XLOOKUP(Orders[[#This Row],[CustomerID]],Customers[CustomerID],Customers[CustomerName])</f>
        <v>Zainab Abubakar</v>
      </c>
      <c r="O1932" t="str">
        <f>_xlfn.XLOOKUP(Orders[[#This Row],[CustomerID]],Customers[CustomerID],Customers[City])</f>
        <v>Florida</v>
      </c>
      <c r="P1932" t="str">
        <f>_xlfn.XLOOKUP(Orders[[#This Row],[CustomerID]],Customers[CustomerID],Customers[Gender])</f>
        <v>Female</v>
      </c>
      <c r="Q1932">
        <f>_xlfn.XLOOKUP(Orders[[#This Row],[CustomerID]],Customers[CustomerID],Customers[CustomerAge])</f>
        <v>29</v>
      </c>
      <c r="R1932" t="str">
        <f>IF(Orders[[#This Row],[CustomerAge]]&gt;=35, "Older", "Young")</f>
        <v>Young</v>
      </c>
      <c r="S1932" t="str">
        <f>_xlfn.XLOOKUP(Orders[[#This Row],[ProductID]],Products[ProductID],Products[ProductName])</f>
        <v>Iron</v>
      </c>
      <c r="T1932" t="str">
        <f>_xlfn.XLOOKUP(Orders[[#This Row],[ProductID]],Products[ProductID],Products[Category])</f>
        <v>Electronics</v>
      </c>
    </row>
    <row r="1933" spans="1:20" x14ac:dyDescent="0.25">
      <c r="A1933" s="4" t="s">
        <v>2122</v>
      </c>
      <c r="B1933" s="5">
        <v>45963</v>
      </c>
      <c r="C1933" s="15">
        <f>WEEKNUM(Orders[[#This Row],[OrderDate]])</f>
        <v>45</v>
      </c>
      <c r="D1933" s="15" t="str">
        <f>TEXT(Orders[[#This Row],[OrderDate]],"mmmm")</f>
        <v>November</v>
      </c>
      <c r="E1933" s="4" t="s">
        <v>444</v>
      </c>
      <c r="F1933" s="4" t="s">
        <v>25</v>
      </c>
      <c r="G1933" s="4">
        <v>3</v>
      </c>
      <c r="H1933" s="12">
        <v>11973</v>
      </c>
      <c r="I1933" s="13">
        <v>10177.049999999999</v>
      </c>
      <c r="J1933" s="13">
        <f>Orders[[#This Row],[Quantity]]*Orders[[#This Row],[Selling Price]]</f>
        <v>35919</v>
      </c>
      <c r="K1933" s="13">
        <f>Orders[[#This Row],[Quantity]]*Orders[[#This Row],[Cost Price]]</f>
        <v>30531.149999999998</v>
      </c>
      <c r="L1933" s="13">
        <f>Orders[[#This Row],[Revenue]]-Orders[[#This Row],[Expenses]]</f>
        <v>5387.8500000000022</v>
      </c>
      <c r="M1933" t="s">
        <v>2194</v>
      </c>
      <c r="N1933" t="str">
        <f>_xlfn.XLOOKUP(Orders[[#This Row],[CustomerID]],Customers[CustomerID],Customers[CustomerName])</f>
        <v>Blessing Eze</v>
      </c>
      <c r="O1933" t="str">
        <f>_xlfn.XLOOKUP(Orders[[#This Row],[CustomerID]],Customers[CustomerID],Customers[City])</f>
        <v>Texas</v>
      </c>
      <c r="P1933" t="str">
        <f>_xlfn.XLOOKUP(Orders[[#This Row],[CustomerID]],Customers[CustomerID],Customers[Gender])</f>
        <v>Female</v>
      </c>
      <c r="Q1933">
        <f>_xlfn.XLOOKUP(Orders[[#This Row],[CustomerID]],Customers[CustomerID],Customers[CustomerAge])</f>
        <v>24</v>
      </c>
      <c r="R1933" t="str">
        <f>IF(Orders[[#This Row],[CustomerAge]]&gt;=35, "Older", "Young")</f>
        <v>Young</v>
      </c>
      <c r="S1933" t="str">
        <f>_xlfn.XLOOKUP(Orders[[#This Row],[ProductID]],Products[ProductID],Products[ProductName])</f>
        <v>Gold Rings</v>
      </c>
      <c r="T1933" t="str">
        <f>_xlfn.XLOOKUP(Orders[[#This Row],[ProductID]],Products[ProductID],Products[Category])</f>
        <v>Accessories</v>
      </c>
    </row>
    <row r="1934" spans="1:20" x14ac:dyDescent="0.25">
      <c r="A1934" s="4" t="s">
        <v>2123</v>
      </c>
      <c r="B1934" s="5">
        <v>45986</v>
      </c>
      <c r="C1934" s="15">
        <f>WEEKNUM(Orders[[#This Row],[OrderDate]])</f>
        <v>48</v>
      </c>
      <c r="D1934" s="15" t="str">
        <f>TEXT(Orders[[#This Row],[OrderDate]],"mmmm")</f>
        <v>November</v>
      </c>
      <c r="E1934" s="4" t="s">
        <v>239</v>
      </c>
      <c r="F1934" s="4" t="s">
        <v>57</v>
      </c>
      <c r="G1934" s="4">
        <v>6</v>
      </c>
      <c r="H1934" s="12">
        <v>5237.8999999999996</v>
      </c>
      <c r="I1934" s="13">
        <v>4452.2150000000001</v>
      </c>
      <c r="J1934" s="13">
        <f>Orders[[#This Row],[Quantity]]*Orders[[#This Row],[Selling Price]]</f>
        <v>31427.399999999998</v>
      </c>
      <c r="K1934" s="13">
        <f>Orders[[#This Row],[Quantity]]*Orders[[#This Row],[Cost Price]]</f>
        <v>26713.29</v>
      </c>
      <c r="L1934" s="13">
        <f>Orders[[#This Row],[Revenue]]-Orders[[#This Row],[Expenses]]</f>
        <v>4714.1099999999969</v>
      </c>
      <c r="M1934" t="s">
        <v>2192</v>
      </c>
      <c r="N1934" t="str">
        <f>_xlfn.XLOOKUP(Orders[[#This Row],[CustomerID]],Customers[CustomerID],Customers[CustomerName])</f>
        <v>Emeka Danladi</v>
      </c>
      <c r="O1934" t="str">
        <f>_xlfn.XLOOKUP(Orders[[#This Row],[CustomerID]],Customers[CustomerID],Customers[City])</f>
        <v>Florida</v>
      </c>
      <c r="P1934" t="str">
        <f>_xlfn.XLOOKUP(Orders[[#This Row],[CustomerID]],Customers[CustomerID],Customers[Gender])</f>
        <v>Male</v>
      </c>
      <c r="Q1934">
        <f>_xlfn.XLOOKUP(Orders[[#This Row],[CustomerID]],Customers[CustomerID],Customers[CustomerAge])</f>
        <v>23</v>
      </c>
      <c r="R1934" t="str">
        <f>IF(Orders[[#This Row],[CustomerAge]]&gt;=35, "Older", "Young")</f>
        <v>Young</v>
      </c>
      <c r="S1934" t="str">
        <f>_xlfn.XLOOKUP(Orders[[#This Row],[ProductID]],Products[ProductID],Products[ProductName])</f>
        <v>Badminton Racket</v>
      </c>
      <c r="T1934" t="str">
        <f>_xlfn.XLOOKUP(Orders[[#This Row],[ProductID]],Products[ProductID],Products[Category])</f>
        <v>Sports</v>
      </c>
    </row>
    <row r="1935" spans="1:20" x14ac:dyDescent="0.25">
      <c r="A1935" s="4" t="s">
        <v>2124</v>
      </c>
      <c r="B1935" s="5">
        <v>46001</v>
      </c>
      <c r="C1935" s="15">
        <f>WEEKNUM(Orders[[#This Row],[OrderDate]])</f>
        <v>50</v>
      </c>
      <c r="D1935" s="15" t="str">
        <f>TEXT(Orders[[#This Row],[OrderDate]],"mmmm")</f>
        <v>December</v>
      </c>
      <c r="E1935" s="4" t="s">
        <v>68</v>
      </c>
      <c r="F1935" s="4" t="s">
        <v>63</v>
      </c>
      <c r="G1935" s="4">
        <v>3</v>
      </c>
      <c r="H1935" s="12">
        <v>16220.5</v>
      </c>
      <c r="I1935" s="13">
        <v>13787.424999999999</v>
      </c>
      <c r="J1935" s="13">
        <f>Orders[[#This Row],[Quantity]]*Orders[[#This Row],[Selling Price]]</f>
        <v>48661.5</v>
      </c>
      <c r="K1935" s="13">
        <f>Orders[[#This Row],[Quantity]]*Orders[[#This Row],[Cost Price]]</f>
        <v>41362.274999999994</v>
      </c>
      <c r="L1935" s="13">
        <f>Orders[[#This Row],[Revenue]]-Orders[[#This Row],[Expenses]]</f>
        <v>7299.2250000000058</v>
      </c>
      <c r="M1935" t="s">
        <v>2207</v>
      </c>
      <c r="N1935" t="str">
        <f>_xlfn.XLOOKUP(Orders[[#This Row],[CustomerID]],Customers[CustomerID],Customers[CustomerName])</f>
        <v>Abiola Balogun</v>
      </c>
      <c r="O1935" t="str">
        <f>_xlfn.XLOOKUP(Orders[[#This Row],[CustomerID]],Customers[CustomerID],Customers[City])</f>
        <v>Texas</v>
      </c>
      <c r="P1935" t="str">
        <f>_xlfn.XLOOKUP(Orders[[#This Row],[CustomerID]],Customers[CustomerID],Customers[Gender])</f>
        <v>Male</v>
      </c>
      <c r="Q1935">
        <f>_xlfn.XLOOKUP(Orders[[#This Row],[CustomerID]],Customers[CustomerID],Customers[CustomerAge])</f>
        <v>29</v>
      </c>
      <c r="R1935" t="str">
        <f>IF(Orders[[#This Row],[CustomerAge]]&gt;=35, "Older", "Young")</f>
        <v>Young</v>
      </c>
      <c r="S1935" t="str">
        <f>_xlfn.XLOOKUP(Orders[[#This Row],[ProductID]],Products[ProductID],Products[ProductName])</f>
        <v>Tennis Bat</v>
      </c>
      <c r="T1935" t="str">
        <f>_xlfn.XLOOKUP(Orders[[#This Row],[ProductID]],Products[ProductID],Products[Category])</f>
        <v>Sports</v>
      </c>
    </row>
    <row r="1936" spans="1:20" x14ac:dyDescent="0.25">
      <c r="A1936" s="4" t="s">
        <v>2125</v>
      </c>
      <c r="B1936" s="5">
        <v>45996</v>
      </c>
      <c r="C1936" s="15">
        <f>WEEKNUM(Orders[[#This Row],[OrderDate]])</f>
        <v>49</v>
      </c>
      <c r="D1936" s="15" t="str">
        <f>TEXT(Orders[[#This Row],[OrderDate]],"mmmm")</f>
        <v>December</v>
      </c>
      <c r="E1936" s="4" t="s">
        <v>416</v>
      </c>
      <c r="F1936" s="4" t="s">
        <v>28</v>
      </c>
      <c r="G1936" s="4">
        <v>2</v>
      </c>
      <c r="H1936" s="12">
        <v>18779.7</v>
      </c>
      <c r="I1936" s="13">
        <v>15962.745000000001</v>
      </c>
      <c r="J1936" s="13">
        <f>Orders[[#This Row],[Quantity]]*Orders[[#This Row],[Selling Price]]</f>
        <v>37559.4</v>
      </c>
      <c r="K1936" s="13">
        <f>Orders[[#This Row],[Quantity]]*Orders[[#This Row],[Cost Price]]</f>
        <v>31925.49</v>
      </c>
      <c r="L1936" s="13">
        <f>Orders[[#This Row],[Revenue]]-Orders[[#This Row],[Expenses]]</f>
        <v>5633.91</v>
      </c>
      <c r="M1936" t="s">
        <v>2217</v>
      </c>
      <c r="N1936" t="str">
        <f>_xlfn.XLOOKUP(Orders[[#This Row],[CustomerID]],Customers[CustomerID],Customers[CustomerName])</f>
        <v>Chinedu Igwe</v>
      </c>
      <c r="O1936" t="str">
        <f>_xlfn.XLOOKUP(Orders[[#This Row],[CustomerID]],Customers[CustomerID],Customers[City])</f>
        <v>Texas</v>
      </c>
      <c r="P1936" t="str">
        <f>_xlfn.XLOOKUP(Orders[[#This Row],[CustomerID]],Customers[CustomerID],Customers[Gender])</f>
        <v>Male</v>
      </c>
      <c r="Q1936">
        <f>_xlfn.XLOOKUP(Orders[[#This Row],[CustomerID]],Customers[CustomerID],Customers[CustomerAge])</f>
        <v>26</v>
      </c>
      <c r="R1936" t="str">
        <f>IF(Orders[[#This Row],[CustomerAge]]&gt;=35, "Older", "Young")</f>
        <v>Young</v>
      </c>
      <c r="S1936" t="str">
        <f>_xlfn.XLOOKUP(Orders[[#This Row],[ProductID]],Products[ProductID],Products[ProductName])</f>
        <v>Sneakers</v>
      </c>
      <c r="T1936" t="str">
        <f>_xlfn.XLOOKUP(Orders[[#This Row],[ProductID]],Products[ProductID],Products[Category])</f>
        <v>Sports</v>
      </c>
    </row>
    <row r="1937" spans="1:20" x14ac:dyDescent="0.25">
      <c r="A1937" s="4" t="s">
        <v>2126</v>
      </c>
      <c r="B1937" s="5">
        <v>46004</v>
      </c>
      <c r="C1937" s="15">
        <f>WEEKNUM(Orders[[#This Row],[OrderDate]])</f>
        <v>50</v>
      </c>
      <c r="D1937" s="15" t="str">
        <f>TEXT(Orders[[#This Row],[OrderDate]],"mmmm")</f>
        <v>December</v>
      </c>
      <c r="E1937" s="4" t="s">
        <v>124</v>
      </c>
      <c r="F1937" s="4" t="s">
        <v>127</v>
      </c>
      <c r="G1937" s="4">
        <v>4</v>
      </c>
      <c r="H1937" s="12">
        <v>18363.2</v>
      </c>
      <c r="I1937" s="13">
        <v>15608.720000000001</v>
      </c>
      <c r="J1937" s="13">
        <f>Orders[[#This Row],[Quantity]]*Orders[[#This Row],[Selling Price]]</f>
        <v>73452.800000000003</v>
      </c>
      <c r="K1937" s="13">
        <f>Orders[[#This Row],[Quantity]]*Orders[[#This Row],[Cost Price]]</f>
        <v>62434.880000000005</v>
      </c>
      <c r="L1937" s="13">
        <f>Orders[[#This Row],[Revenue]]-Orders[[#This Row],[Expenses]]</f>
        <v>11017.919999999998</v>
      </c>
      <c r="M1937" t="s">
        <v>2203</v>
      </c>
      <c r="N1937" t="str">
        <f>_xlfn.XLOOKUP(Orders[[#This Row],[CustomerID]],Customers[CustomerID],Customers[CustomerName])</f>
        <v>Ngozi Ojo</v>
      </c>
      <c r="O1937" t="str">
        <f>_xlfn.XLOOKUP(Orders[[#This Row],[CustomerID]],Customers[CustomerID],Customers[City])</f>
        <v>Texas</v>
      </c>
      <c r="P1937" t="str">
        <f>_xlfn.XLOOKUP(Orders[[#This Row],[CustomerID]],Customers[CustomerID],Customers[Gender])</f>
        <v>Female</v>
      </c>
      <c r="Q1937">
        <f>_xlfn.XLOOKUP(Orders[[#This Row],[CustomerID]],Customers[CustomerID],Customers[CustomerAge])</f>
        <v>22</v>
      </c>
      <c r="R1937" t="str">
        <f>IF(Orders[[#This Row],[CustomerAge]]&gt;=35, "Older", "Young")</f>
        <v>Young</v>
      </c>
      <c r="S1937" t="str">
        <f>_xlfn.XLOOKUP(Orders[[#This Row],[ProductID]],Products[ProductID],Products[ProductName])</f>
        <v>Tops</v>
      </c>
      <c r="T1937" t="str">
        <f>_xlfn.XLOOKUP(Orders[[#This Row],[ProductID]],Products[ProductID],Products[Category])</f>
        <v>Clothing</v>
      </c>
    </row>
    <row r="1938" spans="1:20" x14ac:dyDescent="0.25">
      <c r="A1938" s="4" t="s">
        <v>2127</v>
      </c>
      <c r="B1938" s="5">
        <v>45940</v>
      </c>
      <c r="C1938" s="15">
        <f>WEEKNUM(Orders[[#This Row],[OrderDate]])</f>
        <v>41</v>
      </c>
      <c r="D1938" s="15" t="str">
        <f>TEXT(Orders[[#This Row],[OrderDate]],"mmmm")</f>
        <v>October</v>
      </c>
      <c r="E1938" s="4" t="s">
        <v>17</v>
      </c>
      <c r="F1938" s="4" t="s">
        <v>28</v>
      </c>
      <c r="G1938" s="4">
        <v>1</v>
      </c>
      <c r="H1938" s="12">
        <v>17177.900000000001</v>
      </c>
      <c r="I1938" s="13">
        <v>14601.215000000002</v>
      </c>
      <c r="J1938" s="13">
        <f>Orders[[#This Row],[Quantity]]*Orders[[#This Row],[Selling Price]]</f>
        <v>17177.900000000001</v>
      </c>
      <c r="K1938" s="13">
        <f>Orders[[#This Row],[Quantity]]*Orders[[#This Row],[Cost Price]]</f>
        <v>14601.215000000002</v>
      </c>
      <c r="L1938" s="13">
        <f>Orders[[#This Row],[Revenue]]-Orders[[#This Row],[Expenses]]</f>
        <v>2576.6849999999995</v>
      </c>
      <c r="M1938" t="s">
        <v>2195</v>
      </c>
      <c r="N1938" t="str">
        <f>_xlfn.XLOOKUP(Orders[[#This Row],[CustomerID]],Customers[CustomerID],Customers[CustomerName])</f>
        <v>Bisi Adeyemi</v>
      </c>
      <c r="O1938" t="str">
        <f>_xlfn.XLOOKUP(Orders[[#This Row],[CustomerID]],Customers[CustomerID],Customers[City])</f>
        <v>Illinois</v>
      </c>
      <c r="P1938" t="str">
        <f>_xlfn.XLOOKUP(Orders[[#This Row],[CustomerID]],Customers[CustomerID],Customers[Gender])</f>
        <v>Female</v>
      </c>
      <c r="Q1938">
        <f>_xlfn.XLOOKUP(Orders[[#This Row],[CustomerID]],Customers[CustomerID],Customers[CustomerAge])</f>
        <v>48</v>
      </c>
      <c r="R1938" t="str">
        <f>IF(Orders[[#This Row],[CustomerAge]]&gt;=35, "Older", "Young")</f>
        <v>Older</v>
      </c>
      <c r="S1938" t="str">
        <f>_xlfn.XLOOKUP(Orders[[#This Row],[ProductID]],Products[ProductID],Products[ProductName])</f>
        <v>Sneakers</v>
      </c>
      <c r="T1938" t="str">
        <f>_xlfn.XLOOKUP(Orders[[#This Row],[ProductID]],Products[ProductID],Products[Category])</f>
        <v>Sports</v>
      </c>
    </row>
    <row r="1939" spans="1:20" x14ac:dyDescent="0.25">
      <c r="A1939" s="4" t="s">
        <v>2128</v>
      </c>
      <c r="B1939" s="5">
        <v>45966</v>
      </c>
      <c r="C1939" s="15">
        <f>WEEKNUM(Orders[[#This Row],[OrderDate]])</f>
        <v>45</v>
      </c>
      <c r="D1939" s="15" t="str">
        <f>TEXT(Orders[[#This Row],[OrderDate]],"mmmm")</f>
        <v>November</v>
      </c>
      <c r="E1939" s="4" t="s">
        <v>757</v>
      </c>
      <c r="F1939" s="4" t="s">
        <v>15</v>
      </c>
      <c r="G1939" s="4">
        <v>2</v>
      </c>
      <c r="H1939" s="12">
        <v>626</v>
      </c>
      <c r="I1939" s="13">
        <v>532.1</v>
      </c>
      <c r="J1939" s="13">
        <f>Orders[[#This Row],[Quantity]]*Orders[[#This Row],[Selling Price]]</f>
        <v>1252</v>
      </c>
      <c r="K1939" s="13">
        <f>Orders[[#This Row],[Quantity]]*Orders[[#This Row],[Cost Price]]</f>
        <v>1064.2</v>
      </c>
      <c r="L1939" s="13">
        <f>Orders[[#This Row],[Revenue]]-Orders[[#This Row],[Expenses]]</f>
        <v>187.79999999999995</v>
      </c>
      <c r="M1939" t="s">
        <v>2201</v>
      </c>
      <c r="N1939" t="str">
        <f>_xlfn.XLOOKUP(Orders[[#This Row],[CustomerID]],Customers[CustomerID],Customers[CustomerName])</f>
        <v>Okon Balogun</v>
      </c>
      <c r="O1939" t="str">
        <f>_xlfn.XLOOKUP(Orders[[#This Row],[CustomerID]],Customers[CustomerID],Customers[City])</f>
        <v>Texas</v>
      </c>
      <c r="P1939" t="str">
        <f>_xlfn.XLOOKUP(Orders[[#This Row],[CustomerID]],Customers[CustomerID],Customers[Gender])</f>
        <v>Male</v>
      </c>
      <c r="Q1939">
        <f>_xlfn.XLOOKUP(Orders[[#This Row],[CustomerID]],Customers[CustomerID],Customers[CustomerAge])</f>
        <v>20</v>
      </c>
      <c r="R1939" t="str">
        <f>IF(Orders[[#This Row],[CustomerAge]]&gt;=35, "Older", "Young")</f>
        <v>Young</v>
      </c>
      <c r="S1939" t="str">
        <f>_xlfn.XLOOKUP(Orders[[#This Row],[ProductID]],Products[ProductID],Products[ProductName])</f>
        <v>Monopoly</v>
      </c>
      <c r="T1939" t="str">
        <f>_xlfn.XLOOKUP(Orders[[#This Row],[ProductID]],Products[ProductID],Products[Category])</f>
        <v>Games</v>
      </c>
    </row>
    <row r="1940" spans="1:20" x14ac:dyDescent="0.25">
      <c r="A1940" s="4" t="s">
        <v>2129</v>
      </c>
      <c r="B1940" s="5">
        <v>45968</v>
      </c>
      <c r="C1940" s="15">
        <f>WEEKNUM(Orders[[#This Row],[OrderDate]])</f>
        <v>45</v>
      </c>
      <c r="D1940" s="15" t="str">
        <f>TEXT(Orders[[#This Row],[OrderDate]],"mmmm")</f>
        <v>November</v>
      </c>
      <c r="E1940" s="4" t="s">
        <v>52</v>
      </c>
      <c r="F1940" s="4" t="s">
        <v>31</v>
      </c>
      <c r="G1940" s="4">
        <v>7</v>
      </c>
      <c r="H1940" s="12">
        <v>13192.7</v>
      </c>
      <c r="I1940" s="13">
        <v>11213.795</v>
      </c>
      <c r="J1940" s="13">
        <f>Orders[[#This Row],[Quantity]]*Orders[[#This Row],[Selling Price]]</f>
        <v>92348.900000000009</v>
      </c>
      <c r="K1940" s="13">
        <f>Orders[[#This Row],[Quantity]]*Orders[[#This Row],[Cost Price]]</f>
        <v>78496.565000000002</v>
      </c>
      <c r="L1940" s="13">
        <f>Orders[[#This Row],[Revenue]]-Orders[[#This Row],[Expenses]]</f>
        <v>13852.335000000006</v>
      </c>
      <c r="M1940" t="s">
        <v>2196</v>
      </c>
      <c r="N1940" t="str">
        <f>_xlfn.XLOOKUP(Orders[[#This Row],[CustomerID]],Customers[CustomerID],Customers[CustomerName])</f>
        <v>Folasade Ojo</v>
      </c>
      <c r="O1940" t="str">
        <f>_xlfn.XLOOKUP(Orders[[#This Row],[CustomerID]],Customers[CustomerID],Customers[City])</f>
        <v>Texas</v>
      </c>
      <c r="P1940" t="str">
        <f>_xlfn.XLOOKUP(Orders[[#This Row],[CustomerID]],Customers[CustomerID],Customers[Gender])</f>
        <v>Female</v>
      </c>
      <c r="Q1940">
        <f>_xlfn.XLOOKUP(Orders[[#This Row],[CustomerID]],Customers[CustomerID],Customers[CustomerAge])</f>
        <v>29</v>
      </c>
      <c r="R1940" t="str">
        <f>IF(Orders[[#This Row],[CustomerAge]]&gt;=35, "Older", "Young")</f>
        <v>Young</v>
      </c>
      <c r="S1940" t="str">
        <f>_xlfn.XLOOKUP(Orders[[#This Row],[ProductID]],Products[ProductID],Products[ProductName])</f>
        <v>Kids Games</v>
      </c>
      <c r="T1940" t="str">
        <f>_xlfn.XLOOKUP(Orders[[#This Row],[ProductID]],Products[ProductID],Products[Category])</f>
        <v>Games</v>
      </c>
    </row>
    <row r="1941" spans="1:20" x14ac:dyDescent="0.25">
      <c r="A1941" s="4" t="s">
        <v>2130</v>
      </c>
      <c r="B1941" s="5">
        <v>46000</v>
      </c>
      <c r="C1941" s="15">
        <f>WEEKNUM(Orders[[#This Row],[OrderDate]])</f>
        <v>50</v>
      </c>
      <c r="D1941" s="15" t="str">
        <f>TEXT(Orders[[#This Row],[OrderDate]],"mmmm")</f>
        <v>December</v>
      </c>
      <c r="E1941" s="4" t="s">
        <v>234</v>
      </c>
      <c r="F1941" s="4" t="s">
        <v>31</v>
      </c>
      <c r="G1941" s="4">
        <v>9</v>
      </c>
      <c r="H1941" s="12">
        <v>16731.600000000002</v>
      </c>
      <c r="I1941" s="13">
        <v>14221.860000000002</v>
      </c>
      <c r="J1941" s="13">
        <f>Orders[[#This Row],[Quantity]]*Orders[[#This Row],[Selling Price]]</f>
        <v>150584.40000000002</v>
      </c>
      <c r="K1941" s="13">
        <f>Orders[[#This Row],[Quantity]]*Orders[[#This Row],[Cost Price]]</f>
        <v>127996.74000000002</v>
      </c>
      <c r="L1941" s="13">
        <f>Orders[[#This Row],[Revenue]]-Orders[[#This Row],[Expenses]]</f>
        <v>22587.660000000003</v>
      </c>
      <c r="M1941" t="s">
        <v>2215</v>
      </c>
      <c r="N1941" t="str">
        <f>_xlfn.XLOOKUP(Orders[[#This Row],[CustomerID]],Customers[CustomerID],Customers[CustomerName])</f>
        <v>Adanma Ojo</v>
      </c>
      <c r="O1941" t="str">
        <f>_xlfn.XLOOKUP(Orders[[#This Row],[CustomerID]],Customers[CustomerID],Customers[City])</f>
        <v>Texas</v>
      </c>
      <c r="P1941" t="str">
        <f>_xlfn.XLOOKUP(Orders[[#This Row],[CustomerID]],Customers[CustomerID],Customers[Gender])</f>
        <v>Female</v>
      </c>
      <c r="Q1941">
        <f>_xlfn.XLOOKUP(Orders[[#This Row],[CustomerID]],Customers[CustomerID],Customers[CustomerAge])</f>
        <v>18</v>
      </c>
      <c r="R1941" t="str">
        <f>IF(Orders[[#This Row],[CustomerAge]]&gt;=35, "Older", "Young")</f>
        <v>Young</v>
      </c>
      <c r="S1941" t="str">
        <f>_xlfn.XLOOKUP(Orders[[#This Row],[ProductID]],Products[ProductID],Products[ProductName])</f>
        <v>Kids Games</v>
      </c>
      <c r="T1941" t="str">
        <f>_xlfn.XLOOKUP(Orders[[#This Row],[ProductID]],Products[ProductID],Products[Category])</f>
        <v>Games</v>
      </c>
    </row>
    <row r="1942" spans="1:20" x14ac:dyDescent="0.25">
      <c r="A1942" s="4" t="s">
        <v>2131</v>
      </c>
      <c r="B1942" s="5">
        <v>45976</v>
      </c>
      <c r="C1942" s="15">
        <f>WEEKNUM(Orders[[#This Row],[OrderDate]])</f>
        <v>46</v>
      </c>
      <c r="D1942" s="15" t="str">
        <f>TEXT(Orders[[#This Row],[OrderDate]],"mmmm")</f>
        <v>November</v>
      </c>
      <c r="E1942" s="4" t="s">
        <v>444</v>
      </c>
      <c r="F1942" s="4" t="s">
        <v>31</v>
      </c>
      <c r="G1942" s="4">
        <v>7</v>
      </c>
      <c r="H1942" s="12">
        <v>14292.2</v>
      </c>
      <c r="I1942" s="13">
        <v>12148.37</v>
      </c>
      <c r="J1942" s="13">
        <f>Orders[[#This Row],[Quantity]]*Orders[[#This Row],[Selling Price]]</f>
        <v>100045.40000000001</v>
      </c>
      <c r="K1942" s="13">
        <f>Orders[[#This Row],[Quantity]]*Orders[[#This Row],[Cost Price]]</f>
        <v>85038.590000000011</v>
      </c>
      <c r="L1942" s="13">
        <f>Orders[[#This Row],[Revenue]]-Orders[[#This Row],[Expenses]]</f>
        <v>15006.809999999998</v>
      </c>
      <c r="M1942" t="s">
        <v>2199</v>
      </c>
      <c r="N1942" t="str">
        <f>_xlfn.XLOOKUP(Orders[[#This Row],[CustomerID]],Customers[CustomerID],Customers[CustomerName])</f>
        <v>Blessing Eze</v>
      </c>
      <c r="O1942" t="str">
        <f>_xlfn.XLOOKUP(Orders[[#This Row],[CustomerID]],Customers[CustomerID],Customers[City])</f>
        <v>Texas</v>
      </c>
      <c r="P1942" t="str">
        <f>_xlfn.XLOOKUP(Orders[[#This Row],[CustomerID]],Customers[CustomerID],Customers[Gender])</f>
        <v>Female</v>
      </c>
      <c r="Q1942">
        <f>_xlfn.XLOOKUP(Orders[[#This Row],[CustomerID]],Customers[CustomerID],Customers[CustomerAge])</f>
        <v>24</v>
      </c>
      <c r="R1942" t="str">
        <f>IF(Orders[[#This Row],[CustomerAge]]&gt;=35, "Older", "Young")</f>
        <v>Young</v>
      </c>
      <c r="S1942" t="str">
        <f>_xlfn.XLOOKUP(Orders[[#This Row],[ProductID]],Products[ProductID],Products[ProductName])</f>
        <v>Kids Games</v>
      </c>
      <c r="T1942" t="str">
        <f>_xlfn.XLOOKUP(Orders[[#This Row],[ProductID]],Products[ProductID],Products[Category])</f>
        <v>Games</v>
      </c>
    </row>
    <row r="1943" spans="1:20" x14ac:dyDescent="0.25">
      <c r="A1943" s="4" t="s">
        <v>2132</v>
      </c>
      <c r="B1943" s="5">
        <v>45963</v>
      </c>
      <c r="C1943" s="15">
        <f>WEEKNUM(Orders[[#This Row],[OrderDate]])</f>
        <v>45</v>
      </c>
      <c r="D1943" s="15" t="str">
        <f>TEXT(Orders[[#This Row],[OrderDate]],"mmmm")</f>
        <v>November</v>
      </c>
      <c r="E1943" s="4" t="s">
        <v>87</v>
      </c>
      <c r="F1943" s="4" t="s">
        <v>57</v>
      </c>
      <c r="G1943" s="4">
        <v>3</v>
      </c>
      <c r="H1943" s="12">
        <v>5959.2</v>
      </c>
      <c r="I1943" s="13">
        <v>5065.32</v>
      </c>
      <c r="J1943" s="13">
        <f>Orders[[#This Row],[Quantity]]*Orders[[#This Row],[Selling Price]]</f>
        <v>17877.599999999999</v>
      </c>
      <c r="K1943" s="13">
        <f>Orders[[#This Row],[Quantity]]*Orders[[#This Row],[Cost Price]]</f>
        <v>15195.96</v>
      </c>
      <c r="L1943" s="13">
        <f>Orders[[#This Row],[Revenue]]-Orders[[#This Row],[Expenses]]</f>
        <v>2681.6399999999994</v>
      </c>
      <c r="M1943" t="s">
        <v>2202</v>
      </c>
      <c r="N1943" t="str">
        <f>_xlfn.XLOOKUP(Orders[[#This Row],[CustomerID]],Customers[CustomerID],Customers[CustomerName])</f>
        <v>Efe Igwe</v>
      </c>
      <c r="O1943" t="str">
        <f>_xlfn.XLOOKUP(Orders[[#This Row],[CustomerID]],Customers[CustomerID],Customers[City])</f>
        <v>Illinois</v>
      </c>
      <c r="P1943" t="str">
        <f>_xlfn.XLOOKUP(Orders[[#This Row],[CustomerID]],Customers[CustomerID],Customers[Gender])</f>
        <v>Female</v>
      </c>
      <c r="Q1943">
        <f>_xlfn.XLOOKUP(Orders[[#This Row],[CustomerID]],Customers[CustomerID],Customers[CustomerAge])</f>
        <v>34</v>
      </c>
      <c r="R1943" t="str">
        <f>IF(Orders[[#This Row],[CustomerAge]]&gt;=35, "Older", "Young")</f>
        <v>Young</v>
      </c>
      <c r="S1943" t="str">
        <f>_xlfn.XLOOKUP(Orders[[#This Row],[ProductID]],Products[ProductID],Products[ProductName])</f>
        <v>Badminton Racket</v>
      </c>
      <c r="T1943" t="str">
        <f>_xlfn.XLOOKUP(Orders[[#This Row],[ProductID]],Products[ProductID],Products[Category])</f>
        <v>Sports</v>
      </c>
    </row>
    <row r="1944" spans="1:20" x14ac:dyDescent="0.25">
      <c r="A1944" s="4" t="s">
        <v>2133</v>
      </c>
      <c r="B1944" s="5">
        <v>46011</v>
      </c>
      <c r="C1944" s="15">
        <f>WEEKNUM(Orders[[#This Row],[OrderDate]])</f>
        <v>51</v>
      </c>
      <c r="D1944" s="15" t="str">
        <f>TEXT(Orders[[#This Row],[OrderDate]],"mmmm")</f>
        <v>December</v>
      </c>
      <c r="E1944" s="4" t="s">
        <v>178</v>
      </c>
      <c r="F1944" s="4" t="s">
        <v>70</v>
      </c>
      <c r="G1944" s="4">
        <v>7</v>
      </c>
      <c r="H1944" s="12">
        <v>7879.9</v>
      </c>
      <c r="I1944" s="13">
        <v>6697.915</v>
      </c>
      <c r="J1944" s="13">
        <f>Orders[[#This Row],[Quantity]]*Orders[[#This Row],[Selling Price]]</f>
        <v>55159.299999999996</v>
      </c>
      <c r="K1944" s="13">
        <f>Orders[[#This Row],[Quantity]]*Orders[[#This Row],[Cost Price]]</f>
        <v>46885.404999999999</v>
      </c>
      <c r="L1944" s="13">
        <f>Orders[[#This Row],[Revenue]]-Orders[[#This Row],[Expenses]]</f>
        <v>8273.8949999999968</v>
      </c>
      <c r="M1944" t="s">
        <v>2211</v>
      </c>
      <c r="N1944" t="str">
        <f>_xlfn.XLOOKUP(Orders[[#This Row],[CustomerID]],Customers[CustomerID],Customers[CustomerName])</f>
        <v>Ibrahim Igwe</v>
      </c>
      <c r="O1944" t="str">
        <f>_xlfn.XLOOKUP(Orders[[#This Row],[CustomerID]],Customers[CustomerID],Customers[City])</f>
        <v>Florida</v>
      </c>
      <c r="P1944" t="str">
        <f>_xlfn.XLOOKUP(Orders[[#This Row],[CustomerID]],Customers[CustomerID],Customers[Gender])</f>
        <v>Male</v>
      </c>
      <c r="Q1944">
        <f>_xlfn.XLOOKUP(Orders[[#This Row],[CustomerID]],Customers[CustomerID],Customers[CustomerAge])</f>
        <v>19</v>
      </c>
      <c r="R1944" t="str">
        <f>IF(Orders[[#This Row],[CustomerAge]]&gt;=35, "Older", "Young")</f>
        <v>Young</v>
      </c>
      <c r="S1944" t="str">
        <f>_xlfn.XLOOKUP(Orders[[#This Row],[ProductID]],Products[ProductID],Products[ProductName])</f>
        <v>Yoga Mat</v>
      </c>
      <c r="T1944" t="str">
        <f>_xlfn.XLOOKUP(Orders[[#This Row],[ProductID]],Products[ProductID],Products[Category])</f>
        <v>Gym</v>
      </c>
    </row>
    <row r="1945" spans="1:20" x14ac:dyDescent="0.25">
      <c r="A1945" s="4" t="s">
        <v>2134</v>
      </c>
      <c r="B1945" s="5">
        <v>45958</v>
      </c>
      <c r="C1945" s="15">
        <f>WEEKNUM(Orders[[#This Row],[OrderDate]])</f>
        <v>44</v>
      </c>
      <c r="D1945" s="15" t="str">
        <f>TEXT(Orders[[#This Row],[OrderDate]],"mmmm")</f>
        <v>October</v>
      </c>
      <c r="E1945" s="4" t="s">
        <v>410</v>
      </c>
      <c r="F1945" s="4" t="s">
        <v>15</v>
      </c>
      <c r="G1945" s="4">
        <v>10</v>
      </c>
      <c r="H1945" s="12">
        <v>11288.099999999999</v>
      </c>
      <c r="I1945" s="13">
        <v>9594.8849999999984</v>
      </c>
      <c r="J1945" s="13">
        <f>Orders[[#This Row],[Quantity]]*Orders[[#This Row],[Selling Price]]</f>
        <v>112880.99999999999</v>
      </c>
      <c r="K1945" s="13">
        <f>Orders[[#This Row],[Quantity]]*Orders[[#This Row],[Cost Price]]</f>
        <v>95948.849999999977</v>
      </c>
      <c r="L1945" s="13">
        <f>Orders[[#This Row],[Revenue]]-Orders[[#This Row],[Expenses]]</f>
        <v>16932.150000000009</v>
      </c>
      <c r="M1945" t="s">
        <v>2198</v>
      </c>
      <c r="N1945" t="str">
        <f>_xlfn.XLOOKUP(Orders[[#This Row],[CustomerID]],Customers[CustomerID],Customers[CustomerName])</f>
        <v>Jane Thomas</v>
      </c>
      <c r="O1945" t="str">
        <f>_xlfn.XLOOKUP(Orders[[#This Row],[CustomerID]],Customers[CustomerID],Customers[City])</f>
        <v>Texas</v>
      </c>
      <c r="P1945" t="str">
        <f>_xlfn.XLOOKUP(Orders[[#This Row],[CustomerID]],Customers[CustomerID],Customers[Gender])</f>
        <v>Male</v>
      </c>
      <c r="Q1945">
        <f>_xlfn.XLOOKUP(Orders[[#This Row],[CustomerID]],Customers[CustomerID],Customers[CustomerAge])</f>
        <v>21</v>
      </c>
      <c r="R1945" t="str">
        <f>IF(Orders[[#This Row],[CustomerAge]]&gt;=35, "Older", "Young")</f>
        <v>Young</v>
      </c>
      <c r="S1945" t="str">
        <f>_xlfn.XLOOKUP(Orders[[#This Row],[ProductID]],Products[ProductID],Products[ProductName])</f>
        <v>Monopoly</v>
      </c>
      <c r="T1945" t="str">
        <f>_xlfn.XLOOKUP(Orders[[#This Row],[ProductID]],Products[ProductID],Products[Category])</f>
        <v>Games</v>
      </c>
    </row>
    <row r="1946" spans="1:20" x14ac:dyDescent="0.25">
      <c r="A1946" s="4" t="s">
        <v>2135</v>
      </c>
      <c r="B1946" s="5">
        <v>45937</v>
      </c>
      <c r="C1946" s="15">
        <f>WEEKNUM(Orders[[#This Row],[OrderDate]])</f>
        <v>41</v>
      </c>
      <c r="D1946" s="15" t="str">
        <f>TEXT(Orders[[#This Row],[OrderDate]],"mmmm")</f>
        <v>October</v>
      </c>
      <c r="E1946" s="4" t="s">
        <v>343</v>
      </c>
      <c r="F1946" s="4" t="s">
        <v>12</v>
      </c>
      <c r="G1946" s="4">
        <v>6</v>
      </c>
      <c r="H1946" s="12">
        <v>15374</v>
      </c>
      <c r="I1946" s="13">
        <v>13067.9</v>
      </c>
      <c r="J1946" s="13">
        <f>Orders[[#This Row],[Quantity]]*Orders[[#This Row],[Selling Price]]</f>
        <v>92244</v>
      </c>
      <c r="K1946" s="13">
        <f>Orders[[#This Row],[Quantity]]*Orders[[#This Row],[Cost Price]]</f>
        <v>78407.399999999994</v>
      </c>
      <c r="L1946" s="13">
        <f>Orders[[#This Row],[Revenue]]-Orders[[#This Row],[Expenses]]</f>
        <v>13836.600000000006</v>
      </c>
      <c r="M1946" t="s">
        <v>2196</v>
      </c>
      <c r="N1946" t="str">
        <f>_xlfn.XLOOKUP(Orders[[#This Row],[CustomerID]],Customers[CustomerID],Customers[CustomerName])</f>
        <v>Ronke Obi</v>
      </c>
      <c r="O1946" t="str">
        <f>_xlfn.XLOOKUP(Orders[[#This Row],[CustomerID]],Customers[CustomerID],Customers[City])</f>
        <v>Washington</v>
      </c>
      <c r="P1946" t="str">
        <f>_xlfn.XLOOKUP(Orders[[#This Row],[CustomerID]],Customers[CustomerID],Customers[Gender])</f>
        <v>Female</v>
      </c>
      <c r="Q1946">
        <f>_xlfn.XLOOKUP(Orders[[#This Row],[CustomerID]],Customers[CustomerID],Customers[CustomerAge])</f>
        <v>31</v>
      </c>
      <c r="R1946" t="str">
        <f>IF(Orders[[#This Row],[CustomerAge]]&gt;=35, "Older", "Young")</f>
        <v>Young</v>
      </c>
      <c r="S1946" t="str">
        <f>_xlfn.XLOOKUP(Orders[[#This Row],[ProductID]],Products[ProductID],Products[ProductName])</f>
        <v>Boubou</v>
      </c>
      <c r="T1946" t="str">
        <f>_xlfn.XLOOKUP(Orders[[#This Row],[ProductID]],Products[ProductID],Products[Category])</f>
        <v>Clothing</v>
      </c>
    </row>
    <row r="1947" spans="1:20" x14ac:dyDescent="0.25">
      <c r="A1947" s="4" t="s">
        <v>2136</v>
      </c>
      <c r="B1947" s="5">
        <v>45941</v>
      </c>
      <c r="C1947" s="15">
        <f>WEEKNUM(Orders[[#This Row],[OrderDate]])</f>
        <v>41</v>
      </c>
      <c r="D1947" s="15" t="str">
        <f>TEXT(Orders[[#This Row],[OrderDate]],"mmmm")</f>
        <v>October</v>
      </c>
      <c r="E1947" s="4" t="s">
        <v>457</v>
      </c>
      <c r="F1947" s="4" t="s">
        <v>25</v>
      </c>
      <c r="G1947" s="4">
        <v>2</v>
      </c>
      <c r="H1947" s="12">
        <v>18031.600000000002</v>
      </c>
      <c r="I1947" s="13">
        <v>15326.860000000002</v>
      </c>
      <c r="J1947" s="13">
        <f>Orders[[#This Row],[Quantity]]*Orders[[#This Row],[Selling Price]]</f>
        <v>36063.200000000004</v>
      </c>
      <c r="K1947" s="13">
        <f>Orders[[#This Row],[Quantity]]*Orders[[#This Row],[Cost Price]]</f>
        <v>30653.720000000005</v>
      </c>
      <c r="L1947" s="13">
        <f>Orders[[#This Row],[Revenue]]-Orders[[#This Row],[Expenses]]</f>
        <v>5409.48</v>
      </c>
      <c r="M1947" t="s">
        <v>2207</v>
      </c>
      <c r="N1947" t="str">
        <f>_xlfn.XLOOKUP(Orders[[#This Row],[CustomerID]],Customers[CustomerID],Customers[CustomerName])</f>
        <v>Tunde Okonkwo</v>
      </c>
      <c r="O1947" t="str">
        <f>_xlfn.XLOOKUP(Orders[[#This Row],[CustomerID]],Customers[CustomerID],Customers[City])</f>
        <v>Illinois</v>
      </c>
      <c r="P1947" t="str">
        <f>_xlfn.XLOOKUP(Orders[[#This Row],[CustomerID]],Customers[CustomerID],Customers[Gender])</f>
        <v>Male</v>
      </c>
      <c r="Q1947">
        <f>_xlfn.XLOOKUP(Orders[[#This Row],[CustomerID]],Customers[CustomerID],Customers[CustomerAge])</f>
        <v>23</v>
      </c>
      <c r="R1947" t="str">
        <f>IF(Orders[[#This Row],[CustomerAge]]&gt;=35, "Older", "Young")</f>
        <v>Young</v>
      </c>
      <c r="S1947" t="str">
        <f>_xlfn.XLOOKUP(Orders[[#This Row],[ProductID]],Products[ProductID],Products[ProductName])</f>
        <v>Gold Rings</v>
      </c>
      <c r="T1947" t="str">
        <f>_xlfn.XLOOKUP(Orders[[#This Row],[ProductID]],Products[ProductID],Products[Category])</f>
        <v>Accessories</v>
      </c>
    </row>
    <row r="1948" spans="1:20" x14ac:dyDescent="0.25">
      <c r="A1948" s="4" t="s">
        <v>2137</v>
      </c>
      <c r="B1948" s="5">
        <v>46009</v>
      </c>
      <c r="C1948" s="15">
        <f>WEEKNUM(Orders[[#This Row],[OrderDate]])</f>
        <v>51</v>
      </c>
      <c r="D1948" s="15" t="str">
        <f>TEXT(Orders[[#This Row],[OrderDate]],"mmmm")</f>
        <v>December</v>
      </c>
      <c r="E1948" s="4" t="s">
        <v>134</v>
      </c>
      <c r="F1948" s="4" t="s">
        <v>70</v>
      </c>
      <c r="G1948" s="4">
        <v>10</v>
      </c>
      <c r="H1948" s="12">
        <v>15720.8</v>
      </c>
      <c r="I1948" s="13">
        <v>13362.68</v>
      </c>
      <c r="J1948" s="13">
        <f>Orders[[#This Row],[Quantity]]*Orders[[#This Row],[Selling Price]]</f>
        <v>157208</v>
      </c>
      <c r="K1948" s="13">
        <f>Orders[[#This Row],[Quantity]]*Orders[[#This Row],[Cost Price]]</f>
        <v>133626.79999999999</v>
      </c>
      <c r="L1948" s="13">
        <f>Orders[[#This Row],[Revenue]]-Orders[[#This Row],[Expenses]]</f>
        <v>23581.200000000012</v>
      </c>
      <c r="M1948" t="s">
        <v>2211</v>
      </c>
      <c r="N1948" t="str">
        <f>_xlfn.XLOOKUP(Orders[[#This Row],[CustomerID]],Customers[CustomerID],Customers[CustomerName])</f>
        <v>Ngozi Ojo</v>
      </c>
      <c r="O1948" t="str">
        <f>_xlfn.XLOOKUP(Orders[[#This Row],[CustomerID]],Customers[CustomerID],Customers[City])</f>
        <v>Florida</v>
      </c>
      <c r="P1948" t="str">
        <f>_xlfn.XLOOKUP(Orders[[#This Row],[CustomerID]],Customers[CustomerID],Customers[Gender])</f>
        <v>Female</v>
      </c>
      <c r="Q1948">
        <f>_xlfn.XLOOKUP(Orders[[#This Row],[CustomerID]],Customers[CustomerID],Customers[CustomerAge])</f>
        <v>18</v>
      </c>
      <c r="R1948" t="str">
        <f>IF(Orders[[#This Row],[CustomerAge]]&gt;=35, "Older", "Young")</f>
        <v>Young</v>
      </c>
      <c r="S1948" t="str">
        <f>_xlfn.XLOOKUP(Orders[[#This Row],[ProductID]],Products[ProductID],Products[ProductName])</f>
        <v>Yoga Mat</v>
      </c>
      <c r="T1948" t="str">
        <f>_xlfn.XLOOKUP(Orders[[#This Row],[ProductID]],Products[ProductID],Products[Category])</f>
        <v>Gym</v>
      </c>
    </row>
    <row r="1949" spans="1:20" x14ac:dyDescent="0.25">
      <c r="A1949" s="4" t="s">
        <v>2138</v>
      </c>
      <c r="B1949" s="5">
        <v>46012</v>
      </c>
      <c r="C1949" s="15">
        <f>WEEKNUM(Orders[[#This Row],[OrderDate]])</f>
        <v>52</v>
      </c>
      <c r="D1949" s="15" t="str">
        <f>TEXT(Orders[[#This Row],[OrderDate]],"mmmm")</f>
        <v>December</v>
      </c>
      <c r="E1949" s="4" t="s">
        <v>305</v>
      </c>
      <c r="F1949" s="4" t="s">
        <v>25</v>
      </c>
      <c r="G1949" s="4">
        <v>4</v>
      </c>
      <c r="H1949" s="12">
        <v>19327.599999999999</v>
      </c>
      <c r="I1949" s="13">
        <v>16428.46</v>
      </c>
      <c r="J1949" s="13">
        <f>Orders[[#This Row],[Quantity]]*Orders[[#This Row],[Selling Price]]</f>
        <v>77310.399999999994</v>
      </c>
      <c r="K1949" s="13">
        <f>Orders[[#This Row],[Quantity]]*Orders[[#This Row],[Cost Price]]</f>
        <v>65713.84</v>
      </c>
      <c r="L1949" s="13">
        <f>Orders[[#This Row],[Revenue]]-Orders[[#This Row],[Expenses]]</f>
        <v>11596.559999999998</v>
      </c>
      <c r="M1949" t="s">
        <v>2206</v>
      </c>
      <c r="N1949" t="str">
        <f>_xlfn.XLOOKUP(Orders[[#This Row],[CustomerID]],Customers[CustomerID],Customers[CustomerName])</f>
        <v>Tunde Danladi</v>
      </c>
      <c r="O1949" t="str">
        <f>_xlfn.XLOOKUP(Orders[[#This Row],[CustomerID]],Customers[CustomerID],Customers[City])</f>
        <v>California</v>
      </c>
      <c r="P1949" t="str">
        <f>_xlfn.XLOOKUP(Orders[[#This Row],[CustomerID]],Customers[CustomerID],Customers[Gender])</f>
        <v>Male</v>
      </c>
      <c r="Q1949">
        <f>_xlfn.XLOOKUP(Orders[[#This Row],[CustomerID]],Customers[CustomerID],Customers[CustomerAge])</f>
        <v>40</v>
      </c>
      <c r="R1949" t="str">
        <f>IF(Orders[[#This Row],[CustomerAge]]&gt;=35, "Older", "Young")</f>
        <v>Older</v>
      </c>
      <c r="S1949" t="str">
        <f>_xlfn.XLOOKUP(Orders[[#This Row],[ProductID]],Products[ProductID],Products[ProductName])</f>
        <v>Gold Rings</v>
      </c>
      <c r="T1949" t="str">
        <f>_xlfn.XLOOKUP(Orders[[#This Row],[ProductID]],Products[ProductID],Products[Category])</f>
        <v>Accessories</v>
      </c>
    </row>
    <row r="1950" spans="1:20" x14ac:dyDescent="0.25">
      <c r="A1950" s="4" t="s">
        <v>2139</v>
      </c>
      <c r="B1950" s="5">
        <v>46018</v>
      </c>
      <c r="C1950" s="15">
        <f>WEEKNUM(Orders[[#This Row],[OrderDate]])</f>
        <v>52</v>
      </c>
      <c r="D1950" s="15" t="str">
        <f>TEXT(Orders[[#This Row],[OrderDate]],"mmmm")</f>
        <v>December</v>
      </c>
      <c r="E1950" s="4" t="s">
        <v>260</v>
      </c>
      <c r="F1950" s="4" t="s">
        <v>15</v>
      </c>
      <c r="G1950" s="4">
        <v>5</v>
      </c>
      <c r="H1950" s="12">
        <v>11870.3</v>
      </c>
      <c r="I1950" s="13">
        <v>10089.754999999999</v>
      </c>
      <c r="J1950" s="13">
        <f>Orders[[#This Row],[Quantity]]*Orders[[#This Row],[Selling Price]]</f>
        <v>59351.5</v>
      </c>
      <c r="K1950" s="13">
        <f>Orders[[#This Row],[Quantity]]*Orders[[#This Row],[Cost Price]]</f>
        <v>50448.774999999994</v>
      </c>
      <c r="L1950" s="13">
        <f>Orders[[#This Row],[Revenue]]-Orders[[#This Row],[Expenses]]</f>
        <v>8902.7250000000058</v>
      </c>
      <c r="M1950" t="s">
        <v>2207</v>
      </c>
      <c r="N1950" t="str">
        <f>_xlfn.XLOOKUP(Orders[[#This Row],[CustomerID]],Customers[CustomerID],Customers[CustomerName])</f>
        <v>Amina Obi</v>
      </c>
      <c r="O1950" t="str">
        <f>_xlfn.XLOOKUP(Orders[[#This Row],[CustomerID]],Customers[CustomerID],Customers[City])</f>
        <v>Florida</v>
      </c>
      <c r="P1950" t="str">
        <f>_xlfn.XLOOKUP(Orders[[#This Row],[CustomerID]],Customers[CustomerID],Customers[Gender])</f>
        <v>Female</v>
      </c>
      <c r="Q1950">
        <f>_xlfn.XLOOKUP(Orders[[#This Row],[CustomerID]],Customers[CustomerID],Customers[CustomerAge])</f>
        <v>29</v>
      </c>
      <c r="R1950" t="str">
        <f>IF(Orders[[#This Row],[CustomerAge]]&gt;=35, "Older", "Young")</f>
        <v>Young</v>
      </c>
      <c r="S1950" t="str">
        <f>_xlfn.XLOOKUP(Orders[[#This Row],[ProductID]],Products[ProductID],Products[ProductName])</f>
        <v>Monopoly</v>
      </c>
      <c r="T1950" t="str">
        <f>_xlfn.XLOOKUP(Orders[[#This Row],[ProductID]],Products[ProductID],Products[Category])</f>
        <v>Games</v>
      </c>
    </row>
    <row r="1951" spans="1:20" x14ac:dyDescent="0.25">
      <c r="A1951" s="4" t="s">
        <v>2140</v>
      </c>
      <c r="B1951" s="5">
        <v>46008</v>
      </c>
      <c r="C1951" s="15">
        <f>WEEKNUM(Orders[[#This Row],[OrderDate]])</f>
        <v>51</v>
      </c>
      <c r="D1951" s="15" t="str">
        <f>TEXT(Orders[[#This Row],[OrderDate]],"mmmm")</f>
        <v>December</v>
      </c>
      <c r="E1951" s="4" t="s">
        <v>352</v>
      </c>
      <c r="F1951" s="4" t="s">
        <v>189</v>
      </c>
      <c r="G1951" s="4">
        <v>5</v>
      </c>
      <c r="H1951" s="12">
        <v>4600.4000000000005</v>
      </c>
      <c r="I1951" s="13">
        <v>3910.3400000000006</v>
      </c>
      <c r="J1951" s="13">
        <f>Orders[[#This Row],[Quantity]]*Orders[[#This Row],[Selling Price]]</f>
        <v>23002.000000000004</v>
      </c>
      <c r="K1951" s="13">
        <f>Orders[[#This Row],[Quantity]]*Orders[[#This Row],[Cost Price]]</f>
        <v>19551.700000000004</v>
      </c>
      <c r="L1951" s="13">
        <f>Orders[[#This Row],[Revenue]]-Orders[[#This Row],[Expenses]]</f>
        <v>3450.2999999999993</v>
      </c>
      <c r="M1951" t="s">
        <v>2216</v>
      </c>
      <c r="N1951" t="str">
        <f>_xlfn.XLOOKUP(Orders[[#This Row],[CustomerID]],Customers[CustomerID],Customers[CustomerName])</f>
        <v>Zainab Eze</v>
      </c>
      <c r="O1951" t="str">
        <f>_xlfn.XLOOKUP(Orders[[#This Row],[CustomerID]],Customers[CustomerID],Customers[City])</f>
        <v>Texas</v>
      </c>
      <c r="P1951" t="str">
        <f>_xlfn.XLOOKUP(Orders[[#This Row],[CustomerID]],Customers[CustomerID],Customers[Gender])</f>
        <v>Female</v>
      </c>
      <c r="Q1951">
        <f>_xlfn.XLOOKUP(Orders[[#This Row],[CustomerID]],Customers[CustomerID],Customers[CustomerAge])</f>
        <v>40</v>
      </c>
      <c r="R1951" t="str">
        <f>IF(Orders[[#This Row],[CustomerAge]]&gt;=35, "Older", "Young")</f>
        <v>Older</v>
      </c>
      <c r="S1951" t="str">
        <f>_xlfn.XLOOKUP(Orders[[#This Row],[ProductID]],Products[ProductID],Products[ProductName])</f>
        <v>Scrabble</v>
      </c>
      <c r="T1951" t="str">
        <f>_xlfn.XLOOKUP(Orders[[#This Row],[ProductID]],Products[ProductID],Products[Category])</f>
        <v>Games</v>
      </c>
    </row>
    <row r="1952" spans="1:20" x14ac:dyDescent="0.25">
      <c r="A1952" s="4" t="s">
        <v>2141</v>
      </c>
      <c r="B1952" s="5">
        <v>45979</v>
      </c>
      <c r="C1952" s="15">
        <f>WEEKNUM(Orders[[#This Row],[OrderDate]])</f>
        <v>47</v>
      </c>
      <c r="D1952" s="15" t="str">
        <f>TEXT(Orders[[#This Row],[OrderDate]],"mmmm")</f>
        <v>November</v>
      </c>
      <c r="E1952" s="4" t="s">
        <v>352</v>
      </c>
      <c r="F1952" s="4" t="s">
        <v>120</v>
      </c>
      <c r="G1952" s="4">
        <v>4</v>
      </c>
      <c r="H1952" s="12">
        <v>3640.2</v>
      </c>
      <c r="I1952" s="13">
        <v>3094.17</v>
      </c>
      <c r="J1952" s="13">
        <f>Orders[[#This Row],[Quantity]]*Orders[[#This Row],[Selling Price]]</f>
        <v>14560.8</v>
      </c>
      <c r="K1952" s="13">
        <f>Orders[[#This Row],[Quantity]]*Orders[[#This Row],[Cost Price]]</f>
        <v>12376.68</v>
      </c>
      <c r="L1952" s="13">
        <f>Orders[[#This Row],[Revenue]]-Orders[[#This Row],[Expenses]]</f>
        <v>2184.119999999999</v>
      </c>
      <c r="M1952" t="s">
        <v>2216</v>
      </c>
      <c r="N1952" t="str">
        <f>_xlfn.XLOOKUP(Orders[[#This Row],[CustomerID]],Customers[CustomerID],Customers[CustomerName])</f>
        <v>Zainab Eze</v>
      </c>
      <c r="O1952" t="str">
        <f>_xlfn.XLOOKUP(Orders[[#This Row],[CustomerID]],Customers[CustomerID],Customers[City])</f>
        <v>Texas</v>
      </c>
      <c r="P1952" t="str">
        <f>_xlfn.XLOOKUP(Orders[[#This Row],[CustomerID]],Customers[CustomerID],Customers[Gender])</f>
        <v>Female</v>
      </c>
      <c r="Q1952">
        <f>_xlfn.XLOOKUP(Orders[[#This Row],[CustomerID]],Customers[CustomerID],Customers[CustomerAge])</f>
        <v>40</v>
      </c>
      <c r="R1952" t="str">
        <f>IF(Orders[[#This Row],[CustomerAge]]&gt;=35, "Older", "Young")</f>
        <v>Older</v>
      </c>
      <c r="S1952" t="str">
        <f>_xlfn.XLOOKUP(Orders[[#This Row],[ProductID]],Products[ProductID],Products[ProductName])</f>
        <v>Chess</v>
      </c>
      <c r="T1952" t="str">
        <f>_xlfn.XLOOKUP(Orders[[#This Row],[ProductID]],Products[ProductID],Products[Category])</f>
        <v>Games</v>
      </c>
    </row>
    <row r="1953" spans="1:20" x14ac:dyDescent="0.25">
      <c r="A1953" s="4" t="s">
        <v>2142</v>
      </c>
      <c r="B1953" s="5">
        <v>45973</v>
      </c>
      <c r="C1953" s="15">
        <f>WEEKNUM(Orders[[#This Row],[OrderDate]])</f>
        <v>46</v>
      </c>
      <c r="D1953" s="15" t="str">
        <f>TEXT(Orders[[#This Row],[OrderDate]],"mmmm")</f>
        <v>November</v>
      </c>
      <c r="E1953" s="4" t="s">
        <v>36</v>
      </c>
      <c r="F1953" s="4" t="s">
        <v>28</v>
      </c>
      <c r="G1953" s="4">
        <v>10</v>
      </c>
      <c r="H1953" s="12">
        <v>12569.6</v>
      </c>
      <c r="I1953" s="13">
        <v>10684.16</v>
      </c>
      <c r="J1953" s="13">
        <f>Orders[[#This Row],[Quantity]]*Orders[[#This Row],[Selling Price]]</f>
        <v>125696</v>
      </c>
      <c r="K1953" s="13">
        <f>Orders[[#This Row],[Quantity]]*Orders[[#This Row],[Cost Price]]</f>
        <v>106841.60000000001</v>
      </c>
      <c r="L1953" s="13">
        <f>Orders[[#This Row],[Revenue]]-Orders[[#This Row],[Expenses]]</f>
        <v>18854.399999999994</v>
      </c>
      <c r="M1953" t="s">
        <v>2213</v>
      </c>
      <c r="N1953" t="str">
        <f>_xlfn.XLOOKUP(Orders[[#This Row],[CustomerID]],Customers[CustomerID],Customers[CustomerName])</f>
        <v>Jide Eze</v>
      </c>
      <c r="O1953" t="str">
        <f>_xlfn.XLOOKUP(Orders[[#This Row],[CustomerID]],Customers[CustomerID],Customers[City])</f>
        <v>California</v>
      </c>
      <c r="P1953" t="str">
        <f>_xlfn.XLOOKUP(Orders[[#This Row],[CustomerID]],Customers[CustomerID],Customers[Gender])</f>
        <v>Male</v>
      </c>
      <c r="Q1953">
        <f>_xlfn.XLOOKUP(Orders[[#This Row],[CustomerID]],Customers[CustomerID],Customers[CustomerAge])</f>
        <v>21</v>
      </c>
      <c r="R1953" t="str">
        <f>IF(Orders[[#This Row],[CustomerAge]]&gt;=35, "Older", "Young")</f>
        <v>Young</v>
      </c>
      <c r="S1953" t="str">
        <f>_xlfn.XLOOKUP(Orders[[#This Row],[ProductID]],Products[ProductID],Products[ProductName])</f>
        <v>Sneakers</v>
      </c>
      <c r="T1953" t="str">
        <f>_xlfn.XLOOKUP(Orders[[#This Row],[ProductID]],Products[ProductID],Products[Category])</f>
        <v>Sports</v>
      </c>
    </row>
    <row r="1954" spans="1:20" x14ac:dyDescent="0.25">
      <c r="A1954" s="4" t="s">
        <v>2143</v>
      </c>
      <c r="B1954" s="5">
        <v>45966</v>
      </c>
      <c r="C1954" s="15">
        <f>WEEKNUM(Orders[[#This Row],[OrderDate]])</f>
        <v>45</v>
      </c>
      <c r="D1954" s="15" t="str">
        <f>TEXT(Orders[[#This Row],[OrderDate]],"mmmm")</f>
        <v>November</v>
      </c>
      <c r="E1954" s="4" t="s">
        <v>87</v>
      </c>
      <c r="F1954" s="4" t="s">
        <v>151</v>
      </c>
      <c r="G1954" s="4">
        <v>1</v>
      </c>
      <c r="H1954" s="12">
        <v>17191.8</v>
      </c>
      <c r="I1954" s="13">
        <v>14613.029999999999</v>
      </c>
      <c r="J1954" s="13">
        <f>Orders[[#This Row],[Quantity]]*Orders[[#This Row],[Selling Price]]</f>
        <v>17191.8</v>
      </c>
      <c r="K1954" s="13">
        <f>Orders[[#This Row],[Quantity]]*Orders[[#This Row],[Cost Price]]</f>
        <v>14613.029999999999</v>
      </c>
      <c r="L1954" s="13">
        <f>Orders[[#This Row],[Revenue]]-Orders[[#This Row],[Expenses]]</f>
        <v>2578.7700000000004</v>
      </c>
      <c r="M1954" t="s">
        <v>2210</v>
      </c>
      <c r="N1954" t="str">
        <f>_xlfn.XLOOKUP(Orders[[#This Row],[CustomerID]],Customers[CustomerID],Customers[CustomerName])</f>
        <v>Efe Igwe</v>
      </c>
      <c r="O1954" t="str">
        <f>_xlfn.XLOOKUP(Orders[[#This Row],[CustomerID]],Customers[CustomerID],Customers[City])</f>
        <v>Illinois</v>
      </c>
      <c r="P1954" t="str">
        <f>_xlfn.XLOOKUP(Orders[[#This Row],[CustomerID]],Customers[CustomerID],Customers[Gender])</f>
        <v>Female</v>
      </c>
      <c r="Q1954">
        <f>_xlfn.XLOOKUP(Orders[[#This Row],[CustomerID]],Customers[CustomerID],Customers[CustomerAge])</f>
        <v>34</v>
      </c>
      <c r="R1954" t="str">
        <f>IF(Orders[[#This Row],[CustomerAge]]&gt;=35, "Older", "Young")</f>
        <v>Young</v>
      </c>
      <c r="S1954" t="str">
        <f>_xlfn.XLOOKUP(Orders[[#This Row],[ProductID]],Products[ProductID],Products[ProductName])</f>
        <v>Checkers</v>
      </c>
      <c r="T1954" t="str">
        <f>_xlfn.XLOOKUP(Orders[[#This Row],[ProductID]],Products[ProductID],Products[Category])</f>
        <v>Games</v>
      </c>
    </row>
    <row r="1955" spans="1:20" x14ac:dyDescent="0.25">
      <c r="A1955" s="4" t="s">
        <v>2144</v>
      </c>
      <c r="B1955" s="5">
        <v>45934</v>
      </c>
      <c r="C1955" s="15">
        <f>WEEKNUM(Orders[[#This Row],[OrderDate]])</f>
        <v>40</v>
      </c>
      <c r="D1955" s="15" t="str">
        <f>TEXT(Orders[[#This Row],[OrderDate]],"mmmm")</f>
        <v>October</v>
      </c>
      <c r="E1955" s="4" t="s">
        <v>129</v>
      </c>
      <c r="F1955" s="4" t="s">
        <v>189</v>
      </c>
      <c r="G1955" s="4">
        <v>4</v>
      </c>
      <c r="H1955" s="12">
        <v>11436.400000000001</v>
      </c>
      <c r="I1955" s="13">
        <v>9720.94</v>
      </c>
      <c r="J1955" s="13">
        <f>Orders[[#This Row],[Quantity]]*Orders[[#This Row],[Selling Price]]</f>
        <v>45745.600000000006</v>
      </c>
      <c r="K1955" s="13">
        <f>Orders[[#This Row],[Quantity]]*Orders[[#This Row],[Cost Price]]</f>
        <v>38883.760000000002</v>
      </c>
      <c r="L1955" s="13">
        <f>Orders[[#This Row],[Revenue]]-Orders[[#This Row],[Expenses]]</f>
        <v>6861.8400000000038</v>
      </c>
      <c r="M1955" t="s">
        <v>2202</v>
      </c>
      <c r="N1955" t="str">
        <f>_xlfn.XLOOKUP(Orders[[#This Row],[CustomerID]],Customers[CustomerID],Customers[CustomerName])</f>
        <v>Chioma Ojo</v>
      </c>
      <c r="O1955" t="str">
        <f>_xlfn.XLOOKUP(Orders[[#This Row],[CustomerID]],Customers[CustomerID],Customers[City])</f>
        <v>Washington</v>
      </c>
      <c r="P1955" t="str">
        <f>_xlfn.XLOOKUP(Orders[[#This Row],[CustomerID]],Customers[CustomerID],Customers[Gender])</f>
        <v>Female</v>
      </c>
      <c r="Q1955">
        <f>_xlfn.XLOOKUP(Orders[[#This Row],[CustomerID]],Customers[CustomerID],Customers[CustomerAge])</f>
        <v>46</v>
      </c>
      <c r="R1955" t="str">
        <f>IF(Orders[[#This Row],[CustomerAge]]&gt;=35, "Older", "Young")</f>
        <v>Older</v>
      </c>
      <c r="S1955" t="str">
        <f>_xlfn.XLOOKUP(Orders[[#This Row],[ProductID]],Products[ProductID],Products[ProductName])</f>
        <v>Scrabble</v>
      </c>
      <c r="T1955" t="str">
        <f>_xlfn.XLOOKUP(Orders[[#This Row],[ProductID]],Products[ProductID],Products[Category])</f>
        <v>Games</v>
      </c>
    </row>
    <row r="1956" spans="1:20" x14ac:dyDescent="0.25">
      <c r="A1956" s="4" t="s">
        <v>2145</v>
      </c>
      <c r="B1956" s="5">
        <v>45978</v>
      </c>
      <c r="C1956" s="15">
        <f>WEEKNUM(Orders[[#This Row],[OrderDate]])</f>
        <v>47</v>
      </c>
      <c r="D1956" s="15" t="str">
        <f>TEXT(Orders[[#This Row],[OrderDate]],"mmmm")</f>
        <v>November</v>
      </c>
      <c r="E1956" s="4" t="s">
        <v>327</v>
      </c>
      <c r="F1956" s="4" t="s">
        <v>66</v>
      </c>
      <c r="G1956" s="4">
        <v>2</v>
      </c>
      <c r="H1956" s="12">
        <v>18509.3</v>
      </c>
      <c r="I1956" s="13">
        <v>15732.904999999999</v>
      </c>
      <c r="J1956" s="13">
        <f>Orders[[#This Row],[Quantity]]*Orders[[#This Row],[Selling Price]]</f>
        <v>37018.6</v>
      </c>
      <c r="K1956" s="13">
        <f>Orders[[#This Row],[Quantity]]*Orders[[#This Row],[Cost Price]]</f>
        <v>31465.809999999998</v>
      </c>
      <c r="L1956" s="13">
        <f>Orders[[#This Row],[Revenue]]-Orders[[#This Row],[Expenses]]</f>
        <v>5552.7900000000009</v>
      </c>
      <c r="M1956" t="s">
        <v>2212</v>
      </c>
      <c r="N1956" t="str">
        <f>_xlfn.XLOOKUP(Orders[[#This Row],[CustomerID]],Customers[CustomerID],Customers[CustomerName])</f>
        <v>Folasade Ojo</v>
      </c>
      <c r="O1956" t="str">
        <f>_xlfn.XLOOKUP(Orders[[#This Row],[CustomerID]],Customers[CustomerID],Customers[City])</f>
        <v>Washington</v>
      </c>
      <c r="P1956" t="str">
        <f>_xlfn.XLOOKUP(Orders[[#This Row],[CustomerID]],Customers[CustomerID],Customers[Gender])</f>
        <v>Female</v>
      </c>
      <c r="Q1956">
        <f>_xlfn.XLOOKUP(Orders[[#This Row],[CustomerID]],Customers[CustomerID],Customers[CustomerAge])</f>
        <v>24</v>
      </c>
      <c r="R1956" t="str">
        <f>IF(Orders[[#This Row],[CustomerAge]]&gt;=35, "Older", "Young")</f>
        <v>Young</v>
      </c>
      <c r="S1956" t="str">
        <f>_xlfn.XLOOKUP(Orders[[#This Row],[ProductID]],Products[ProductID],Products[ProductName])</f>
        <v>Microwave</v>
      </c>
      <c r="T1956" t="str">
        <f>_xlfn.XLOOKUP(Orders[[#This Row],[ProductID]],Products[ProductID],Products[Category])</f>
        <v>Electronics</v>
      </c>
    </row>
    <row r="1957" spans="1:20" x14ac:dyDescent="0.25">
      <c r="A1957" s="4" t="s">
        <v>2146</v>
      </c>
      <c r="B1957" s="5">
        <v>45975</v>
      </c>
      <c r="C1957" s="15">
        <f>WEEKNUM(Orders[[#This Row],[OrderDate]])</f>
        <v>46</v>
      </c>
      <c r="D1957" s="15" t="str">
        <f>TEXT(Orders[[#This Row],[OrderDate]],"mmmm")</f>
        <v>November</v>
      </c>
      <c r="E1957" s="4" t="s">
        <v>605</v>
      </c>
      <c r="F1957" s="4" t="s">
        <v>63</v>
      </c>
      <c r="G1957" s="4">
        <v>2</v>
      </c>
      <c r="H1957" s="12">
        <v>13101.7</v>
      </c>
      <c r="I1957" s="13">
        <v>11136.445</v>
      </c>
      <c r="J1957" s="13">
        <f>Orders[[#This Row],[Quantity]]*Orders[[#This Row],[Selling Price]]</f>
        <v>26203.4</v>
      </c>
      <c r="K1957" s="13">
        <f>Orders[[#This Row],[Quantity]]*Orders[[#This Row],[Cost Price]]</f>
        <v>22272.89</v>
      </c>
      <c r="L1957" s="13">
        <f>Orders[[#This Row],[Revenue]]-Orders[[#This Row],[Expenses]]</f>
        <v>3930.510000000002</v>
      </c>
      <c r="M1957" t="s">
        <v>2203</v>
      </c>
      <c r="N1957" t="str">
        <f>_xlfn.XLOOKUP(Orders[[#This Row],[CustomerID]],Customers[CustomerID],Customers[CustomerName])</f>
        <v>Blessing Abubakar</v>
      </c>
      <c r="O1957" t="str">
        <f>_xlfn.XLOOKUP(Orders[[#This Row],[CustomerID]],Customers[CustomerID],Customers[City])</f>
        <v>Texas</v>
      </c>
      <c r="P1957" t="str">
        <f>_xlfn.XLOOKUP(Orders[[#This Row],[CustomerID]],Customers[CustomerID],Customers[Gender])</f>
        <v>Female</v>
      </c>
      <c r="Q1957">
        <f>_xlfn.XLOOKUP(Orders[[#This Row],[CustomerID]],Customers[CustomerID],Customers[CustomerAge])</f>
        <v>44</v>
      </c>
      <c r="R1957" t="str">
        <f>IF(Orders[[#This Row],[CustomerAge]]&gt;=35, "Older", "Young")</f>
        <v>Older</v>
      </c>
      <c r="S1957" t="str">
        <f>_xlfn.XLOOKUP(Orders[[#This Row],[ProductID]],Products[ProductID],Products[ProductName])</f>
        <v>Tennis Bat</v>
      </c>
      <c r="T1957" t="str">
        <f>_xlfn.XLOOKUP(Orders[[#This Row],[ProductID]],Products[ProductID],Products[Category])</f>
        <v>Sports</v>
      </c>
    </row>
    <row r="1958" spans="1:20" x14ac:dyDescent="0.25">
      <c r="A1958" s="4" t="s">
        <v>2147</v>
      </c>
      <c r="B1958" s="5">
        <v>45993</v>
      </c>
      <c r="C1958" s="15">
        <f>WEEKNUM(Orders[[#This Row],[OrderDate]])</f>
        <v>49</v>
      </c>
      <c r="D1958" s="15" t="str">
        <f>TEXT(Orders[[#This Row],[OrderDate]],"mmmm")</f>
        <v>December</v>
      </c>
      <c r="E1958" s="4" t="s">
        <v>552</v>
      </c>
      <c r="F1958" s="4" t="s">
        <v>253</v>
      </c>
      <c r="G1958" s="4">
        <v>2</v>
      </c>
      <c r="H1958" s="12">
        <v>12211.6</v>
      </c>
      <c r="I1958" s="13">
        <v>10379.86</v>
      </c>
      <c r="J1958" s="13">
        <f>Orders[[#This Row],[Quantity]]*Orders[[#This Row],[Selling Price]]</f>
        <v>24423.200000000001</v>
      </c>
      <c r="K1958" s="13">
        <f>Orders[[#This Row],[Quantity]]*Orders[[#This Row],[Cost Price]]</f>
        <v>20759.72</v>
      </c>
      <c r="L1958" s="13">
        <f>Orders[[#This Row],[Revenue]]-Orders[[#This Row],[Expenses]]</f>
        <v>3663.4799999999996</v>
      </c>
      <c r="M1958" t="s">
        <v>2207</v>
      </c>
      <c r="N1958" t="str">
        <f>_xlfn.XLOOKUP(Orders[[#This Row],[CustomerID]],Customers[CustomerID],Customers[CustomerName])</f>
        <v>Chioma Eze</v>
      </c>
      <c r="O1958" t="str">
        <f>_xlfn.XLOOKUP(Orders[[#This Row],[CustomerID]],Customers[CustomerID],Customers[City])</f>
        <v>Georgia</v>
      </c>
      <c r="P1958" t="str">
        <f>_xlfn.XLOOKUP(Orders[[#This Row],[CustomerID]],Customers[CustomerID],Customers[Gender])</f>
        <v>Female</v>
      </c>
      <c r="Q1958">
        <f>_xlfn.XLOOKUP(Orders[[#This Row],[CustomerID]],Customers[CustomerID],Customers[CustomerAge])</f>
        <v>40</v>
      </c>
      <c r="R1958" t="str">
        <f>IF(Orders[[#This Row],[CustomerAge]]&gt;=35, "Older", "Young")</f>
        <v>Older</v>
      </c>
      <c r="S1958" t="str">
        <f>_xlfn.XLOOKUP(Orders[[#This Row],[ProductID]],Products[ProductID],Products[ProductName])</f>
        <v>Nose Rings</v>
      </c>
      <c r="T1958" t="str">
        <f>_xlfn.XLOOKUP(Orders[[#This Row],[ProductID]],Products[ProductID],Products[Category])</f>
        <v>Accessories</v>
      </c>
    </row>
    <row r="1959" spans="1:20" x14ac:dyDescent="0.25">
      <c r="A1959" s="4" t="s">
        <v>2148</v>
      </c>
      <c r="B1959" s="5">
        <v>45946</v>
      </c>
      <c r="C1959" s="15">
        <f>WEEKNUM(Orders[[#This Row],[OrderDate]])</f>
        <v>42</v>
      </c>
      <c r="D1959" s="15" t="str">
        <f>TEXT(Orders[[#This Row],[OrderDate]],"mmmm")</f>
        <v>October</v>
      </c>
      <c r="E1959" s="4" t="s">
        <v>340</v>
      </c>
      <c r="F1959" s="4" t="s">
        <v>57</v>
      </c>
      <c r="G1959" s="4">
        <v>5</v>
      </c>
      <c r="H1959" s="12">
        <v>19036.300000000003</v>
      </c>
      <c r="I1959" s="13">
        <v>16180.855000000003</v>
      </c>
      <c r="J1959" s="13">
        <f>Orders[[#This Row],[Quantity]]*Orders[[#This Row],[Selling Price]]</f>
        <v>95181.500000000015</v>
      </c>
      <c r="K1959" s="13">
        <f>Orders[[#This Row],[Quantity]]*Orders[[#This Row],[Cost Price]]</f>
        <v>80904.275000000023</v>
      </c>
      <c r="L1959" s="13">
        <f>Orders[[#This Row],[Revenue]]-Orders[[#This Row],[Expenses]]</f>
        <v>14277.224999999991</v>
      </c>
      <c r="M1959" t="s">
        <v>2218</v>
      </c>
      <c r="N1959" t="str">
        <f>_xlfn.XLOOKUP(Orders[[#This Row],[CustomerID]],Customers[CustomerID],Customers[CustomerName])</f>
        <v>Uche Abubakar</v>
      </c>
      <c r="O1959" t="str">
        <f>_xlfn.XLOOKUP(Orders[[#This Row],[CustomerID]],Customers[CustomerID],Customers[City])</f>
        <v>Illinois</v>
      </c>
      <c r="P1959" t="str">
        <f>_xlfn.XLOOKUP(Orders[[#This Row],[CustomerID]],Customers[CustomerID],Customers[Gender])</f>
        <v>Male</v>
      </c>
      <c r="Q1959">
        <f>_xlfn.XLOOKUP(Orders[[#This Row],[CustomerID]],Customers[CustomerID],Customers[CustomerAge])</f>
        <v>18</v>
      </c>
      <c r="R1959" t="str">
        <f>IF(Orders[[#This Row],[CustomerAge]]&gt;=35, "Older", "Young")</f>
        <v>Young</v>
      </c>
      <c r="S1959" t="str">
        <f>_xlfn.XLOOKUP(Orders[[#This Row],[ProductID]],Products[ProductID],Products[ProductName])</f>
        <v>Badminton Racket</v>
      </c>
      <c r="T1959" t="str">
        <f>_xlfn.XLOOKUP(Orders[[#This Row],[ProductID]],Products[ProductID],Products[Category])</f>
        <v>Sports</v>
      </c>
    </row>
    <row r="1960" spans="1:20" x14ac:dyDescent="0.25">
      <c r="A1960" s="4" t="s">
        <v>2149</v>
      </c>
      <c r="B1960" s="5">
        <v>45936</v>
      </c>
      <c r="C1960" s="15">
        <f>WEEKNUM(Orders[[#This Row],[OrderDate]])</f>
        <v>41</v>
      </c>
      <c r="D1960" s="15" t="str">
        <f>TEXT(Orders[[#This Row],[OrderDate]],"mmmm")</f>
        <v>October</v>
      </c>
      <c r="E1960" s="4" t="s">
        <v>138</v>
      </c>
      <c r="F1960" s="4" t="s">
        <v>23</v>
      </c>
      <c r="G1960" s="4">
        <v>1</v>
      </c>
      <c r="H1960" s="12">
        <v>5135.2</v>
      </c>
      <c r="I1960" s="13">
        <v>4364.92</v>
      </c>
      <c r="J1960" s="13">
        <f>Orders[[#This Row],[Quantity]]*Orders[[#This Row],[Selling Price]]</f>
        <v>5135.2</v>
      </c>
      <c r="K1960" s="13">
        <f>Orders[[#This Row],[Quantity]]*Orders[[#This Row],[Cost Price]]</f>
        <v>4364.92</v>
      </c>
      <c r="L1960" s="13">
        <f>Orders[[#This Row],[Revenue]]-Orders[[#This Row],[Expenses]]</f>
        <v>770.27999999999975</v>
      </c>
      <c r="M1960" t="s">
        <v>2216</v>
      </c>
      <c r="N1960" t="str">
        <f>_xlfn.XLOOKUP(Orders[[#This Row],[CustomerID]],Customers[CustomerID],Customers[CustomerName])</f>
        <v>Efe Adeyemi</v>
      </c>
      <c r="O1960" t="str">
        <f>_xlfn.XLOOKUP(Orders[[#This Row],[CustomerID]],Customers[CustomerID],Customers[City])</f>
        <v>Washington</v>
      </c>
      <c r="P1960" t="str">
        <f>_xlfn.XLOOKUP(Orders[[#This Row],[CustomerID]],Customers[CustomerID],Customers[Gender])</f>
        <v>Female</v>
      </c>
      <c r="Q1960">
        <f>_xlfn.XLOOKUP(Orders[[#This Row],[CustomerID]],Customers[CustomerID],Customers[CustomerAge])</f>
        <v>22</v>
      </c>
      <c r="R1960" t="str">
        <f>IF(Orders[[#This Row],[CustomerAge]]&gt;=35, "Older", "Young")</f>
        <v>Young</v>
      </c>
      <c r="S1960" t="str">
        <f>_xlfn.XLOOKUP(Orders[[#This Row],[ProductID]],Products[ProductID],Products[ProductName])</f>
        <v>Gym Gloves</v>
      </c>
      <c r="T1960" t="str">
        <f>_xlfn.XLOOKUP(Orders[[#This Row],[ProductID]],Products[ProductID],Products[Category])</f>
        <v>Gym</v>
      </c>
    </row>
    <row r="1961" spans="1:20" x14ac:dyDescent="0.25">
      <c r="A1961" s="4" t="s">
        <v>2150</v>
      </c>
      <c r="B1961" s="5">
        <v>45971</v>
      </c>
      <c r="C1961" s="15">
        <f>WEEKNUM(Orders[[#This Row],[OrderDate]])</f>
        <v>46</v>
      </c>
      <c r="D1961" s="15" t="str">
        <f>TEXT(Orders[[#This Row],[OrderDate]],"mmmm")</f>
        <v>November</v>
      </c>
      <c r="E1961" s="4" t="s">
        <v>174</v>
      </c>
      <c r="F1961" s="4" t="s">
        <v>111</v>
      </c>
      <c r="G1961" s="4">
        <v>8</v>
      </c>
      <c r="H1961" s="12">
        <v>16485.099999999999</v>
      </c>
      <c r="I1961" s="13">
        <v>14012.334999999999</v>
      </c>
      <c r="J1961" s="13">
        <f>Orders[[#This Row],[Quantity]]*Orders[[#This Row],[Selling Price]]</f>
        <v>131880.79999999999</v>
      </c>
      <c r="K1961" s="13">
        <f>Orders[[#This Row],[Quantity]]*Orders[[#This Row],[Cost Price]]</f>
        <v>112098.68</v>
      </c>
      <c r="L1961" s="13">
        <f>Orders[[#This Row],[Revenue]]-Orders[[#This Row],[Expenses]]</f>
        <v>19782.119999999995</v>
      </c>
      <c r="M1961" t="s">
        <v>2218</v>
      </c>
      <c r="N1961" t="str">
        <f>_xlfn.XLOOKUP(Orders[[#This Row],[CustomerID]],Customers[CustomerID],Customers[CustomerName])</f>
        <v>Zainab Obi</v>
      </c>
      <c r="O1961" t="str">
        <f>_xlfn.XLOOKUP(Orders[[#This Row],[CustomerID]],Customers[CustomerID],Customers[City])</f>
        <v>California</v>
      </c>
      <c r="P1961" t="str">
        <f>_xlfn.XLOOKUP(Orders[[#This Row],[CustomerID]],Customers[CustomerID],Customers[Gender])</f>
        <v>Female</v>
      </c>
      <c r="Q1961">
        <f>_xlfn.XLOOKUP(Orders[[#This Row],[CustomerID]],Customers[CustomerID],Customers[CustomerAge])</f>
        <v>18</v>
      </c>
      <c r="R1961" t="str">
        <f>IF(Orders[[#This Row],[CustomerAge]]&gt;=35, "Older", "Young")</f>
        <v>Young</v>
      </c>
      <c r="S1961" t="str">
        <f>_xlfn.XLOOKUP(Orders[[#This Row],[ProductID]],Products[ProductID],Products[ProductName])</f>
        <v>Refrigerator</v>
      </c>
      <c r="T1961" t="str">
        <f>_xlfn.XLOOKUP(Orders[[#This Row],[ProductID]],Products[ProductID],Products[Category])</f>
        <v>Electronics</v>
      </c>
    </row>
    <row r="1962" spans="1:20" x14ac:dyDescent="0.25">
      <c r="A1962" s="4" t="s">
        <v>2151</v>
      </c>
      <c r="B1962" s="5">
        <v>45986</v>
      </c>
      <c r="C1962" s="15">
        <f>WEEKNUM(Orders[[#This Row],[OrderDate]])</f>
        <v>48</v>
      </c>
      <c r="D1962" s="15" t="str">
        <f>TEXT(Orders[[#This Row],[OrderDate]],"mmmm")</f>
        <v>November</v>
      </c>
      <c r="E1962" s="4" t="s">
        <v>159</v>
      </c>
      <c r="F1962" s="4" t="s">
        <v>111</v>
      </c>
      <c r="G1962" s="4">
        <v>9</v>
      </c>
      <c r="H1962" s="12">
        <v>6006</v>
      </c>
      <c r="I1962" s="13">
        <v>5105.1000000000004</v>
      </c>
      <c r="J1962" s="13">
        <f>Orders[[#This Row],[Quantity]]*Orders[[#This Row],[Selling Price]]</f>
        <v>54054</v>
      </c>
      <c r="K1962" s="13">
        <f>Orders[[#This Row],[Quantity]]*Orders[[#This Row],[Cost Price]]</f>
        <v>45945.9</v>
      </c>
      <c r="L1962" s="13">
        <f>Orders[[#This Row],[Revenue]]-Orders[[#This Row],[Expenses]]</f>
        <v>8108.0999999999985</v>
      </c>
      <c r="M1962" t="s">
        <v>2196</v>
      </c>
      <c r="N1962" t="str">
        <f>_xlfn.XLOOKUP(Orders[[#This Row],[CustomerID]],Customers[CustomerID],Customers[CustomerName])</f>
        <v>Ibrahim Okonkwo</v>
      </c>
      <c r="O1962" t="str">
        <f>_xlfn.XLOOKUP(Orders[[#This Row],[CustomerID]],Customers[CustomerID],Customers[City])</f>
        <v>Florida</v>
      </c>
      <c r="P1962" t="str">
        <f>_xlfn.XLOOKUP(Orders[[#This Row],[CustomerID]],Customers[CustomerID],Customers[Gender])</f>
        <v>Male</v>
      </c>
      <c r="Q1962">
        <f>_xlfn.XLOOKUP(Orders[[#This Row],[CustomerID]],Customers[CustomerID],Customers[CustomerAge])</f>
        <v>49</v>
      </c>
      <c r="R1962" t="str">
        <f>IF(Orders[[#This Row],[CustomerAge]]&gt;=35, "Older", "Young")</f>
        <v>Older</v>
      </c>
      <c r="S1962" t="str">
        <f>_xlfn.XLOOKUP(Orders[[#This Row],[ProductID]],Products[ProductID],Products[ProductName])</f>
        <v>Refrigerator</v>
      </c>
      <c r="T1962" t="str">
        <f>_xlfn.XLOOKUP(Orders[[#This Row],[ProductID]],Products[ProductID],Products[Category])</f>
        <v>Electronics</v>
      </c>
    </row>
    <row r="1963" spans="1:20" x14ac:dyDescent="0.25">
      <c r="A1963" s="4" t="s">
        <v>2152</v>
      </c>
      <c r="B1963" s="5">
        <v>46013</v>
      </c>
      <c r="C1963" s="15">
        <f>WEEKNUM(Orders[[#This Row],[OrderDate]])</f>
        <v>52</v>
      </c>
      <c r="D1963" s="15" t="str">
        <f>TEXT(Orders[[#This Row],[OrderDate]],"mmmm")</f>
        <v>December</v>
      </c>
      <c r="E1963" s="4" t="s">
        <v>435</v>
      </c>
      <c r="F1963" s="4" t="s">
        <v>23</v>
      </c>
      <c r="G1963" s="4">
        <v>9</v>
      </c>
      <c r="H1963" s="12">
        <v>16429.8</v>
      </c>
      <c r="I1963" s="13">
        <v>13965.33</v>
      </c>
      <c r="J1963" s="13">
        <f>Orders[[#This Row],[Quantity]]*Orders[[#This Row],[Selling Price]]</f>
        <v>147868.19999999998</v>
      </c>
      <c r="K1963" s="13">
        <f>Orders[[#This Row],[Quantity]]*Orders[[#This Row],[Cost Price]]</f>
        <v>125687.97</v>
      </c>
      <c r="L1963" s="13">
        <f>Orders[[#This Row],[Revenue]]-Orders[[#This Row],[Expenses]]</f>
        <v>22180.229999999981</v>
      </c>
      <c r="M1963" t="s">
        <v>2211</v>
      </c>
      <c r="N1963" t="str">
        <f>_xlfn.XLOOKUP(Orders[[#This Row],[CustomerID]],Customers[CustomerID],Customers[CustomerName])</f>
        <v>Amina Balogun</v>
      </c>
      <c r="O1963" t="str">
        <f>_xlfn.XLOOKUP(Orders[[#This Row],[CustomerID]],Customers[CustomerID],Customers[City])</f>
        <v>Texas</v>
      </c>
      <c r="P1963" t="str">
        <f>_xlfn.XLOOKUP(Orders[[#This Row],[CustomerID]],Customers[CustomerID],Customers[Gender])</f>
        <v>Female</v>
      </c>
      <c r="Q1963">
        <f>_xlfn.XLOOKUP(Orders[[#This Row],[CustomerID]],Customers[CustomerID],Customers[CustomerAge])</f>
        <v>32</v>
      </c>
      <c r="R1963" t="str">
        <f>IF(Orders[[#This Row],[CustomerAge]]&gt;=35, "Older", "Young")</f>
        <v>Young</v>
      </c>
      <c r="S1963" t="str">
        <f>_xlfn.XLOOKUP(Orders[[#This Row],[ProductID]],Products[ProductID],Products[ProductName])</f>
        <v>Gym Gloves</v>
      </c>
      <c r="T1963" t="str">
        <f>_xlfn.XLOOKUP(Orders[[#This Row],[ProductID]],Products[ProductID],Products[Category])</f>
        <v>Gym</v>
      </c>
    </row>
    <row r="1964" spans="1:20" x14ac:dyDescent="0.25">
      <c r="A1964" s="4" t="s">
        <v>2153</v>
      </c>
      <c r="B1964" s="5">
        <v>45996</v>
      </c>
      <c r="C1964" s="15">
        <f>WEEKNUM(Orders[[#This Row],[OrderDate]])</f>
        <v>49</v>
      </c>
      <c r="D1964" s="15" t="str">
        <f>TEXT(Orders[[#This Row],[OrderDate]],"mmmm")</f>
        <v>December</v>
      </c>
      <c r="E1964" s="4" t="s">
        <v>107</v>
      </c>
      <c r="F1964" s="4" t="s">
        <v>189</v>
      </c>
      <c r="G1964" s="4">
        <v>4</v>
      </c>
      <c r="H1964" s="12">
        <v>13229.400000000001</v>
      </c>
      <c r="I1964" s="13">
        <v>11244.990000000002</v>
      </c>
      <c r="J1964" s="13">
        <f>Orders[[#This Row],[Quantity]]*Orders[[#This Row],[Selling Price]]</f>
        <v>52917.600000000006</v>
      </c>
      <c r="K1964" s="13">
        <f>Orders[[#This Row],[Quantity]]*Orders[[#This Row],[Cost Price]]</f>
        <v>44979.960000000006</v>
      </c>
      <c r="L1964" s="13">
        <f>Orders[[#This Row],[Revenue]]-Orders[[#This Row],[Expenses]]</f>
        <v>7937.6399999999994</v>
      </c>
      <c r="M1964" t="s">
        <v>2216</v>
      </c>
      <c r="N1964" t="str">
        <f>_xlfn.XLOOKUP(Orders[[#This Row],[CustomerID]],Customers[CustomerID],Customers[CustomerName])</f>
        <v>Blessing Eze</v>
      </c>
      <c r="O1964" t="str">
        <f>_xlfn.XLOOKUP(Orders[[#This Row],[CustomerID]],Customers[CustomerID],Customers[City])</f>
        <v>Texas</v>
      </c>
      <c r="P1964" t="str">
        <f>_xlfn.XLOOKUP(Orders[[#This Row],[CustomerID]],Customers[CustomerID],Customers[Gender])</f>
        <v>Female</v>
      </c>
      <c r="Q1964">
        <f>_xlfn.XLOOKUP(Orders[[#This Row],[CustomerID]],Customers[CustomerID],Customers[CustomerAge])</f>
        <v>44</v>
      </c>
      <c r="R1964" t="str">
        <f>IF(Orders[[#This Row],[CustomerAge]]&gt;=35, "Older", "Young")</f>
        <v>Older</v>
      </c>
      <c r="S1964" t="str">
        <f>_xlfn.XLOOKUP(Orders[[#This Row],[ProductID]],Products[ProductID],Products[ProductName])</f>
        <v>Scrabble</v>
      </c>
      <c r="T1964" t="str">
        <f>_xlfn.XLOOKUP(Orders[[#This Row],[ProductID]],Products[ProductID],Products[Category])</f>
        <v>Games</v>
      </c>
    </row>
    <row r="1965" spans="1:20" x14ac:dyDescent="0.25">
      <c r="A1965" s="4" t="s">
        <v>2154</v>
      </c>
      <c r="B1965" s="5">
        <v>45946</v>
      </c>
      <c r="C1965" s="15">
        <f>WEEKNUM(Orders[[#This Row],[OrderDate]])</f>
        <v>42</v>
      </c>
      <c r="D1965" s="15" t="str">
        <f>TEXT(Orders[[#This Row],[OrderDate]],"mmmm")</f>
        <v>October</v>
      </c>
      <c r="E1965" s="4" t="s">
        <v>62</v>
      </c>
      <c r="F1965" s="4" t="s">
        <v>25</v>
      </c>
      <c r="G1965" s="4">
        <v>6</v>
      </c>
      <c r="H1965" s="12">
        <v>16778.5</v>
      </c>
      <c r="I1965" s="13">
        <v>14261.725</v>
      </c>
      <c r="J1965" s="13">
        <f>Orders[[#This Row],[Quantity]]*Orders[[#This Row],[Selling Price]]</f>
        <v>100671</v>
      </c>
      <c r="K1965" s="13">
        <f>Orders[[#This Row],[Quantity]]*Orders[[#This Row],[Cost Price]]</f>
        <v>85570.35</v>
      </c>
      <c r="L1965" s="13">
        <f>Orders[[#This Row],[Revenue]]-Orders[[#This Row],[Expenses]]</f>
        <v>15100.649999999994</v>
      </c>
      <c r="M1965" t="s">
        <v>2200</v>
      </c>
      <c r="N1965" t="str">
        <f>_xlfn.XLOOKUP(Orders[[#This Row],[CustomerID]],Customers[CustomerID],Customers[CustomerName])</f>
        <v>Ronke Okonkwo</v>
      </c>
      <c r="O1965" t="str">
        <f>_xlfn.XLOOKUP(Orders[[#This Row],[CustomerID]],Customers[CustomerID],Customers[City])</f>
        <v>Texas</v>
      </c>
      <c r="P1965" t="str">
        <f>_xlfn.XLOOKUP(Orders[[#This Row],[CustomerID]],Customers[CustomerID],Customers[Gender])</f>
        <v>Female</v>
      </c>
      <c r="Q1965">
        <f>_xlfn.XLOOKUP(Orders[[#This Row],[CustomerID]],Customers[CustomerID],Customers[CustomerAge])</f>
        <v>36</v>
      </c>
      <c r="R1965" t="str">
        <f>IF(Orders[[#This Row],[CustomerAge]]&gt;=35, "Older", "Young")</f>
        <v>Older</v>
      </c>
      <c r="S1965" t="str">
        <f>_xlfn.XLOOKUP(Orders[[#This Row],[ProductID]],Products[ProductID],Products[ProductName])</f>
        <v>Gold Rings</v>
      </c>
      <c r="T1965" t="str">
        <f>_xlfn.XLOOKUP(Orders[[#This Row],[ProductID]],Products[ProductID],Products[Category])</f>
        <v>Accessories</v>
      </c>
    </row>
    <row r="1966" spans="1:20" x14ac:dyDescent="0.25">
      <c r="A1966" s="4" t="s">
        <v>2155</v>
      </c>
      <c r="B1966" s="5">
        <v>45955</v>
      </c>
      <c r="C1966" s="15">
        <f>WEEKNUM(Orders[[#This Row],[OrderDate]])</f>
        <v>43</v>
      </c>
      <c r="D1966" s="15" t="str">
        <f>TEXT(Orders[[#This Row],[OrderDate]],"mmmm")</f>
        <v>October</v>
      </c>
      <c r="E1966" s="4" t="s">
        <v>671</v>
      </c>
      <c r="F1966" s="4" t="s">
        <v>46</v>
      </c>
      <c r="G1966" s="4">
        <v>10</v>
      </c>
      <c r="H1966" s="12">
        <v>12731.199999999999</v>
      </c>
      <c r="I1966" s="13">
        <v>10821.519999999999</v>
      </c>
      <c r="J1966" s="13">
        <f>Orders[[#This Row],[Quantity]]*Orders[[#This Row],[Selling Price]]</f>
        <v>127311.99999999999</v>
      </c>
      <c r="K1966" s="13">
        <f>Orders[[#This Row],[Quantity]]*Orders[[#This Row],[Cost Price]]</f>
        <v>108215.19999999998</v>
      </c>
      <c r="L1966" s="13">
        <f>Orders[[#This Row],[Revenue]]-Orders[[#This Row],[Expenses]]</f>
        <v>19096.800000000003</v>
      </c>
      <c r="M1966" t="s">
        <v>2194</v>
      </c>
      <c r="N1966" t="str">
        <f>_xlfn.XLOOKUP(Orders[[#This Row],[CustomerID]],Customers[CustomerID],Customers[CustomerName])</f>
        <v>Tunde Abubakar</v>
      </c>
      <c r="O1966" t="str">
        <f>_xlfn.XLOOKUP(Orders[[#This Row],[CustomerID]],Customers[CustomerID],Customers[City])</f>
        <v>Texas</v>
      </c>
      <c r="P1966" t="str">
        <f>_xlfn.XLOOKUP(Orders[[#This Row],[CustomerID]],Customers[CustomerID],Customers[Gender])</f>
        <v>Male</v>
      </c>
      <c r="Q1966">
        <f>_xlfn.XLOOKUP(Orders[[#This Row],[CustomerID]],Customers[CustomerID],Customers[CustomerAge])</f>
        <v>26</v>
      </c>
      <c r="R1966" t="str">
        <f>IF(Orders[[#This Row],[CustomerAge]]&gt;=35, "Older", "Young")</f>
        <v>Young</v>
      </c>
      <c r="S1966" t="str">
        <f>_xlfn.XLOOKUP(Orders[[#This Row],[ProductID]],Products[ProductID],Products[ProductName])</f>
        <v>Turtle Neck</v>
      </c>
      <c r="T1966" t="str">
        <f>_xlfn.XLOOKUP(Orders[[#This Row],[ProductID]],Products[ProductID],Products[Category])</f>
        <v>Clothing</v>
      </c>
    </row>
    <row r="1967" spans="1:20" x14ac:dyDescent="0.25">
      <c r="A1967" s="4" t="s">
        <v>2156</v>
      </c>
      <c r="B1967" s="5">
        <v>45963</v>
      </c>
      <c r="C1967" s="15">
        <f>WEEKNUM(Orders[[#This Row],[OrderDate]])</f>
        <v>45</v>
      </c>
      <c r="D1967" s="15" t="str">
        <f>TEXT(Orders[[#This Row],[OrderDate]],"mmmm")</f>
        <v>November</v>
      </c>
      <c r="E1967" s="4" t="s">
        <v>416</v>
      </c>
      <c r="F1967" s="4" t="s">
        <v>20</v>
      </c>
      <c r="G1967" s="4">
        <v>1</v>
      </c>
      <c r="H1967" s="12">
        <v>8278</v>
      </c>
      <c r="I1967" s="13">
        <v>7036.3</v>
      </c>
      <c r="J1967" s="13">
        <f>Orders[[#This Row],[Quantity]]*Orders[[#This Row],[Selling Price]]</f>
        <v>8278</v>
      </c>
      <c r="K1967" s="13">
        <f>Orders[[#This Row],[Quantity]]*Orders[[#This Row],[Cost Price]]</f>
        <v>7036.3</v>
      </c>
      <c r="L1967" s="13">
        <f>Orders[[#This Row],[Revenue]]-Orders[[#This Row],[Expenses]]</f>
        <v>1241.6999999999998</v>
      </c>
      <c r="M1967" t="s">
        <v>2208</v>
      </c>
      <c r="N1967" t="str">
        <f>_xlfn.XLOOKUP(Orders[[#This Row],[CustomerID]],Customers[CustomerID],Customers[CustomerName])</f>
        <v>Chinedu Igwe</v>
      </c>
      <c r="O1967" t="str">
        <f>_xlfn.XLOOKUP(Orders[[#This Row],[CustomerID]],Customers[CustomerID],Customers[City])</f>
        <v>Texas</v>
      </c>
      <c r="P1967" t="str">
        <f>_xlfn.XLOOKUP(Orders[[#This Row],[CustomerID]],Customers[CustomerID],Customers[Gender])</f>
        <v>Male</v>
      </c>
      <c r="Q1967">
        <f>_xlfn.XLOOKUP(Orders[[#This Row],[CustomerID]],Customers[CustomerID],Customers[CustomerAge])</f>
        <v>26</v>
      </c>
      <c r="R1967" t="str">
        <f>IF(Orders[[#This Row],[CustomerAge]]&gt;=35, "Older", "Young")</f>
        <v>Young</v>
      </c>
      <c r="S1967" t="str">
        <f>_xlfn.XLOOKUP(Orders[[#This Row],[ProductID]],Products[ProductID],Products[ProductName])</f>
        <v>Gym Bag</v>
      </c>
      <c r="T1967" t="str">
        <f>_xlfn.XLOOKUP(Orders[[#This Row],[ProductID]],Products[ProductID],Products[Category])</f>
        <v>Gym</v>
      </c>
    </row>
    <row r="1968" spans="1:20" x14ac:dyDescent="0.25">
      <c r="A1968" s="4" t="s">
        <v>2157</v>
      </c>
      <c r="B1968" s="5">
        <v>45995</v>
      </c>
      <c r="C1968" s="15">
        <f>WEEKNUM(Orders[[#This Row],[OrderDate]])</f>
        <v>49</v>
      </c>
      <c r="D1968" s="15" t="str">
        <f>TEXT(Orders[[#This Row],[OrderDate]],"mmmm")</f>
        <v>December</v>
      </c>
      <c r="E1968" s="4" t="s">
        <v>19</v>
      </c>
      <c r="F1968" s="4" t="s">
        <v>70</v>
      </c>
      <c r="G1968" s="4">
        <v>10</v>
      </c>
      <c r="H1968" s="12">
        <v>19044.400000000001</v>
      </c>
      <c r="I1968" s="13">
        <v>16187.740000000002</v>
      </c>
      <c r="J1968" s="13">
        <f>Orders[[#This Row],[Quantity]]*Orders[[#This Row],[Selling Price]]</f>
        <v>190444</v>
      </c>
      <c r="K1968" s="13">
        <f>Orders[[#This Row],[Quantity]]*Orders[[#This Row],[Cost Price]]</f>
        <v>161877.40000000002</v>
      </c>
      <c r="L1968" s="13">
        <f>Orders[[#This Row],[Revenue]]-Orders[[#This Row],[Expenses]]</f>
        <v>28566.599999999977</v>
      </c>
      <c r="M1968" t="s">
        <v>2205</v>
      </c>
      <c r="N1968" t="str">
        <f>_xlfn.XLOOKUP(Orders[[#This Row],[CustomerID]],Customers[CustomerID],Customers[CustomerName])</f>
        <v>Obi Adeyemi</v>
      </c>
      <c r="O1968" t="str">
        <f>_xlfn.XLOOKUP(Orders[[#This Row],[CustomerID]],Customers[CustomerID],Customers[City])</f>
        <v>California</v>
      </c>
      <c r="P1968" t="str">
        <f>_xlfn.XLOOKUP(Orders[[#This Row],[CustomerID]],Customers[CustomerID],Customers[Gender])</f>
        <v>Male</v>
      </c>
      <c r="Q1968">
        <f>_xlfn.XLOOKUP(Orders[[#This Row],[CustomerID]],Customers[CustomerID],Customers[CustomerAge])</f>
        <v>24</v>
      </c>
      <c r="R1968" t="str">
        <f>IF(Orders[[#This Row],[CustomerAge]]&gt;=35, "Older", "Young")</f>
        <v>Young</v>
      </c>
      <c r="S1968" t="str">
        <f>_xlfn.XLOOKUP(Orders[[#This Row],[ProductID]],Products[ProductID],Products[ProductName])</f>
        <v>Yoga Mat</v>
      </c>
      <c r="T1968" t="str">
        <f>_xlfn.XLOOKUP(Orders[[#This Row],[ProductID]],Products[ProductID],Products[Category])</f>
        <v>Gym</v>
      </c>
    </row>
    <row r="1969" spans="1:20" x14ac:dyDescent="0.25">
      <c r="A1969" s="4" t="s">
        <v>2158</v>
      </c>
      <c r="B1969" s="5">
        <v>45964</v>
      </c>
      <c r="C1969" s="15">
        <f>WEEKNUM(Orders[[#This Row],[OrderDate]])</f>
        <v>45</v>
      </c>
      <c r="D1969" s="15" t="str">
        <f>TEXT(Orders[[#This Row],[OrderDate]],"mmmm")</f>
        <v>November</v>
      </c>
      <c r="E1969" s="4" t="s">
        <v>227</v>
      </c>
      <c r="F1969" s="4" t="s">
        <v>81</v>
      </c>
      <c r="G1969" s="4">
        <v>3</v>
      </c>
      <c r="H1969" s="12">
        <v>14943.3</v>
      </c>
      <c r="I1969" s="13">
        <v>12701.805</v>
      </c>
      <c r="J1969" s="13">
        <f>Orders[[#This Row],[Quantity]]*Orders[[#This Row],[Selling Price]]</f>
        <v>44829.899999999994</v>
      </c>
      <c r="K1969" s="13">
        <f>Orders[[#This Row],[Quantity]]*Orders[[#This Row],[Cost Price]]</f>
        <v>38105.415000000001</v>
      </c>
      <c r="L1969" s="13">
        <f>Orders[[#This Row],[Revenue]]-Orders[[#This Row],[Expenses]]</f>
        <v>6724.4849999999933</v>
      </c>
      <c r="M1969" t="s">
        <v>2193</v>
      </c>
      <c r="N1969" t="str">
        <f>_xlfn.XLOOKUP(Orders[[#This Row],[CustomerID]],Customers[CustomerID],Customers[CustomerName])</f>
        <v>Emmanuel Victor</v>
      </c>
      <c r="O1969" t="str">
        <f>_xlfn.XLOOKUP(Orders[[#This Row],[CustomerID]],Customers[CustomerID],Customers[City])</f>
        <v>Washington</v>
      </c>
      <c r="P1969" t="str">
        <f>_xlfn.XLOOKUP(Orders[[#This Row],[CustomerID]],Customers[CustomerID],Customers[Gender])</f>
        <v>Male</v>
      </c>
      <c r="Q1969">
        <f>_xlfn.XLOOKUP(Orders[[#This Row],[CustomerID]],Customers[CustomerID],Customers[CustomerAge])</f>
        <v>35</v>
      </c>
      <c r="R1969" t="str">
        <f>IF(Orders[[#This Row],[CustomerAge]]&gt;=35, "Older", "Young")</f>
        <v>Older</v>
      </c>
      <c r="S1969" t="str">
        <f>_xlfn.XLOOKUP(Orders[[#This Row],[ProductID]],Products[ProductID],Products[ProductName])</f>
        <v>Trousers</v>
      </c>
      <c r="T1969" t="str">
        <f>_xlfn.XLOOKUP(Orders[[#This Row],[ProductID]],Products[ProductID],Products[Category])</f>
        <v>Clothing</v>
      </c>
    </row>
    <row r="1970" spans="1:20" x14ac:dyDescent="0.25">
      <c r="A1970" s="4" t="s">
        <v>2159</v>
      </c>
      <c r="B1970" s="5">
        <v>46007</v>
      </c>
      <c r="C1970" s="15">
        <f>WEEKNUM(Orders[[#This Row],[OrderDate]])</f>
        <v>51</v>
      </c>
      <c r="D1970" s="15" t="str">
        <f>TEXT(Orders[[#This Row],[OrderDate]],"mmmm")</f>
        <v>December</v>
      </c>
      <c r="E1970" s="4" t="s">
        <v>161</v>
      </c>
      <c r="F1970" s="4" t="s">
        <v>23</v>
      </c>
      <c r="G1970" s="4">
        <v>10</v>
      </c>
      <c r="H1970" s="12">
        <v>4723.3</v>
      </c>
      <c r="I1970" s="13">
        <v>4014.8050000000003</v>
      </c>
      <c r="J1970" s="13">
        <f>Orders[[#This Row],[Quantity]]*Orders[[#This Row],[Selling Price]]</f>
        <v>47233</v>
      </c>
      <c r="K1970" s="13">
        <f>Orders[[#This Row],[Quantity]]*Orders[[#This Row],[Cost Price]]</f>
        <v>40148.050000000003</v>
      </c>
      <c r="L1970" s="13">
        <f>Orders[[#This Row],[Revenue]]-Orders[[#This Row],[Expenses]]</f>
        <v>7084.9499999999971</v>
      </c>
      <c r="M1970" t="s">
        <v>2193</v>
      </c>
      <c r="N1970" t="str">
        <f>_xlfn.XLOOKUP(Orders[[#This Row],[CustomerID]],Customers[CustomerID],Customers[CustomerName])</f>
        <v>Okon Adeyemi</v>
      </c>
      <c r="O1970" t="str">
        <f>_xlfn.XLOOKUP(Orders[[#This Row],[CustomerID]],Customers[CustomerID],Customers[City])</f>
        <v>Georgia</v>
      </c>
      <c r="P1970" t="str">
        <f>_xlfn.XLOOKUP(Orders[[#This Row],[CustomerID]],Customers[CustomerID],Customers[Gender])</f>
        <v>Male</v>
      </c>
      <c r="Q1970">
        <f>_xlfn.XLOOKUP(Orders[[#This Row],[CustomerID]],Customers[CustomerID],Customers[CustomerAge])</f>
        <v>31</v>
      </c>
      <c r="R1970" t="str">
        <f>IF(Orders[[#This Row],[CustomerAge]]&gt;=35, "Older", "Young")</f>
        <v>Young</v>
      </c>
      <c r="S1970" t="str">
        <f>_xlfn.XLOOKUP(Orders[[#This Row],[ProductID]],Products[ProductID],Products[ProductName])</f>
        <v>Gym Gloves</v>
      </c>
      <c r="T1970" t="str">
        <f>_xlfn.XLOOKUP(Orders[[#This Row],[ProductID]],Products[ProductID],Products[Category])</f>
        <v>Gym</v>
      </c>
    </row>
    <row r="1971" spans="1:20" x14ac:dyDescent="0.25">
      <c r="A1971" s="4" t="s">
        <v>2160</v>
      </c>
      <c r="B1971" s="5">
        <v>45966</v>
      </c>
      <c r="C1971" s="15">
        <f>WEEKNUM(Orders[[#This Row],[OrderDate]])</f>
        <v>45</v>
      </c>
      <c r="D1971" s="15" t="str">
        <f>TEXT(Orders[[#This Row],[OrderDate]],"mmmm")</f>
        <v>November</v>
      </c>
      <c r="E1971" s="4" t="s">
        <v>110</v>
      </c>
      <c r="F1971" s="4" t="s">
        <v>232</v>
      </c>
      <c r="G1971" s="4">
        <v>6</v>
      </c>
      <c r="H1971" s="12">
        <v>5682.1</v>
      </c>
      <c r="I1971" s="13">
        <v>4829.7849999999999</v>
      </c>
      <c r="J1971" s="13">
        <f>Orders[[#This Row],[Quantity]]*Orders[[#This Row],[Selling Price]]</f>
        <v>34092.600000000006</v>
      </c>
      <c r="K1971" s="13">
        <f>Orders[[#This Row],[Quantity]]*Orders[[#This Row],[Cost Price]]</f>
        <v>28978.71</v>
      </c>
      <c r="L1971" s="13">
        <f>Orders[[#This Row],[Revenue]]-Orders[[#This Row],[Expenses]]</f>
        <v>5113.8900000000067</v>
      </c>
      <c r="M1971" t="s">
        <v>2218</v>
      </c>
      <c r="N1971" t="str">
        <f>_xlfn.XLOOKUP(Orders[[#This Row],[CustomerID]],Customers[CustomerID],Customers[CustomerName])</f>
        <v>Ngozi Danladi</v>
      </c>
      <c r="O1971" t="str">
        <f>_xlfn.XLOOKUP(Orders[[#This Row],[CustomerID]],Customers[CustomerID],Customers[City])</f>
        <v>Washington</v>
      </c>
      <c r="P1971" t="str">
        <f>_xlfn.XLOOKUP(Orders[[#This Row],[CustomerID]],Customers[CustomerID],Customers[Gender])</f>
        <v>Female</v>
      </c>
      <c r="Q1971">
        <f>_xlfn.XLOOKUP(Orders[[#This Row],[CustomerID]],Customers[CustomerID],Customers[CustomerAge])</f>
        <v>28</v>
      </c>
      <c r="R1971" t="str">
        <f>IF(Orders[[#This Row],[CustomerAge]]&gt;=35, "Older", "Young")</f>
        <v>Young</v>
      </c>
      <c r="S1971" t="str">
        <f>_xlfn.XLOOKUP(Orders[[#This Row],[ProductID]],Products[ProductID],Products[ProductName])</f>
        <v>Ankara</v>
      </c>
      <c r="T1971" t="str">
        <f>_xlfn.XLOOKUP(Orders[[#This Row],[ProductID]],Products[ProductID],Products[Category])</f>
        <v>Clothing</v>
      </c>
    </row>
    <row r="1972" spans="1:20" x14ac:dyDescent="0.25">
      <c r="A1972" s="4" t="s">
        <v>2161</v>
      </c>
      <c r="B1972" s="5">
        <v>46021</v>
      </c>
      <c r="C1972" s="15">
        <f>WEEKNUM(Orders[[#This Row],[OrderDate]])</f>
        <v>53</v>
      </c>
      <c r="D1972" s="15" t="str">
        <f>TEXT(Orders[[#This Row],[OrderDate]],"mmmm")</f>
        <v>December</v>
      </c>
      <c r="E1972" s="4" t="s">
        <v>320</v>
      </c>
      <c r="F1972" s="4" t="s">
        <v>25</v>
      </c>
      <c r="G1972" s="4">
        <v>3</v>
      </c>
      <c r="H1972" s="12">
        <v>8726.7999999999993</v>
      </c>
      <c r="I1972" s="13">
        <v>7417.78</v>
      </c>
      <c r="J1972" s="13">
        <f>Orders[[#This Row],[Quantity]]*Orders[[#This Row],[Selling Price]]</f>
        <v>26180.399999999998</v>
      </c>
      <c r="K1972" s="13">
        <f>Orders[[#This Row],[Quantity]]*Orders[[#This Row],[Cost Price]]</f>
        <v>22253.34</v>
      </c>
      <c r="L1972" s="13">
        <f>Orders[[#This Row],[Revenue]]-Orders[[#This Row],[Expenses]]</f>
        <v>3927.0599999999977</v>
      </c>
      <c r="M1972" t="s">
        <v>2209</v>
      </c>
      <c r="N1972" t="str">
        <f>_xlfn.XLOOKUP(Orders[[#This Row],[CustomerID]],Customers[CustomerID],Customers[CustomerName])</f>
        <v>Temi Okonkwo</v>
      </c>
      <c r="O1972" t="str">
        <f>_xlfn.XLOOKUP(Orders[[#This Row],[CustomerID]],Customers[CustomerID],Customers[City])</f>
        <v>Texas</v>
      </c>
      <c r="P1972" t="str">
        <f>_xlfn.XLOOKUP(Orders[[#This Row],[CustomerID]],Customers[CustomerID],Customers[Gender])</f>
        <v>Female</v>
      </c>
      <c r="Q1972">
        <f>_xlfn.XLOOKUP(Orders[[#This Row],[CustomerID]],Customers[CustomerID],Customers[CustomerAge])</f>
        <v>31</v>
      </c>
      <c r="R1972" t="str">
        <f>IF(Orders[[#This Row],[CustomerAge]]&gt;=35, "Older", "Young")</f>
        <v>Young</v>
      </c>
      <c r="S1972" t="str">
        <f>_xlfn.XLOOKUP(Orders[[#This Row],[ProductID]],Products[ProductID],Products[ProductName])</f>
        <v>Gold Rings</v>
      </c>
      <c r="T1972" t="str">
        <f>_xlfn.XLOOKUP(Orders[[#This Row],[ProductID]],Products[ProductID],Products[Category])</f>
        <v>Accessories</v>
      </c>
    </row>
    <row r="1973" spans="1:20" x14ac:dyDescent="0.25">
      <c r="A1973" s="4" t="s">
        <v>2162</v>
      </c>
      <c r="B1973" s="5">
        <v>45972</v>
      </c>
      <c r="C1973" s="15">
        <f>WEEKNUM(Orders[[#This Row],[OrderDate]])</f>
        <v>46</v>
      </c>
      <c r="D1973" s="15" t="str">
        <f>TEXT(Orders[[#This Row],[OrderDate]],"mmmm")</f>
        <v>November</v>
      </c>
      <c r="E1973" s="4" t="s">
        <v>418</v>
      </c>
      <c r="F1973" s="4" t="s">
        <v>28</v>
      </c>
      <c r="G1973" s="4">
        <v>5</v>
      </c>
      <c r="H1973" s="12">
        <v>4807.2000000000007</v>
      </c>
      <c r="I1973" s="13">
        <v>4086.1200000000008</v>
      </c>
      <c r="J1973" s="13">
        <f>Orders[[#This Row],[Quantity]]*Orders[[#This Row],[Selling Price]]</f>
        <v>24036.000000000004</v>
      </c>
      <c r="K1973" s="13">
        <f>Orders[[#This Row],[Quantity]]*Orders[[#This Row],[Cost Price]]</f>
        <v>20430.600000000006</v>
      </c>
      <c r="L1973" s="13">
        <f>Orders[[#This Row],[Revenue]]-Orders[[#This Row],[Expenses]]</f>
        <v>3605.3999999999978</v>
      </c>
      <c r="M1973" t="s">
        <v>2193</v>
      </c>
      <c r="N1973" t="str">
        <f>_xlfn.XLOOKUP(Orders[[#This Row],[CustomerID]],Customers[CustomerID],Customers[CustomerName])</f>
        <v>Amina Danladi</v>
      </c>
      <c r="O1973" t="str">
        <f>_xlfn.XLOOKUP(Orders[[#This Row],[CustomerID]],Customers[CustomerID],Customers[City])</f>
        <v>Illinois</v>
      </c>
      <c r="P1973" t="str">
        <f>_xlfn.XLOOKUP(Orders[[#This Row],[CustomerID]],Customers[CustomerID],Customers[Gender])</f>
        <v>Female</v>
      </c>
      <c r="Q1973">
        <f>_xlfn.XLOOKUP(Orders[[#This Row],[CustomerID]],Customers[CustomerID],Customers[CustomerAge])</f>
        <v>20</v>
      </c>
      <c r="R1973" t="str">
        <f>IF(Orders[[#This Row],[CustomerAge]]&gt;=35, "Older", "Young")</f>
        <v>Young</v>
      </c>
      <c r="S1973" t="str">
        <f>_xlfn.XLOOKUP(Orders[[#This Row],[ProductID]],Products[ProductID],Products[ProductName])</f>
        <v>Sneakers</v>
      </c>
      <c r="T1973" t="str">
        <f>_xlfn.XLOOKUP(Orders[[#This Row],[ProductID]],Products[ProductID],Products[Category])</f>
        <v>Sports</v>
      </c>
    </row>
    <row r="1974" spans="1:20" x14ac:dyDescent="0.25">
      <c r="A1974" s="4" t="s">
        <v>2163</v>
      </c>
      <c r="B1974" s="5">
        <v>45946</v>
      </c>
      <c r="C1974" s="15">
        <f>WEEKNUM(Orders[[#This Row],[OrderDate]])</f>
        <v>42</v>
      </c>
      <c r="D1974" s="15" t="str">
        <f>TEXT(Orders[[#This Row],[OrderDate]],"mmmm")</f>
        <v>October</v>
      </c>
      <c r="E1974" s="4" t="s">
        <v>246</v>
      </c>
      <c r="F1974" s="4" t="s">
        <v>189</v>
      </c>
      <c r="G1974" s="4">
        <v>2</v>
      </c>
      <c r="H1974" s="12">
        <v>11842.6</v>
      </c>
      <c r="I1974" s="13">
        <v>10066.210000000001</v>
      </c>
      <c r="J1974" s="13">
        <f>Orders[[#This Row],[Quantity]]*Orders[[#This Row],[Selling Price]]</f>
        <v>23685.200000000001</v>
      </c>
      <c r="K1974" s="13">
        <f>Orders[[#This Row],[Quantity]]*Orders[[#This Row],[Cost Price]]</f>
        <v>20132.420000000002</v>
      </c>
      <c r="L1974" s="13">
        <f>Orders[[#This Row],[Revenue]]-Orders[[#This Row],[Expenses]]</f>
        <v>3552.7799999999988</v>
      </c>
      <c r="M1974" t="s">
        <v>2199</v>
      </c>
      <c r="N1974" t="str">
        <f>_xlfn.XLOOKUP(Orders[[#This Row],[CustomerID]],Customers[CustomerID],Customers[CustomerName])</f>
        <v>Emeka Abubakar</v>
      </c>
      <c r="O1974" t="str">
        <f>_xlfn.XLOOKUP(Orders[[#This Row],[CustomerID]],Customers[CustomerID],Customers[City])</f>
        <v>Florida</v>
      </c>
      <c r="P1974" t="str">
        <f>_xlfn.XLOOKUP(Orders[[#This Row],[CustomerID]],Customers[CustomerID],Customers[Gender])</f>
        <v>Male</v>
      </c>
      <c r="Q1974">
        <f>_xlfn.XLOOKUP(Orders[[#This Row],[CustomerID]],Customers[CustomerID],Customers[CustomerAge])</f>
        <v>28</v>
      </c>
      <c r="R1974" t="str">
        <f>IF(Orders[[#This Row],[CustomerAge]]&gt;=35, "Older", "Young")</f>
        <v>Young</v>
      </c>
      <c r="S1974" t="str">
        <f>_xlfn.XLOOKUP(Orders[[#This Row],[ProductID]],Products[ProductID],Products[ProductName])</f>
        <v>Scrabble</v>
      </c>
      <c r="T1974" t="str">
        <f>_xlfn.XLOOKUP(Orders[[#This Row],[ProductID]],Products[ProductID],Products[Category])</f>
        <v>Games</v>
      </c>
    </row>
    <row r="1975" spans="1:20" x14ac:dyDescent="0.25">
      <c r="A1975" s="4" t="s">
        <v>2164</v>
      </c>
      <c r="B1975" s="5">
        <v>45968</v>
      </c>
      <c r="C1975" s="15">
        <f>WEEKNUM(Orders[[#This Row],[OrderDate]])</f>
        <v>45</v>
      </c>
      <c r="D1975" s="15" t="str">
        <f>TEXT(Orders[[#This Row],[OrderDate]],"mmmm")</f>
        <v>November</v>
      </c>
      <c r="E1975" s="4" t="s">
        <v>320</v>
      </c>
      <c r="F1975" s="4" t="s">
        <v>9</v>
      </c>
      <c r="G1975" s="4">
        <v>8</v>
      </c>
      <c r="H1975" s="12">
        <v>12916.6</v>
      </c>
      <c r="I1975" s="13">
        <v>10979.11</v>
      </c>
      <c r="J1975" s="13">
        <f>Orders[[#This Row],[Quantity]]*Orders[[#This Row],[Selling Price]]</f>
        <v>103332.8</v>
      </c>
      <c r="K1975" s="13">
        <f>Orders[[#This Row],[Quantity]]*Orders[[#This Row],[Cost Price]]</f>
        <v>87832.88</v>
      </c>
      <c r="L1975" s="13">
        <f>Orders[[#This Row],[Revenue]]-Orders[[#This Row],[Expenses]]</f>
        <v>15499.919999999998</v>
      </c>
      <c r="M1975" t="s">
        <v>2199</v>
      </c>
      <c r="N1975" t="str">
        <f>_xlfn.XLOOKUP(Orders[[#This Row],[CustomerID]],Customers[CustomerID],Customers[CustomerName])</f>
        <v>Temi Okonkwo</v>
      </c>
      <c r="O1975" t="str">
        <f>_xlfn.XLOOKUP(Orders[[#This Row],[CustomerID]],Customers[CustomerID],Customers[City])</f>
        <v>Texas</v>
      </c>
      <c r="P1975" t="str">
        <f>_xlfn.XLOOKUP(Orders[[#This Row],[CustomerID]],Customers[CustomerID],Customers[Gender])</f>
        <v>Female</v>
      </c>
      <c r="Q1975">
        <f>_xlfn.XLOOKUP(Orders[[#This Row],[CustomerID]],Customers[CustomerID],Customers[CustomerAge])</f>
        <v>31</v>
      </c>
      <c r="R1975" t="str">
        <f>IF(Orders[[#This Row],[CustomerAge]]&gt;=35, "Older", "Young")</f>
        <v>Young</v>
      </c>
      <c r="S1975" t="str">
        <f>_xlfn.XLOOKUP(Orders[[#This Row],[ProductID]],Products[ProductID],Products[ProductName])</f>
        <v>Beaded Earrings And Necklaces</v>
      </c>
      <c r="T1975" t="str">
        <f>_xlfn.XLOOKUP(Orders[[#This Row],[ProductID]],Products[ProductID],Products[Category])</f>
        <v>Accessories</v>
      </c>
    </row>
    <row r="1976" spans="1:20" x14ac:dyDescent="0.25">
      <c r="A1976" s="4" t="s">
        <v>2165</v>
      </c>
      <c r="B1976" s="5">
        <v>45994</v>
      </c>
      <c r="C1976" s="15">
        <f>WEEKNUM(Orders[[#This Row],[OrderDate]])</f>
        <v>49</v>
      </c>
      <c r="D1976" s="15" t="str">
        <f>TEXT(Orders[[#This Row],[OrderDate]],"mmmm")</f>
        <v>December</v>
      </c>
      <c r="E1976" s="4" t="s">
        <v>203</v>
      </c>
      <c r="F1976" s="4" t="s">
        <v>63</v>
      </c>
      <c r="G1976" s="4">
        <v>6</v>
      </c>
      <c r="H1976" s="12">
        <v>12211.300000000001</v>
      </c>
      <c r="I1976" s="13">
        <v>10379.605000000001</v>
      </c>
      <c r="J1976" s="13">
        <f>Orders[[#This Row],[Quantity]]*Orders[[#This Row],[Selling Price]]</f>
        <v>73267.8</v>
      </c>
      <c r="K1976" s="13">
        <f>Orders[[#This Row],[Quantity]]*Orders[[#This Row],[Cost Price]]</f>
        <v>62277.630000000005</v>
      </c>
      <c r="L1976" s="13">
        <f>Orders[[#This Row],[Revenue]]-Orders[[#This Row],[Expenses]]</f>
        <v>10990.169999999998</v>
      </c>
      <c r="M1976" t="s">
        <v>2195</v>
      </c>
      <c r="N1976" t="str">
        <f>_xlfn.XLOOKUP(Orders[[#This Row],[CustomerID]],Customers[CustomerID],Customers[CustomerName])</f>
        <v>Okon Bello</v>
      </c>
      <c r="O1976" t="str">
        <f>_xlfn.XLOOKUP(Orders[[#This Row],[CustomerID]],Customers[CustomerID],Customers[City])</f>
        <v>Texas</v>
      </c>
      <c r="P1976" t="str">
        <f>_xlfn.XLOOKUP(Orders[[#This Row],[CustomerID]],Customers[CustomerID],Customers[Gender])</f>
        <v>Male</v>
      </c>
      <c r="Q1976">
        <f>_xlfn.XLOOKUP(Orders[[#This Row],[CustomerID]],Customers[CustomerID],Customers[CustomerAge])</f>
        <v>20</v>
      </c>
      <c r="R1976" t="str">
        <f>IF(Orders[[#This Row],[CustomerAge]]&gt;=35, "Older", "Young")</f>
        <v>Young</v>
      </c>
      <c r="S1976" t="str">
        <f>_xlfn.XLOOKUP(Orders[[#This Row],[ProductID]],Products[ProductID],Products[ProductName])</f>
        <v>Tennis Bat</v>
      </c>
      <c r="T1976" t="str">
        <f>_xlfn.XLOOKUP(Orders[[#This Row],[ProductID]],Products[ProductID],Products[Category])</f>
        <v>Sports</v>
      </c>
    </row>
    <row r="1977" spans="1:20" x14ac:dyDescent="0.25">
      <c r="A1977" s="4" t="s">
        <v>2166</v>
      </c>
      <c r="B1977" s="5">
        <v>45965</v>
      </c>
      <c r="C1977" s="15">
        <f>WEEKNUM(Orders[[#This Row],[OrderDate]])</f>
        <v>45</v>
      </c>
      <c r="D1977" s="15" t="str">
        <f>TEXT(Orders[[#This Row],[OrderDate]],"mmmm")</f>
        <v>November</v>
      </c>
      <c r="E1977" s="4" t="s">
        <v>757</v>
      </c>
      <c r="F1977" s="4" t="s">
        <v>66</v>
      </c>
      <c r="G1977" s="4">
        <v>3</v>
      </c>
      <c r="H1977" s="12">
        <v>16610.3</v>
      </c>
      <c r="I1977" s="13">
        <v>14118.754999999999</v>
      </c>
      <c r="J1977" s="13">
        <f>Orders[[#This Row],[Quantity]]*Orders[[#This Row],[Selling Price]]</f>
        <v>49830.899999999994</v>
      </c>
      <c r="K1977" s="13">
        <f>Orders[[#This Row],[Quantity]]*Orders[[#This Row],[Cost Price]]</f>
        <v>42356.264999999999</v>
      </c>
      <c r="L1977" s="13">
        <f>Orders[[#This Row],[Revenue]]-Orders[[#This Row],[Expenses]]</f>
        <v>7474.6349999999948</v>
      </c>
      <c r="M1977" t="s">
        <v>2203</v>
      </c>
      <c r="N1977" t="str">
        <f>_xlfn.XLOOKUP(Orders[[#This Row],[CustomerID]],Customers[CustomerID],Customers[CustomerName])</f>
        <v>Okon Balogun</v>
      </c>
      <c r="O1977" t="str">
        <f>_xlfn.XLOOKUP(Orders[[#This Row],[CustomerID]],Customers[CustomerID],Customers[City])</f>
        <v>Texas</v>
      </c>
      <c r="P1977" t="str">
        <f>_xlfn.XLOOKUP(Orders[[#This Row],[CustomerID]],Customers[CustomerID],Customers[Gender])</f>
        <v>Male</v>
      </c>
      <c r="Q1977">
        <f>_xlfn.XLOOKUP(Orders[[#This Row],[CustomerID]],Customers[CustomerID],Customers[CustomerAge])</f>
        <v>20</v>
      </c>
      <c r="R1977" t="str">
        <f>IF(Orders[[#This Row],[CustomerAge]]&gt;=35, "Older", "Young")</f>
        <v>Young</v>
      </c>
      <c r="S1977" t="str">
        <f>_xlfn.XLOOKUP(Orders[[#This Row],[ProductID]],Products[ProductID],Products[ProductName])</f>
        <v>Microwave</v>
      </c>
      <c r="T1977" t="str">
        <f>_xlfn.XLOOKUP(Orders[[#This Row],[ProductID]],Products[ProductID],Products[Category])</f>
        <v>Electronics</v>
      </c>
    </row>
    <row r="1978" spans="1:20" x14ac:dyDescent="0.25">
      <c r="A1978" s="4" t="s">
        <v>2167</v>
      </c>
      <c r="B1978" s="5">
        <v>45994</v>
      </c>
      <c r="C1978" s="15">
        <f>WEEKNUM(Orders[[#This Row],[OrderDate]])</f>
        <v>49</v>
      </c>
      <c r="D1978" s="15" t="str">
        <f>TEXT(Orders[[#This Row],[OrderDate]],"mmmm")</f>
        <v>December</v>
      </c>
      <c r="E1978" s="4" t="s">
        <v>27</v>
      </c>
      <c r="F1978" s="4" t="s">
        <v>23</v>
      </c>
      <c r="G1978" s="4">
        <v>10</v>
      </c>
      <c r="H1978" s="12">
        <v>17408.3</v>
      </c>
      <c r="I1978" s="13">
        <v>14797.055</v>
      </c>
      <c r="J1978" s="13">
        <f>Orders[[#This Row],[Quantity]]*Orders[[#This Row],[Selling Price]]</f>
        <v>174083</v>
      </c>
      <c r="K1978" s="13">
        <f>Orders[[#This Row],[Quantity]]*Orders[[#This Row],[Cost Price]]</f>
        <v>147970.54999999999</v>
      </c>
      <c r="L1978" s="13">
        <f>Orders[[#This Row],[Revenue]]-Orders[[#This Row],[Expenses]]</f>
        <v>26112.450000000012</v>
      </c>
      <c r="M1978" t="s">
        <v>2207</v>
      </c>
      <c r="N1978" t="str">
        <f>_xlfn.XLOOKUP(Orders[[#This Row],[CustomerID]],Customers[CustomerID],Customers[CustomerName])</f>
        <v>Okon Ojo</v>
      </c>
      <c r="O1978" t="str">
        <f>_xlfn.XLOOKUP(Orders[[#This Row],[CustomerID]],Customers[CustomerID],Customers[City])</f>
        <v>Illinois</v>
      </c>
      <c r="P1978" t="str">
        <f>_xlfn.XLOOKUP(Orders[[#This Row],[CustomerID]],Customers[CustomerID],Customers[Gender])</f>
        <v>Male</v>
      </c>
      <c r="Q1978">
        <f>_xlfn.XLOOKUP(Orders[[#This Row],[CustomerID]],Customers[CustomerID],Customers[CustomerAge])</f>
        <v>32</v>
      </c>
      <c r="R1978" t="str">
        <f>IF(Orders[[#This Row],[CustomerAge]]&gt;=35, "Older", "Young")</f>
        <v>Young</v>
      </c>
      <c r="S1978" t="str">
        <f>_xlfn.XLOOKUP(Orders[[#This Row],[ProductID]],Products[ProductID],Products[ProductName])</f>
        <v>Gym Gloves</v>
      </c>
      <c r="T1978" t="str">
        <f>_xlfn.XLOOKUP(Orders[[#This Row],[ProductID]],Products[ProductID],Products[Category])</f>
        <v>Gym</v>
      </c>
    </row>
    <row r="1979" spans="1:20" x14ac:dyDescent="0.25">
      <c r="A1979" s="4" t="s">
        <v>2168</v>
      </c>
      <c r="B1979" s="5">
        <v>45946</v>
      </c>
      <c r="C1979" s="15">
        <f>WEEKNUM(Orders[[#This Row],[OrderDate]])</f>
        <v>42</v>
      </c>
      <c r="D1979" s="15" t="str">
        <f>TEXT(Orders[[#This Row],[OrderDate]],"mmmm")</f>
        <v>October</v>
      </c>
      <c r="E1979" s="4" t="s">
        <v>324</v>
      </c>
      <c r="F1979" s="4" t="s">
        <v>92</v>
      </c>
      <c r="G1979" s="4">
        <v>4</v>
      </c>
      <c r="H1979" s="12">
        <v>12010</v>
      </c>
      <c r="I1979" s="13">
        <v>10208.5</v>
      </c>
      <c r="J1979" s="13">
        <f>Orders[[#This Row],[Quantity]]*Orders[[#This Row],[Selling Price]]</f>
        <v>48040</v>
      </c>
      <c r="K1979" s="13">
        <f>Orders[[#This Row],[Quantity]]*Orders[[#This Row],[Cost Price]]</f>
        <v>40834</v>
      </c>
      <c r="L1979" s="13">
        <f>Orders[[#This Row],[Revenue]]-Orders[[#This Row],[Expenses]]</f>
        <v>7206</v>
      </c>
      <c r="M1979" t="s">
        <v>2204</v>
      </c>
      <c r="N1979" t="str">
        <f>_xlfn.XLOOKUP(Orders[[#This Row],[CustomerID]],Customers[CustomerID],Customers[CustomerName])</f>
        <v>Tunde Okonkwo</v>
      </c>
      <c r="O1979" t="str">
        <f>_xlfn.XLOOKUP(Orders[[#This Row],[CustomerID]],Customers[CustomerID],Customers[City])</f>
        <v>Texas</v>
      </c>
      <c r="P1979" t="str">
        <f>_xlfn.XLOOKUP(Orders[[#This Row],[CustomerID]],Customers[CustomerID],Customers[Gender])</f>
        <v>Male</v>
      </c>
      <c r="Q1979">
        <f>_xlfn.XLOOKUP(Orders[[#This Row],[CustomerID]],Customers[CustomerID],Customers[CustomerAge])</f>
        <v>25</v>
      </c>
      <c r="R1979" t="str">
        <f>IF(Orders[[#This Row],[CustomerAge]]&gt;=35, "Older", "Young")</f>
        <v>Young</v>
      </c>
      <c r="S1979" t="str">
        <f>_xlfn.XLOOKUP(Orders[[#This Row],[ProductID]],Products[ProductID],Products[ProductName])</f>
        <v>Chest Expander</v>
      </c>
      <c r="T1979" t="str">
        <f>_xlfn.XLOOKUP(Orders[[#This Row],[ProductID]],Products[ProductID],Products[Category])</f>
        <v>Gym</v>
      </c>
    </row>
    <row r="1980" spans="1:20" x14ac:dyDescent="0.25">
      <c r="A1980" s="4" t="s">
        <v>2169</v>
      </c>
      <c r="B1980" s="5">
        <v>45998</v>
      </c>
      <c r="C1980" s="15">
        <f>WEEKNUM(Orders[[#This Row],[OrderDate]])</f>
        <v>50</v>
      </c>
      <c r="D1980" s="15" t="str">
        <f>TEXT(Orders[[#This Row],[OrderDate]],"mmmm")</f>
        <v>December</v>
      </c>
      <c r="E1980" s="4" t="s">
        <v>140</v>
      </c>
      <c r="F1980" s="4" t="s">
        <v>25</v>
      </c>
      <c r="G1980" s="4">
        <v>2</v>
      </c>
      <c r="H1980" s="12">
        <v>14347.3</v>
      </c>
      <c r="I1980" s="13">
        <v>12195.205</v>
      </c>
      <c r="J1980" s="13">
        <f>Orders[[#This Row],[Quantity]]*Orders[[#This Row],[Selling Price]]</f>
        <v>28694.6</v>
      </c>
      <c r="K1980" s="13">
        <f>Orders[[#This Row],[Quantity]]*Orders[[#This Row],[Cost Price]]</f>
        <v>24390.41</v>
      </c>
      <c r="L1980" s="13">
        <f>Orders[[#This Row],[Revenue]]-Orders[[#This Row],[Expenses]]</f>
        <v>4304.1899999999987</v>
      </c>
      <c r="M1980" t="s">
        <v>2202</v>
      </c>
      <c r="N1980" t="str">
        <f>_xlfn.XLOOKUP(Orders[[#This Row],[CustomerID]],Customers[CustomerID],Customers[CustomerName])</f>
        <v>Tunde Igwe</v>
      </c>
      <c r="O1980" t="str">
        <f>_xlfn.XLOOKUP(Orders[[#This Row],[CustomerID]],Customers[CustomerID],Customers[City])</f>
        <v>Washington</v>
      </c>
      <c r="P1980" t="str">
        <f>_xlfn.XLOOKUP(Orders[[#This Row],[CustomerID]],Customers[CustomerID],Customers[Gender])</f>
        <v>Male</v>
      </c>
      <c r="Q1980">
        <f>_xlfn.XLOOKUP(Orders[[#This Row],[CustomerID]],Customers[CustomerID],Customers[CustomerAge])</f>
        <v>20</v>
      </c>
      <c r="R1980" t="str">
        <f>IF(Orders[[#This Row],[CustomerAge]]&gt;=35, "Older", "Young")</f>
        <v>Young</v>
      </c>
      <c r="S1980" t="str">
        <f>_xlfn.XLOOKUP(Orders[[#This Row],[ProductID]],Products[ProductID],Products[ProductName])</f>
        <v>Gold Rings</v>
      </c>
      <c r="T1980" t="str">
        <f>_xlfn.XLOOKUP(Orders[[#This Row],[ProductID]],Products[ProductID],Products[Category])</f>
        <v>Accessories</v>
      </c>
    </row>
    <row r="1981" spans="1:20" x14ac:dyDescent="0.25">
      <c r="A1981" s="4" t="s">
        <v>2170</v>
      </c>
      <c r="B1981" s="5">
        <v>45984</v>
      </c>
      <c r="C1981" s="15">
        <f>WEEKNUM(Orders[[#This Row],[OrderDate]])</f>
        <v>48</v>
      </c>
      <c r="D1981" s="15" t="str">
        <f>TEXT(Orders[[#This Row],[OrderDate]],"mmmm")</f>
        <v>November</v>
      </c>
      <c r="E1981" s="4" t="s">
        <v>94</v>
      </c>
      <c r="F1981" s="4" t="s">
        <v>46</v>
      </c>
      <c r="G1981" s="4">
        <v>6</v>
      </c>
      <c r="H1981" s="12">
        <v>11841.199999999999</v>
      </c>
      <c r="I1981" s="13">
        <v>10065.019999999999</v>
      </c>
      <c r="J1981" s="13">
        <f>Orders[[#This Row],[Quantity]]*Orders[[#This Row],[Selling Price]]</f>
        <v>71047.199999999997</v>
      </c>
      <c r="K1981" s="13">
        <f>Orders[[#This Row],[Quantity]]*Orders[[#This Row],[Cost Price]]</f>
        <v>60390.119999999995</v>
      </c>
      <c r="L1981" s="13">
        <f>Orders[[#This Row],[Revenue]]-Orders[[#This Row],[Expenses]]</f>
        <v>10657.080000000002</v>
      </c>
      <c r="M1981" t="s">
        <v>2206</v>
      </c>
      <c r="N1981" t="str">
        <f>_xlfn.XLOOKUP(Orders[[#This Row],[CustomerID]],Customers[CustomerID],Customers[CustomerName])</f>
        <v>Uche Abubakar</v>
      </c>
      <c r="O1981" t="str">
        <f>_xlfn.XLOOKUP(Orders[[#This Row],[CustomerID]],Customers[CustomerID],Customers[City])</f>
        <v>Texas</v>
      </c>
      <c r="P1981" t="str">
        <f>_xlfn.XLOOKUP(Orders[[#This Row],[CustomerID]],Customers[CustomerID],Customers[Gender])</f>
        <v>Male</v>
      </c>
      <c r="Q1981">
        <f>_xlfn.XLOOKUP(Orders[[#This Row],[CustomerID]],Customers[CustomerID],Customers[CustomerAge])</f>
        <v>26</v>
      </c>
      <c r="R1981" t="str">
        <f>IF(Orders[[#This Row],[CustomerAge]]&gt;=35, "Older", "Young")</f>
        <v>Young</v>
      </c>
      <c r="S1981" t="str">
        <f>_xlfn.XLOOKUP(Orders[[#This Row],[ProductID]],Products[ProductID],Products[ProductName])</f>
        <v>Turtle Neck</v>
      </c>
      <c r="T1981" t="str">
        <f>_xlfn.XLOOKUP(Orders[[#This Row],[ProductID]],Products[ProductID],Products[Category])</f>
        <v>Clothing</v>
      </c>
    </row>
    <row r="1982" spans="1:20" x14ac:dyDescent="0.25">
      <c r="A1982" s="4" t="s">
        <v>2171</v>
      </c>
      <c r="B1982" s="5">
        <v>45988</v>
      </c>
      <c r="C1982" s="15">
        <f>WEEKNUM(Orders[[#This Row],[OrderDate]])</f>
        <v>48</v>
      </c>
      <c r="D1982" s="15" t="str">
        <f>TEXT(Orders[[#This Row],[OrderDate]],"mmmm")</f>
        <v>November</v>
      </c>
      <c r="E1982" s="4" t="s">
        <v>481</v>
      </c>
      <c r="F1982" s="4" t="s">
        <v>92</v>
      </c>
      <c r="G1982" s="4">
        <v>3</v>
      </c>
      <c r="H1982" s="12">
        <v>18353.699999999997</v>
      </c>
      <c r="I1982" s="13">
        <v>15600.644999999997</v>
      </c>
      <c r="J1982" s="13">
        <f>Orders[[#This Row],[Quantity]]*Orders[[#This Row],[Selling Price]]</f>
        <v>55061.099999999991</v>
      </c>
      <c r="K1982" s="13">
        <f>Orders[[#This Row],[Quantity]]*Orders[[#This Row],[Cost Price]]</f>
        <v>46801.93499999999</v>
      </c>
      <c r="L1982" s="13">
        <f>Orders[[#This Row],[Revenue]]-Orders[[#This Row],[Expenses]]</f>
        <v>8259.1650000000009</v>
      </c>
      <c r="M1982" t="s">
        <v>2201</v>
      </c>
      <c r="N1982" t="str">
        <f>_xlfn.XLOOKUP(Orders[[#This Row],[CustomerID]],Customers[CustomerID],Customers[CustomerName])</f>
        <v>Abiola Bello</v>
      </c>
      <c r="O1982" t="str">
        <f>_xlfn.XLOOKUP(Orders[[#This Row],[CustomerID]],Customers[CustomerID],Customers[City])</f>
        <v>Illinois</v>
      </c>
      <c r="P1982" t="str">
        <f>_xlfn.XLOOKUP(Orders[[#This Row],[CustomerID]],Customers[CustomerID],Customers[Gender])</f>
        <v>Male</v>
      </c>
      <c r="Q1982">
        <f>_xlfn.XLOOKUP(Orders[[#This Row],[CustomerID]],Customers[CustomerID],Customers[CustomerAge])</f>
        <v>33</v>
      </c>
      <c r="R1982" t="str">
        <f>IF(Orders[[#This Row],[CustomerAge]]&gt;=35, "Older", "Young")</f>
        <v>Young</v>
      </c>
      <c r="S1982" t="str">
        <f>_xlfn.XLOOKUP(Orders[[#This Row],[ProductID]],Products[ProductID],Products[ProductName])</f>
        <v>Chest Expander</v>
      </c>
      <c r="T1982" t="str">
        <f>_xlfn.XLOOKUP(Orders[[#This Row],[ProductID]],Products[ProductID],Products[Category])</f>
        <v>Gym</v>
      </c>
    </row>
    <row r="1983" spans="1:20" x14ac:dyDescent="0.25">
      <c r="A1983" s="4" t="s">
        <v>2172</v>
      </c>
      <c r="B1983" s="5">
        <v>46017</v>
      </c>
      <c r="C1983" s="15">
        <f>WEEKNUM(Orders[[#This Row],[OrderDate]])</f>
        <v>52</v>
      </c>
      <c r="D1983" s="15" t="str">
        <f>TEXT(Orders[[#This Row],[OrderDate]],"mmmm")</f>
        <v>December</v>
      </c>
      <c r="E1983" s="4" t="s">
        <v>552</v>
      </c>
      <c r="F1983" s="4" t="s">
        <v>46</v>
      </c>
      <c r="G1983" s="4">
        <v>3</v>
      </c>
      <c r="H1983" s="12">
        <v>15517.6</v>
      </c>
      <c r="I1983" s="13">
        <v>13189.960000000001</v>
      </c>
      <c r="J1983" s="13">
        <f>Orders[[#This Row],[Quantity]]*Orders[[#This Row],[Selling Price]]</f>
        <v>46552.800000000003</v>
      </c>
      <c r="K1983" s="13">
        <f>Orders[[#This Row],[Quantity]]*Orders[[#This Row],[Cost Price]]</f>
        <v>39569.880000000005</v>
      </c>
      <c r="L1983" s="13">
        <f>Orders[[#This Row],[Revenue]]-Orders[[#This Row],[Expenses]]</f>
        <v>6982.9199999999983</v>
      </c>
      <c r="M1983" t="s">
        <v>2199</v>
      </c>
      <c r="N1983" t="str">
        <f>_xlfn.XLOOKUP(Orders[[#This Row],[CustomerID]],Customers[CustomerID],Customers[CustomerName])</f>
        <v>Chioma Eze</v>
      </c>
      <c r="O1983" t="str">
        <f>_xlfn.XLOOKUP(Orders[[#This Row],[CustomerID]],Customers[CustomerID],Customers[City])</f>
        <v>Georgia</v>
      </c>
      <c r="P1983" t="str">
        <f>_xlfn.XLOOKUP(Orders[[#This Row],[CustomerID]],Customers[CustomerID],Customers[Gender])</f>
        <v>Female</v>
      </c>
      <c r="Q1983">
        <f>_xlfn.XLOOKUP(Orders[[#This Row],[CustomerID]],Customers[CustomerID],Customers[CustomerAge])</f>
        <v>40</v>
      </c>
      <c r="R1983" t="str">
        <f>IF(Orders[[#This Row],[CustomerAge]]&gt;=35, "Older", "Young")</f>
        <v>Older</v>
      </c>
      <c r="S1983" t="str">
        <f>_xlfn.XLOOKUP(Orders[[#This Row],[ProductID]],Products[ProductID],Products[ProductName])</f>
        <v>Turtle Neck</v>
      </c>
      <c r="T1983" t="str">
        <f>_xlfn.XLOOKUP(Orders[[#This Row],[ProductID]],Products[ProductID],Products[Category])</f>
        <v>Clothing</v>
      </c>
    </row>
    <row r="1984" spans="1:20" x14ac:dyDescent="0.25">
      <c r="A1984" s="4" t="s">
        <v>2173</v>
      </c>
      <c r="B1984" s="5">
        <v>45933</v>
      </c>
      <c r="C1984" s="15">
        <f>WEEKNUM(Orders[[#This Row],[OrderDate]])</f>
        <v>40</v>
      </c>
      <c r="D1984" s="15" t="str">
        <f>TEXT(Orders[[#This Row],[OrderDate]],"mmmm")</f>
        <v>October</v>
      </c>
      <c r="E1984" s="4" t="s">
        <v>156</v>
      </c>
      <c r="F1984" s="4" t="s">
        <v>31</v>
      </c>
      <c r="G1984" s="4">
        <v>8</v>
      </c>
      <c r="H1984" s="12">
        <v>15115.599999999999</v>
      </c>
      <c r="I1984" s="13">
        <v>12848.259999999998</v>
      </c>
      <c r="J1984" s="13">
        <f>Orders[[#This Row],[Quantity]]*Orders[[#This Row],[Selling Price]]</f>
        <v>120924.79999999999</v>
      </c>
      <c r="K1984" s="13">
        <f>Orders[[#This Row],[Quantity]]*Orders[[#This Row],[Cost Price]]</f>
        <v>102786.07999999999</v>
      </c>
      <c r="L1984" s="13">
        <f>Orders[[#This Row],[Revenue]]-Orders[[#This Row],[Expenses]]</f>
        <v>18138.72</v>
      </c>
      <c r="M1984" t="s">
        <v>2206</v>
      </c>
      <c r="N1984" t="str">
        <f>_xlfn.XLOOKUP(Orders[[#This Row],[CustomerID]],Customers[CustomerID],Customers[CustomerName])</f>
        <v>Obi Okonkwo</v>
      </c>
      <c r="O1984" t="str">
        <f>_xlfn.XLOOKUP(Orders[[#This Row],[CustomerID]],Customers[CustomerID],Customers[City])</f>
        <v>Florida</v>
      </c>
      <c r="P1984" t="str">
        <f>_xlfn.XLOOKUP(Orders[[#This Row],[CustomerID]],Customers[CustomerID],Customers[Gender])</f>
        <v>Male</v>
      </c>
      <c r="Q1984">
        <f>_xlfn.XLOOKUP(Orders[[#This Row],[CustomerID]],Customers[CustomerID],Customers[CustomerAge])</f>
        <v>52</v>
      </c>
      <c r="R1984" t="str">
        <f>IF(Orders[[#This Row],[CustomerAge]]&gt;=35, "Older", "Young")</f>
        <v>Older</v>
      </c>
      <c r="S1984" t="str">
        <f>_xlfn.XLOOKUP(Orders[[#This Row],[ProductID]],Products[ProductID],Products[ProductName])</f>
        <v>Kids Games</v>
      </c>
      <c r="T1984" t="str">
        <f>_xlfn.XLOOKUP(Orders[[#This Row],[ProductID]],Products[ProductID],Products[Category])</f>
        <v>Games</v>
      </c>
    </row>
    <row r="1985" spans="1:20" x14ac:dyDescent="0.25">
      <c r="A1985" s="4" t="s">
        <v>2174</v>
      </c>
      <c r="B1985" s="5">
        <v>45955</v>
      </c>
      <c r="C1985" s="15">
        <f>WEEKNUM(Orders[[#This Row],[OrderDate]])</f>
        <v>43</v>
      </c>
      <c r="D1985" s="15" t="str">
        <f>TEXT(Orders[[#This Row],[OrderDate]],"mmmm")</f>
        <v>October</v>
      </c>
      <c r="E1985" s="4" t="s">
        <v>103</v>
      </c>
      <c r="F1985" s="4" t="s">
        <v>25</v>
      </c>
      <c r="G1985" s="4">
        <v>8</v>
      </c>
      <c r="H1985" s="12">
        <v>934.09999999999991</v>
      </c>
      <c r="I1985" s="13">
        <v>793.9849999999999</v>
      </c>
      <c r="J1985" s="13">
        <f>Orders[[#This Row],[Quantity]]*Orders[[#This Row],[Selling Price]]</f>
        <v>7472.7999999999993</v>
      </c>
      <c r="K1985" s="13">
        <f>Orders[[#This Row],[Quantity]]*Orders[[#This Row],[Cost Price]]</f>
        <v>6351.8799999999992</v>
      </c>
      <c r="L1985" s="13">
        <f>Orders[[#This Row],[Revenue]]-Orders[[#This Row],[Expenses]]</f>
        <v>1120.92</v>
      </c>
      <c r="M1985" t="s">
        <v>2194</v>
      </c>
      <c r="N1985" t="str">
        <f>_xlfn.XLOOKUP(Orders[[#This Row],[CustomerID]],Customers[CustomerID],Customers[CustomerName])</f>
        <v>Chioma Adeyemi</v>
      </c>
      <c r="O1985" t="str">
        <f>_xlfn.XLOOKUP(Orders[[#This Row],[CustomerID]],Customers[CustomerID],Customers[City])</f>
        <v>Georgia</v>
      </c>
      <c r="P1985" t="str">
        <f>_xlfn.XLOOKUP(Orders[[#This Row],[CustomerID]],Customers[CustomerID],Customers[Gender])</f>
        <v>Female</v>
      </c>
      <c r="Q1985">
        <f>_xlfn.XLOOKUP(Orders[[#This Row],[CustomerID]],Customers[CustomerID],Customers[CustomerAge])</f>
        <v>31</v>
      </c>
      <c r="R1985" t="str">
        <f>IF(Orders[[#This Row],[CustomerAge]]&gt;=35, "Older", "Young")</f>
        <v>Young</v>
      </c>
      <c r="S1985" t="str">
        <f>_xlfn.XLOOKUP(Orders[[#This Row],[ProductID]],Products[ProductID],Products[ProductName])</f>
        <v>Gold Rings</v>
      </c>
      <c r="T1985" t="str">
        <f>_xlfn.XLOOKUP(Orders[[#This Row],[ProductID]],Products[ProductID],Products[Category])</f>
        <v>Accessories</v>
      </c>
    </row>
    <row r="1986" spans="1:20" x14ac:dyDescent="0.25">
      <c r="A1986" s="4" t="s">
        <v>2175</v>
      </c>
      <c r="B1986" s="5">
        <v>45986</v>
      </c>
      <c r="C1986" s="15">
        <f>WEEKNUM(Orders[[#This Row],[OrderDate]])</f>
        <v>48</v>
      </c>
      <c r="D1986" s="15" t="str">
        <f>TEXT(Orders[[#This Row],[OrderDate]],"mmmm")</f>
        <v>November</v>
      </c>
      <c r="E1986" s="4" t="s">
        <v>19</v>
      </c>
      <c r="F1986" s="4" t="s">
        <v>15</v>
      </c>
      <c r="G1986" s="4">
        <v>9</v>
      </c>
      <c r="H1986" s="12">
        <v>14039.1</v>
      </c>
      <c r="I1986" s="13">
        <v>11933.235000000001</v>
      </c>
      <c r="J1986" s="13">
        <f>Orders[[#This Row],[Quantity]]*Orders[[#This Row],[Selling Price]]</f>
        <v>126351.90000000001</v>
      </c>
      <c r="K1986" s="13">
        <f>Orders[[#This Row],[Quantity]]*Orders[[#This Row],[Cost Price]]</f>
        <v>107399.11500000001</v>
      </c>
      <c r="L1986" s="13">
        <f>Orders[[#This Row],[Revenue]]-Orders[[#This Row],[Expenses]]</f>
        <v>18952.785000000003</v>
      </c>
      <c r="M1986" t="s">
        <v>2215</v>
      </c>
      <c r="N1986" t="str">
        <f>_xlfn.XLOOKUP(Orders[[#This Row],[CustomerID]],Customers[CustomerID],Customers[CustomerName])</f>
        <v>Obi Adeyemi</v>
      </c>
      <c r="O1986" t="str">
        <f>_xlfn.XLOOKUP(Orders[[#This Row],[CustomerID]],Customers[CustomerID],Customers[City])</f>
        <v>California</v>
      </c>
      <c r="P1986" t="str">
        <f>_xlfn.XLOOKUP(Orders[[#This Row],[CustomerID]],Customers[CustomerID],Customers[Gender])</f>
        <v>Male</v>
      </c>
      <c r="Q1986">
        <f>_xlfn.XLOOKUP(Orders[[#This Row],[CustomerID]],Customers[CustomerID],Customers[CustomerAge])</f>
        <v>24</v>
      </c>
      <c r="R1986" t="str">
        <f>IF(Orders[[#This Row],[CustomerAge]]&gt;=35, "Older", "Young")</f>
        <v>Young</v>
      </c>
      <c r="S1986" t="str">
        <f>_xlfn.XLOOKUP(Orders[[#This Row],[ProductID]],Products[ProductID],Products[ProductName])</f>
        <v>Monopoly</v>
      </c>
      <c r="T1986" t="str">
        <f>_xlfn.XLOOKUP(Orders[[#This Row],[ProductID]],Products[ProductID],Products[Category])</f>
        <v>Games</v>
      </c>
    </row>
    <row r="1987" spans="1:20" x14ac:dyDescent="0.25">
      <c r="A1987" s="4" t="s">
        <v>2176</v>
      </c>
      <c r="B1987" s="5">
        <v>46008</v>
      </c>
      <c r="C1987" s="15">
        <f>WEEKNUM(Orders[[#This Row],[OrderDate]])</f>
        <v>51</v>
      </c>
      <c r="D1987" s="15" t="str">
        <f>TEXT(Orders[[#This Row],[OrderDate]],"mmmm")</f>
        <v>December</v>
      </c>
      <c r="E1987" s="4" t="s">
        <v>73</v>
      </c>
      <c r="F1987" s="4" t="s">
        <v>66</v>
      </c>
      <c r="G1987" s="4">
        <v>3</v>
      </c>
      <c r="H1987" s="12">
        <v>8928.4</v>
      </c>
      <c r="I1987" s="13">
        <v>7589.1399999999994</v>
      </c>
      <c r="J1987" s="13">
        <f>Orders[[#This Row],[Quantity]]*Orders[[#This Row],[Selling Price]]</f>
        <v>26785.199999999997</v>
      </c>
      <c r="K1987" s="13">
        <f>Orders[[#This Row],[Quantity]]*Orders[[#This Row],[Cost Price]]</f>
        <v>22767.42</v>
      </c>
      <c r="L1987" s="13">
        <f>Orders[[#This Row],[Revenue]]-Orders[[#This Row],[Expenses]]</f>
        <v>4017.7799999999988</v>
      </c>
      <c r="M1987" t="s">
        <v>2194</v>
      </c>
      <c r="N1987" t="str">
        <f>_xlfn.XLOOKUP(Orders[[#This Row],[CustomerID]],Customers[CustomerID],Customers[CustomerName])</f>
        <v>Ronke Okonkwo</v>
      </c>
      <c r="O1987" t="str">
        <f>_xlfn.XLOOKUP(Orders[[#This Row],[CustomerID]],Customers[CustomerID],Customers[City])</f>
        <v>California</v>
      </c>
      <c r="P1987" t="str">
        <f>_xlfn.XLOOKUP(Orders[[#This Row],[CustomerID]],Customers[CustomerID],Customers[Gender])</f>
        <v>Female</v>
      </c>
      <c r="Q1987">
        <f>_xlfn.XLOOKUP(Orders[[#This Row],[CustomerID]],Customers[CustomerID],Customers[CustomerAge])</f>
        <v>20</v>
      </c>
      <c r="R1987" t="str">
        <f>IF(Orders[[#This Row],[CustomerAge]]&gt;=35, "Older", "Young")</f>
        <v>Young</v>
      </c>
      <c r="S1987" t="str">
        <f>_xlfn.XLOOKUP(Orders[[#This Row],[ProductID]],Products[ProductID],Products[ProductName])</f>
        <v>Microwave</v>
      </c>
      <c r="T1987" t="str">
        <f>_xlfn.XLOOKUP(Orders[[#This Row],[ProductID]],Products[ProductID],Products[Category])</f>
        <v>Electronics</v>
      </c>
    </row>
    <row r="1988" spans="1:20" x14ac:dyDescent="0.25">
      <c r="A1988" s="4" t="s">
        <v>2177</v>
      </c>
      <c r="B1988" s="5">
        <v>45935</v>
      </c>
      <c r="C1988" s="15">
        <f>WEEKNUM(Orders[[#This Row],[OrderDate]])</f>
        <v>41</v>
      </c>
      <c r="D1988" s="15" t="str">
        <f>TEXT(Orders[[#This Row],[OrderDate]],"mmmm")</f>
        <v>October</v>
      </c>
      <c r="E1988" s="4" t="s">
        <v>39</v>
      </c>
      <c r="F1988" s="4" t="s">
        <v>208</v>
      </c>
      <c r="G1988" s="4">
        <v>3</v>
      </c>
      <c r="H1988" s="12">
        <v>12025.5</v>
      </c>
      <c r="I1988" s="13">
        <v>10221.674999999999</v>
      </c>
      <c r="J1988" s="13">
        <f>Orders[[#This Row],[Quantity]]*Orders[[#This Row],[Selling Price]]</f>
        <v>36076.5</v>
      </c>
      <c r="K1988" s="13">
        <f>Orders[[#This Row],[Quantity]]*Orders[[#This Row],[Cost Price]]</f>
        <v>30665.024999999998</v>
      </c>
      <c r="L1988" s="13">
        <f>Orders[[#This Row],[Revenue]]-Orders[[#This Row],[Expenses]]</f>
        <v>5411.4750000000022</v>
      </c>
      <c r="M1988" t="s">
        <v>2218</v>
      </c>
      <c r="N1988" t="str">
        <f>_xlfn.XLOOKUP(Orders[[#This Row],[CustomerID]],Customers[CustomerID],Customers[CustomerName])</f>
        <v>Efe Adeyemi</v>
      </c>
      <c r="O1988" t="str">
        <f>_xlfn.XLOOKUP(Orders[[#This Row],[CustomerID]],Customers[CustomerID],Customers[City])</f>
        <v>Florida</v>
      </c>
      <c r="P1988" t="str">
        <f>_xlfn.XLOOKUP(Orders[[#This Row],[CustomerID]],Customers[CustomerID],Customers[Gender])</f>
        <v>Female</v>
      </c>
      <c r="Q1988">
        <f>_xlfn.XLOOKUP(Orders[[#This Row],[CustomerID]],Customers[CustomerID],Customers[CustomerAge])</f>
        <v>20</v>
      </c>
      <c r="R1988" t="str">
        <f>IF(Orders[[#This Row],[CustomerAge]]&gt;=35, "Older", "Young")</f>
        <v>Young</v>
      </c>
      <c r="S1988" t="str">
        <f>_xlfn.XLOOKUP(Orders[[#This Row],[ProductID]],Products[ProductID],Products[ProductName])</f>
        <v>Skipping Rope</v>
      </c>
      <c r="T1988" t="str">
        <f>_xlfn.XLOOKUP(Orders[[#This Row],[ProductID]],Products[ProductID],Products[Category])</f>
        <v>Sports</v>
      </c>
    </row>
    <row r="1989" spans="1:20" x14ac:dyDescent="0.25">
      <c r="A1989" s="4" t="s">
        <v>2178</v>
      </c>
      <c r="B1989" s="5">
        <v>45949</v>
      </c>
      <c r="C1989" s="15">
        <f>WEEKNUM(Orders[[#This Row],[OrderDate]])</f>
        <v>43</v>
      </c>
      <c r="D1989" s="15" t="str">
        <f>TEXT(Orders[[#This Row],[OrderDate]],"mmmm")</f>
        <v>October</v>
      </c>
      <c r="E1989" s="4" t="s">
        <v>282</v>
      </c>
      <c r="F1989" s="4" t="s">
        <v>130</v>
      </c>
      <c r="G1989" s="4">
        <v>10</v>
      </c>
      <c r="H1989" s="12">
        <v>14669.300000000001</v>
      </c>
      <c r="I1989" s="13">
        <v>12468.905000000001</v>
      </c>
      <c r="J1989" s="13">
        <f>Orders[[#This Row],[Quantity]]*Orders[[#This Row],[Selling Price]]</f>
        <v>146693</v>
      </c>
      <c r="K1989" s="13">
        <f>Orders[[#This Row],[Quantity]]*Orders[[#This Row],[Cost Price]]</f>
        <v>124689.05</v>
      </c>
      <c r="L1989" s="13">
        <f>Orders[[#This Row],[Revenue]]-Orders[[#This Row],[Expenses]]</f>
        <v>22003.949999999997</v>
      </c>
      <c r="M1989" t="s">
        <v>2199</v>
      </c>
      <c r="N1989" t="str">
        <f>_xlfn.XLOOKUP(Orders[[#This Row],[CustomerID]],Customers[CustomerID],Customers[CustomerName])</f>
        <v>Bisi Ojo</v>
      </c>
      <c r="O1989" t="str">
        <f>_xlfn.XLOOKUP(Orders[[#This Row],[CustomerID]],Customers[CustomerID],Customers[City])</f>
        <v>Texas</v>
      </c>
      <c r="P1989" t="str">
        <f>_xlfn.XLOOKUP(Orders[[#This Row],[CustomerID]],Customers[CustomerID],Customers[Gender])</f>
        <v>Female</v>
      </c>
      <c r="Q1989">
        <f>_xlfn.XLOOKUP(Orders[[#This Row],[CustomerID]],Customers[CustomerID],Customers[CustomerAge])</f>
        <v>26</v>
      </c>
      <c r="R1989" t="str">
        <f>IF(Orders[[#This Row],[CustomerAge]]&gt;=35, "Older", "Young")</f>
        <v>Young</v>
      </c>
      <c r="S1989" t="str">
        <f>_xlfn.XLOOKUP(Orders[[#This Row],[ProductID]],Products[ProductID],Products[ProductName])</f>
        <v>Gold Earrings And Necklaces</v>
      </c>
      <c r="T1989" t="str">
        <f>_xlfn.XLOOKUP(Orders[[#This Row],[ProductID]],Products[ProductID],Products[Category])</f>
        <v>Accessories</v>
      </c>
    </row>
    <row r="1990" spans="1:20" x14ac:dyDescent="0.25">
      <c r="A1990" s="4" t="s">
        <v>2179</v>
      </c>
      <c r="B1990" s="5">
        <v>45963</v>
      </c>
      <c r="C1990" s="15">
        <f>WEEKNUM(Orders[[#This Row],[OrderDate]])</f>
        <v>45</v>
      </c>
      <c r="D1990" s="15" t="str">
        <f>TEXT(Orders[[#This Row],[OrderDate]],"mmmm")</f>
        <v>November</v>
      </c>
      <c r="E1990" s="4" t="s">
        <v>386</v>
      </c>
      <c r="F1990" s="4" t="s">
        <v>15</v>
      </c>
      <c r="G1990" s="4">
        <v>9</v>
      </c>
      <c r="H1990" s="12">
        <v>14960.699999999999</v>
      </c>
      <c r="I1990" s="13">
        <v>12716.594999999999</v>
      </c>
      <c r="J1990" s="13">
        <f>Orders[[#This Row],[Quantity]]*Orders[[#This Row],[Selling Price]]</f>
        <v>134646.29999999999</v>
      </c>
      <c r="K1990" s="13">
        <f>Orders[[#This Row],[Quantity]]*Orders[[#This Row],[Cost Price]]</f>
        <v>114449.355</v>
      </c>
      <c r="L1990" s="13">
        <f>Orders[[#This Row],[Revenue]]-Orders[[#This Row],[Expenses]]</f>
        <v>20196.944999999992</v>
      </c>
      <c r="M1990" t="s">
        <v>2200</v>
      </c>
      <c r="N1990" t="str">
        <f>_xlfn.XLOOKUP(Orders[[#This Row],[CustomerID]],Customers[CustomerID],Customers[CustomerName])</f>
        <v>Chinedu Eze</v>
      </c>
      <c r="O1990" t="str">
        <f>_xlfn.XLOOKUP(Orders[[#This Row],[CustomerID]],Customers[CustomerID],Customers[City])</f>
        <v>Washington</v>
      </c>
      <c r="P1990" t="str">
        <f>_xlfn.XLOOKUP(Orders[[#This Row],[CustomerID]],Customers[CustomerID],Customers[Gender])</f>
        <v>Male</v>
      </c>
      <c r="Q1990">
        <f>_xlfn.XLOOKUP(Orders[[#This Row],[CustomerID]],Customers[CustomerID],Customers[CustomerAge])</f>
        <v>32</v>
      </c>
      <c r="R1990" t="str">
        <f>IF(Orders[[#This Row],[CustomerAge]]&gt;=35, "Older", "Young")</f>
        <v>Young</v>
      </c>
      <c r="S1990" t="str">
        <f>_xlfn.XLOOKUP(Orders[[#This Row],[ProductID]],Products[ProductID],Products[ProductName])</f>
        <v>Monopoly</v>
      </c>
      <c r="T1990" t="str">
        <f>_xlfn.XLOOKUP(Orders[[#This Row],[ProductID]],Products[ProductID],Products[Category])</f>
        <v>Games</v>
      </c>
    </row>
    <row r="1991" spans="1:20" x14ac:dyDescent="0.25">
      <c r="A1991" s="4" t="s">
        <v>2180</v>
      </c>
      <c r="B1991" s="5">
        <v>45949</v>
      </c>
      <c r="C1991" s="15">
        <f>WEEKNUM(Orders[[#This Row],[OrderDate]])</f>
        <v>43</v>
      </c>
      <c r="D1991" s="15" t="str">
        <f>TEXT(Orders[[#This Row],[OrderDate]],"mmmm")</f>
        <v>October</v>
      </c>
      <c r="E1991" s="4" t="s">
        <v>180</v>
      </c>
      <c r="F1991" s="4" t="s">
        <v>70</v>
      </c>
      <c r="G1991" s="4">
        <v>5</v>
      </c>
      <c r="H1991" s="12">
        <v>15484.9</v>
      </c>
      <c r="I1991" s="13">
        <v>13162.165000000001</v>
      </c>
      <c r="J1991" s="13">
        <f>Orders[[#This Row],[Quantity]]*Orders[[#This Row],[Selling Price]]</f>
        <v>77424.5</v>
      </c>
      <c r="K1991" s="13">
        <f>Orders[[#This Row],[Quantity]]*Orders[[#This Row],[Cost Price]]</f>
        <v>65810.825000000012</v>
      </c>
      <c r="L1991" s="13">
        <f>Orders[[#This Row],[Revenue]]-Orders[[#This Row],[Expenses]]</f>
        <v>11613.674999999988</v>
      </c>
      <c r="M1991" t="s">
        <v>2201</v>
      </c>
      <c r="N1991" t="str">
        <f>_xlfn.XLOOKUP(Orders[[#This Row],[CustomerID]],Customers[CustomerID],Customers[CustomerName])</f>
        <v>Jide Okonkwo</v>
      </c>
      <c r="O1991" t="str">
        <f>_xlfn.XLOOKUP(Orders[[#This Row],[CustomerID]],Customers[CustomerID],Customers[City])</f>
        <v>Texas</v>
      </c>
      <c r="P1991" t="str">
        <f>_xlfn.XLOOKUP(Orders[[#This Row],[CustomerID]],Customers[CustomerID],Customers[Gender])</f>
        <v>Male</v>
      </c>
      <c r="Q1991">
        <f>_xlfn.XLOOKUP(Orders[[#This Row],[CustomerID]],Customers[CustomerID],Customers[CustomerAge])</f>
        <v>25</v>
      </c>
      <c r="R1991" t="str">
        <f>IF(Orders[[#This Row],[CustomerAge]]&gt;=35, "Older", "Young")</f>
        <v>Young</v>
      </c>
      <c r="S1991" t="str">
        <f>_xlfn.XLOOKUP(Orders[[#This Row],[ProductID]],Products[ProductID],Products[ProductName])</f>
        <v>Yoga Mat</v>
      </c>
      <c r="T1991" t="str">
        <f>_xlfn.XLOOKUP(Orders[[#This Row],[ProductID]],Products[ProductID],Products[Category])</f>
        <v>Gym</v>
      </c>
    </row>
    <row r="1992" spans="1:20" x14ac:dyDescent="0.25">
      <c r="A1992" s="4" t="s">
        <v>2181</v>
      </c>
      <c r="B1992" s="5">
        <v>45932</v>
      </c>
      <c r="C1992" s="15">
        <f>WEEKNUM(Orders[[#This Row],[OrderDate]])</f>
        <v>40</v>
      </c>
      <c r="D1992" s="15" t="str">
        <f>TEXT(Orders[[#This Row],[OrderDate]],"mmmm")</f>
        <v>October</v>
      </c>
      <c r="E1992" s="4" t="s">
        <v>524</v>
      </c>
      <c r="F1992" s="4" t="s">
        <v>151</v>
      </c>
      <c r="G1992" s="4">
        <v>10</v>
      </c>
      <c r="H1992" s="12">
        <v>13455.699999999999</v>
      </c>
      <c r="I1992" s="13">
        <v>11437.344999999999</v>
      </c>
      <c r="J1992" s="13">
        <f>Orders[[#This Row],[Quantity]]*Orders[[#This Row],[Selling Price]]</f>
        <v>134557</v>
      </c>
      <c r="K1992" s="13">
        <f>Orders[[#This Row],[Quantity]]*Orders[[#This Row],[Cost Price]]</f>
        <v>114373.45</v>
      </c>
      <c r="L1992" s="13">
        <f>Orders[[#This Row],[Revenue]]-Orders[[#This Row],[Expenses]]</f>
        <v>20183.550000000003</v>
      </c>
      <c r="M1992" t="s">
        <v>2216</v>
      </c>
      <c r="N1992" t="str">
        <f>_xlfn.XLOOKUP(Orders[[#This Row],[CustomerID]],Customers[CustomerID],Customers[CustomerName])</f>
        <v>Chinedu Igwe</v>
      </c>
      <c r="O1992" t="str">
        <f>_xlfn.XLOOKUP(Orders[[#This Row],[CustomerID]],Customers[CustomerID],Customers[City])</f>
        <v>Florida</v>
      </c>
      <c r="P1992" t="str">
        <f>_xlfn.XLOOKUP(Orders[[#This Row],[CustomerID]],Customers[CustomerID],Customers[Gender])</f>
        <v>Male</v>
      </c>
      <c r="Q1992">
        <f>_xlfn.XLOOKUP(Orders[[#This Row],[CustomerID]],Customers[CustomerID],Customers[CustomerAge])</f>
        <v>21</v>
      </c>
      <c r="R1992" t="str">
        <f>IF(Orders[[#This Row],[CustomerAge]]&gt;=35, "Older", "Young")</f>
        <v>Young</v>
      </c>
      <c r="S1992" t="str">
        <f>_xlfn.XLOOKUP(Orders[[#This Row],[ProductID]],Products[ProductID],Products[ProductName])</f>
        <v>Checkers</v>
      </c>
      <c r="T1992" t="str">
        <f>_xlfn.XLOOKUP(Orders[[#This Row],[ProductID]],Products[ProductID],Products[Category])</f>
        <v>Games</v>
      </c>
    </row>
    <row r="1993" spans="1:20" x14ac:dyDescent="0.25">
      <c r="A1993" s="4" t="s">
        <v>2182</v>
      </c>
      <c r="B1993" s="5">
        <v>45949</v>
      </c>
      <c r="C1993" s="15">
        <f>WEEKNUM(Orders[[#This Row],[OrderDate]])</f>
        <v>43</v>
      </c>
      <c r="D1993" s="15" t="str">
        <f>TEXT(Orders[[#This Row],[OrderDate]],"mmmm")</f>
        <v>October</v>
      </c>
      <c r="E1993" s="4" t="s">
        <v>182</v>
      </c>
      <c r="F1993" s="4" t="s">
        <v>111</v>
      </c>
      <c r="G1993" s="4">
        <v>7</v>
      </c>
      <c r="H1993" s="12">
        <v>5593.4000000000005</v>
      </c>
      <c r="I1993" s="13">
        <v>4754.3900000000003</v>
      </c>
      <c r="J1993" s="13">
        <f>Orders[[#This Row],[Quantity]]*Orders[[#This Row],[Selling Price]]</f>
        <v>39153.800000000003</v>
      </c>
      <c r="K1993" s="13">
        <f>Orders[[#This Row],[Quantity]]*Orders[[#This Row],[Cost Price]]</f>
        <v>33280.730000000003</v>
      </c>
      <c r="L1993" s="13">
        <f>Orders[[#This Row],[Revenue]]-Orders[[#This Row],[Expenses]]</f>
        <v>5873.07</v>
      </c>
      <c r="M1993" t="s">
        <v>2220</v>
      </c>
      <c r="N1993" t="str">
        <f>_xlfn.XLOOKUP(Orders[[#This Row],[CustomerID]],Customers[CustomerID],Customers[CustomerName])</f>
        <v>Abiola Okonkwo</v>
      </c>
      <c r="O1993" t="str">
        <f>_xlfn.XLOOKUP(Orders[[#This Row],[CustomerID]],Customers[CustomerID],Customers[City])</f>
        <v>Georgia</v>
      </c>
      <c r="P1993" t="str">
        <f>_xlfn.XLOOKUP(Orders[[#This Row],[CustomerID]],Customers[CustomerID],Customers[Gender])</f>
        <v>Male</v>
      </c>
      <c r="Q1993">
        <f>_xlfn.XLOOKUP(Orders[[#This Row],[CustomerID]],Customers[CustomerID],Customers[CustomerAge])</f>
        <v>39</v>
      </c>
      <c r="R1993" t="str">
        <f>IF(Orders[[#This Row],[CustomerAge]]&gt;=35, "Older", "Young")</f>
        <v>Older</v>
      </c>
      <c r="S1993" t="str">
        <f>_xlfn.XLOOKUP(Orders[[#This Row],[ProductID]],Products[ProductID],Products[ProductName])</f>
        <v>Refrigerator</v>
      </c>
      <c r="T1993" t="str">
        <f>_xlfn.XLOOKUP(Orders[[#This Row],[ProductID]],Products[ProductID],Products[Category])</f>
        <v>Electronics</v>
      </c>
    </row>
    <row r="1994" spans="1:20" x14ac:dyDescent="0.25">
      <c r="A1994" s="4" t="s">
        <v>2183</v>
      </c>
      <c r="B1994" s="5">
        <v>45973</v>
      </c>
      <c r="C1994" s="15">
        <f>WEEKNUM(Orders[[#This Row],[OrderDate]])</f>
        <v>46</v>
      </c>
      <c r="D1994" s="15" t="str">
        <f>TEXT(Orders[[#This Row],[OrderDate]],"mmmm")</f>
        <v>November</v>
      </c>
      <c r="E1994" s="4" t="s">
        <v>386</v>
      </c>
      <c r="F1994" s="4" t="s">
        <v>34</v>
      </c>
      <c r="G1994" s="4">
        <v>9</v>
      </c>
      <c r="H1994" s="12">
        <v>1911</v>
      </c>
      <c r="I1994" s="13">
        <v>1624.35</v>
      </c>
      <c r="J1994" s="13">
        <f>Orders[[#This Row],[Quantity]]*Orders[[#This Row],[Selling Price]]</f>
        <v>17199</v>
      </c>
      <c r="K1994" s="13">
        <f>Orders[[#This Row],[Quantity]]*Orders[[#This Row],[Cost Price]]</f>
        <v>14619.15</v>
      </c>
      <c r="L1994" s="13">
        <f>Orders[[#This Row],[Revenue]]-Orders[[#This Row],[Expenses]]</f>
        <v>2579.8500000000004</v>
      </c>
      <c r="M1994" t="s">
        <v>2213</v>
      </c>
      <c r="N1994" t="str">
        <f>_xlfn.XLOOKUP(Orders[[#This Row],[CustomerID]],Customers[CustomerID],Customers[CustomerName])</f>
        <v>Chinedu Eze</v>
      </c>
      <c r="O1994" t="str">
        <f>_xlfn.XLOOKUP(Orders[[#This Row],[CustomerID]],Customers[CustomerID],Customers[City])</f>
        <v>Washington</v>
      </c>
      <c r="P1994" t="str">
        <f>_xlfn.XLOOKUP(Orders[[#This Row],[CustomerID]],Customers[CustomerID],Customers[Gender])</f>
        <v>Male</v>
      </c>
      <c r="Q1994">
        <f>_xlfn.XLOOKUP(Orders[[#This Row],[CustomerID]],Customers[CustomerID],Customers[CustomerAge])</f>
        <v>32</v>
      </c>
      <c r="R1994" t="str">
        <f>IF(Orders[[#This Row],[CustomerAge]]&gt;=35, "Older", "Young")</f>
        <v>Young</v>
      </c>
      <c r="S1994" t="str">
        <f>_xlfn.XLOOKUP(Orders[[#This Row],[ProductID]],Products[ProductID],Products[ProductName])</f>
        <v>Gold Bracelets</v>
      </c>
      <c r="T1994" t="str">
        <f>_xlfn.XLOOKUP(Orders[[#This Row],[ProductID]],Products[ProductID],Products[Category])</f>
        <v>Accessories</v>
      </c>
    </row>
    <row r="1995" spans="1:20" x14ac:dyDescent="0.25">
      <c r="A1995" s="4" t="s">
        <v>2184</v>
      </c>
      <c r="B1995" s="5">
        <v>45970</v>
      </c>
      <c r="C1995" s="15">
        <f>WEEKNUM(Orders[[#This Row],[OrderDate]])</f>
        <v>46</v>
      </c>
      <c r="D1995" s="15" t="str">
        <f>TEXT(Orders[[#This Row],[OrderDate]],"mmmm")</f>
        <v>November</v>
      </c>
      <c r="E1995" s="4" t="s">
        <v>346</v>
      </c>
      <c r="F1995" s="4" t="s">
        <v>353</v>
      </c>
      <c r="G1995" s="4">
        <v>8</v>
      </c>
      <c r="H1995" s="12">
        <v>6244.7000000000007</v>
      </c>
      <c r="I1995" s="13">
        <v>5307.9950000000008</v>
      </c>
      <c r="J1995" s="13">
        <f>Orders[[#This Row],[Quantity]]*Orders[[#This Row],[Selling Price]]</f>
        <v>49957.600000000006</v>
      </c>
      <c r="K1995" s="13">
        <f>Orders[[#This Row],[Quantity]]*Orders[[#This Row],[Cost Price]]</f>
        <v>42463.960000000006</v>
      </c>
      <c r="L1995" s="13">
        <f>Orders[[#This Row],[Revenue]]-Orders[[#This Row],[Expenses]]</f>
        <v>7493.6399999999994</v>
      </c>
      <c r="M1995" t="s">
        <v>2216</v>
      </c>
      <c r="N1995" t="str">
        <f>_xlfn.XLOOKUP(Orders[[#This Row],[CustomerID]],Customers[CustomerID],Customers[CustomerName])</f>
        <v>Ngozi Danladi</v>
      </c>
      <c r="O1995" t="str">
        <f>_xlfn.XLOOKUP(Orders[[#This Row],[CustomerID]],Customers[CustomerID],Customers[City])</f>
        <v>California</v>
      </c>
      <c r="P1995" t="str">
        <f>_xlfn.XLOOKUP(Orders[[#This Row],[CustomerID]],Customers[CustomerID],Customers[Gender])</f>
        <v>Female</v>
      </c>
      <c r="Q1995">
        <f>_xlfn.XLOOKUP(Orders[[#This Row],[CustomerID]],Customers[CustomerID],Customers[CustomerAge])</f>
        <v>30</v>
      </c>
      <c r="R1995" t="str">
        <f>IF(Orders[[#This Row],[CustomerAge]]&gt;=35, "Older", "Young")</f>
        <v>Young</v>
      </c>
      <c r="S1995" t="str">
        <f>_xlfn.XLOOKUP(Orders[[#This Row],[ProductID]],Products[ProductID],Products[ProductName])</f>
        <v>Silver Earrings And Necklaces</v>
      </c>
      <c r="T1995" t="str">
        <f>_xlfn.XLOOKUP(Orders[[#This Row],[ProductID]],Products[ProductID],Products[Category])</f>
        <v>Accessories</v>
      </c>
    </row>
    <row r="1996" spans="1:20" x14ac:dyDescent="0.25">
      <c r="A1996" s="4" t="s">
        <v>2185</v>
      </c>
      <c r="B1996" s="5">
        <v>45955</v>
      </c>
      <c r="C1996" s="15">
        <f>WEEKNUM(Orders[[#This Row],[OrderDate]])</f>
        <v>43</v>
      </c>
      <c r="D1996" s="15" t="str">
        <f>TEXT(Orders[[#This Row],[OrderDate]],"mmmm")</f>
        <v>October</v>
      </c>
      <c r="E1996" s="4" t="s">
        <v>132</v>
      </c>
      <c r="F1996" s="4" t="s">
        <v>20</v>
      </c>
      <c r="G1996" s="4">
        <v>6</v>
      </c>
      <c r="H1996" s="12">
        <v>16814.8</v>
      </c>
      <c r="I1996" s="13">
        <v>14292.58</v>
      </c>
      <c r="J1996" s="13">
        <f>Orders[[#This Row],[Quantity]]*Orders[[#This Row],[Selling Price]]</f>
        <v>100888.79999999999</v>
      </c>
      <c r="K1996" s="13">
        <f>Orders[[#This Row],[Quantity]]*Orders[[#This Row],[Cost Price]]</f>
        <v>85755.48</v>
      </c>
      <c r="L1996" s="13">
        <f>Orders[[#This Row],[Revenue]]-Orders[[#This Row],[Expenses]]</f>
        <v>15133.319999999992</v>
      </c>
      <c r="M1996" t="s">
        <v>2209</v>
      </c>
      <c r="N1996" t="str">
        <f>_xlfn.XLOOKUP(Orders[[#This Row],[CustomerID]],Customers[CustomerID],Customers[CustomerName])</f>
        <v>Emeka Balogun</v>
      </c>
      <c r="O1996" t="str">
        <f>_xlfn.XLOOKUP(Orders[[#This Row],[CustomerID]],Customers[CustomerID],Customers[City])</f>
        <v>Illinois</v>
      </c>
      <c r="P1996" t="str">
        <f>_xlfn.XLOOKUP(Orders[[#This Row],[CustomerID]],Customers[CustomerID],Customers[Gender])</f>
        <v>Male</v>
      </c>
      <c r="Q1996">
        <f>_xlfn.XLOOKUP(Orders[[#This Row],[CustomerID]],Customers[CustomerID],Customers[CustomerAge])</f>
        <v>36</v>
      </c>
      <c r="R1996" t="str">
        <f>IF(Orders[[#This Row],[CustomerAge]]&gt;=35, "Older", "Young")</f>
        <v>Older</v>
      </c>
      <c r="S1996" t="str">
        <f>_xlfn.XLOOKUP(Orders[[#This Row],[ProductID]],Products[ProductID],Products[ProductName])</f>
        <v>Gym Bag</v>
      </c>
      <c r="T1996" t="str">
        <f>_xlfn.XLOOKUP(Orders[[#This Row],[ProductID]],Products[ProductID],Products[Category])</f>
        <v>Gym</v>
      </c>
    </row>
    <row r="1997" spans="1:20" x14ac:dyDescent="0.25">
      <c r="A1997" s="4" t="s">
        <v>2186</v>
      </c>
      <c r="B1997" s="5">
        <v>45999</v>
      </c>
      <c r="C1997" s="15">
        <f>WEEKNUM(Orders[[#This Row],[OrderDate]])</f>
        <v>50</v>
      </c>
      <c r="D1997" s="15" t="str">
        <f>TEXT(Orders[[#This Row],[OrderDate]],"mmmm")</f>
        <v>December</v>
      </c>
      <c r="E1997" s="4" t="s">
        <v>324</v>
      </c>
      <c r="F1997" s="4" t="s">
        <v>57</v>
      </c>
      <c r="G1997" s="4">
        <v>5</v>
      </c>
      <c r="H1997" s="12">
        <v>2204.6999999999998</v>
      </c>
      <c r="I1997" s="13">
        <v>1873.9949999999999</v>
      </c>
      <c r="J1997" s="13">
        <f>Orders[[#This Row],[Quantity]]*Orders[[#This Row],[Selling Price]]</f>
        <v>11023.5</v>
      </c>
      <c r="K1997" s="13">
        <f>Orders[[#This Row],[Quantity]]*Orders[[#This Row],[Cost Price]]</f>
        <v>9369.9749999999985</v>
      </c>
      <c r="L1997" s="13">
        <f>Orders[[#This Row],[Revenue]]-Orders[[#This Row],[Expenses]]</f>
        <v>1653.5250000000015</v>
      </c>
      <c r="M1997" t="s">
        <v>2196</v>
      </c>
      <c r="N1997" t="str">
        <f>_xlfn.XLOOKUP(Orders[[#This Row],[CustomerID]],Customers[CustomerID],Customers[CustomerName])</f>
        <v>Tunde Okonkwo</v>
      </c>
      <c r="O1997" t="str">
        <f>_xlfn.XLOOKUP(Orders[[#This Row],[CustomerID]],Customers[CustomerID],Customers[City])</f>
        <v>Texas</v>
      </c>
      <c r="P1997" t="str">
        <f>_xlfn.XLOOKUP(Orders[[#This Row],[CustomerID]],Customers[CustomerID],Customers[Gender])</f>
        <v>Male</v>
      </c>
      <c r="Q1997">
        <f>_xlfn.XLOOKUP(Orders[[#This Row],[CustomerID]],Customers[CustomerID],Customers[CustomerAge])</f>
        <v>25</v>
      </c>
      <c r="R1997" t="str">
        <f>IF(Orders[[#This Row],[CustomerAge]]&gt;=35, "Older", "Young")</f>
        <v>Young</v>
      </c>
      <c r="S1997" t="str">
        <f>_xlfn.XLOOKUP(Orders[[#This Row],[ProductID]],Products[ProductID],Products[ProductName])</f>
        <v>Badminton Racket</v>
      </c>
      <c r="T1997" t="str">
        <f>_xlfn.XLOOKUP(Orders[[#This Row],[ProductID]],Products[ProductID],Products[Category])</f>
        <v>Sports</v>
      </c>
    </row>
    <row r="1998" spans="1:20" x14ac:dyDescent="0.25">
      <c r="A1998" s="4" t="s">
        <v>2187</v>
      </c>
      <c r="B1998" s="5">
        <v>46013</v>
      </c>
      <c r="C1998" s="15">
        <f>WEEKNUM(Orders[[#This Row],[OrderDate]])</f>
        <v>52</v>
      </c>
      <c r="D1998" s="15" t="str">
        <f>TEXT(Orders[[#This Row],[OrderDate]],"mmmm")</f>
        <v>December</v>
      </c>
      <c r="E1998" s="4" t="s">
        <v>287</v>
      </c>
      <c r="F1998" s="4" t="s">
        <v>25</v>
      </c>
      <c r="G1998" s="4">
        <v>7</v>
      </c>
      <c r="H1998" s="12">
        <v>12284.2</v>
      </c>
      <c r="I1998" s="13">
        <v>10441.57</v>
      </c>
      <c r="J1998" s="13">
        <f>Orders[[#This Row],[Quantity]]*Orders[[#This Row],[Selling Price]]</f>
        <v>85989.400000000009</v>
      </c>
      <c r="K1998" s="13">
        <f>Orders[[#This Row],[Quantity]]*Orders[[#This Row],[Cost Price]]</f>
        <v>73090.989999999991</v>
      </c>
      <c r="L1998" s="13">
        <f>Orders[[#This Row],[Revenue]]-Orders[[#This Row],[Expenses]]</f>
        <v>12898.410000000018</v>
      </c>
      <c r="M1998" t="s">
        <v>2208</v>
      </c>
      <c r="N1998" t="str">
        <f>_xlfn.XLOOKUP(Orders[[#This Row],[CustomerID]],Customers[CustomerID],Customers[CustomerName])</f>
        <v>Okon Obi</v>
      </c>
      <c r="O1998" t="str">
        <f>_xlfn.XLOOKUP(Orders[[#This Row],[CustomerID]],Customers[CustomerID],Customers[City])</f>
        <v>Texas</v>
      </c>
      <c r="P1998" t="str">
        <f>_xlfn.XLOOKUP(Orders[[#This Row],[CustomerID]],Customers[CustomerID],Customers[Gender])</f>
        <v>Male</v>
      </c>
      <c r="Q1998">
        <f>_xlfn.XLOOKUP(Orders[[#This Row],[CustomerID]],Customers[CustomerID],Customers[CustomerAge])</f>
        <v>55</v>
      </c>
      <c r="R1998" t="str">
        <f>IF(Orders[[#This Row],[CustomerAge]]&gt;=35, "Older", "Young")</f>
        <v>Older</v>
      </c>
      <c r="S1998" t="str">
        <f>_xlfn.XLOOKUP(Orders[[#This Row],[ProductID]],Products[ProductID],Products[ProductName])</f>
        <v>Gold Rings</v>
      </c>
      <c r="T1998" t="str">
        <f>_xlfn.XLOOKUP(Orders[[#This Row],[ProductID]],Products[ProductID],Products[Category])</f>
        <v>Accessories</v>
      </c>
    </row>
    <row r="1999" spans="1:20" x14ac:dyDescent="0.25">
      <c r="A1999" s="4" t="s">
        <v>2188</v>
      </c>
      <c r="B1999" s="5">
        <v>45964</v>
      </c>
      <c r="C1999" s="15">
        <f>WEEKNUM(Orders[[#This Row],[OrderDate]])</f>
        <v>45</v>
      </c>
      <c r="D1999" s="15" t="str">
        <f>TEXT(Orders[[#This Row],[OrderDate]],"mmmm")</f>
        <v>November</v>
      </c>
      <c r="E1999" s="4" t="s">
        <v>43</v>
      </c>
      <c r="F1999" s="4" t="s">
        <v>25</v>
      </c>
      <c r="G1999" s="4">
        <v>10</v>
      </c>
      <c r="H1999" s="12">
        <v>16332.2</v>
      </c>
      <c r="I1999" s="13">
        <v>13882.37</v>
      </c>
      <c r="J1999" s="13">
        <f>Orders[[#This Row],[Quantity]]*Orders[[#This Row],[Selling Price]]</f>
        <v>163322</v>
      </c>
      <c r="K1999" s="13">
        <f>Orders[[#This Row],[Quantity]]*Orders[[#This Row],[Cost Price]]</f>
        <v>138823.70000000001</v>
      </c>
      <c r="L1999" s="13">
        <f>Orders[[#This Row],[Revenue]]-Orders[[#This Row],[Expenses]]</f>
        <v>24498.299999999988</v>
      </c>
      <c r="M1999" t="s">
        <v>2217</v>
      </c>
      <c r="N1999" t="str">
        <f>_xlfn.XLOOKUP(Orders[[#This Row],[CustomerID]],Customers[CustomerID],Customers[CustomerName])</f>
        <v>Mustafa Danladi</v>
      </c>
      <c r="O1999" t="str">
        <f>_xlfn.XLOOKUP(Orders[[#This Row],[CustomerID]],Customers[CustomerID],Customers[City])</f>
        <v>Georgia</v>
      </c>
      <c r="P1999" t="str">
        <f>_xlfn.XLOOKUP(Orders[[#This Row],[CustomerID]],Customers[CustomerID],Customers[Gender])</f>
        <v>Male</v>
      </c>
      <c r="Q1999">
        <f>_xlfn.XLOOKUP(Orders[[#This Row],[CustomerID]],Customers[CustomerID],Customers[CustomerAge])</f>
        <v>49</v>
      </c>
      <c r="R1999" t="str">
        <f>IF(Orders[[#This Row],[CustomerAge]]&gt;=35, "Older", "Young")</f>
        <v>Older</v>
      </c>
      <c r="S1999" t="str">
        <f>_xlfn.XLOOKUP(Orders[[#This Row],[ProductID]],Products[ProductID],Products[ProductName])</f>
        <v>Gold Rings</v>
      </c>
      <c r="T1999" t="str">
        <f>_xlfn.XLOOKUP(Orders[[#This Row],[ProductID]],Products[ProductID],Products[Category])</f>
        <v>Accessories</v>
      </c>
    </row>
    <row r="2000" spans="1:20" x14ac:dyDescent="0.25">
      <c r="A2000" s="4" t="s">
        <v>2189</v>
      </c>
      <c r="B2000" s="5">
        <v>45998</v>
      </c>
      <c r="C2000" s="15">
        <f>WEEKNUM(Orders[[#This Row],[OrderDate]])</f>
        <v>50</v>
      </c>
      <c r="D2000" s="15" t="str">
        <f>TEXT(Orders[[#This Row],[OrderDate]],"mmmm")</f>
        <v>December</v>
      </c>
      <c r="E2000" s="4" t="s">
        <v>140</v>
      </c>
      <c r="F2000" s="4" t="s">
        <v>31</v>
      </c>
      <c r="G2000" s="4">
        <v>2</v>
      </c>
      <c r="H2000" s="12">
        <v>8203.5</v>
      </c>
      <c r="I2000" s="13">
        <v>6972.9750000000004</v>
      </c>
      <c r="J2000" s="13">
        <f>Orders[[#This Row],[Quantity]]*Orders[[#This Row],[Selling Price]]</f>
        <v>16407</v>
      </c>
      <c r="K2000" s="13">
        <f>Orders[[#This Row],[Quantity]]*Orders[[#This Row],[Cost Price]]</f>
        <v>13945.95</v>
      </c>
      <c r="L2000" s="13">
        <f>Orders[[#This Row],[Revenue]]-Orders[[#This Row],[Expenses]]</f>
        <v>2461.0499999999993</v>
      </c>
      <c r="M2000" t="s">
        <v>2211</v>
      </c>
      <c r="N2000" t="str">
        <f>_xlfn.XLOOKUP(Orders[[#This Row],[CustomerID]],Customers[CustomerID],Customers[CustomerName])</f>
        <v>Tunde Igwe</v>
      </c>
      <c r="O2000" t="str">
        <f>_xlfn.XLOOKUP(Orders[[#This Row],[CustomerID]],Customers[CustomerID],Customers[City])</f>
        <v>Washington</v>
      </c>
      <c r="P2000" t="str">
        <f>_xlfn.XLOOKUP(Orders[[#This Row],[CustomerID]],Customers[CustomerID],Customers[Gender])</f>
        <v>Male</v>
      </c>
      <c r="Q2000">
        <f>_xlfn.XLOOKUP(Orders[[#This Row],[CustomerID]],Customers[CustomerID],Customers[CustomerAge])</f>
        <v>20</v>
      </c>
      <c r="R2000" t="str">
        <f>IF(Orders[[#This Row],[CustomerAge]]&gt;=35, "Older", "Young")</f>
        <v>Young</v>
      </c>
      <c r="S2000" t="str">
        <f>_xlfn.XLOOKUP(Orders[[#This Row],[ProductID]],Products[ProductID],Products[ProductName])</f>
        <v>Kids Games</v>
      </c>
      <c r="T2000" t="str">
        <f>_xlfn.XLOOKUP(Orders[[#This Row],[ProductID]],Products[ProductID],Products[Category])</f>
        <v>Games</v>
      </c>
    </row>
    <row r="2001" spans="1:20" x14ac:dyDescent="0.25">
      <c r="A2001" s="4" t="s">
        <v>2190</v>
      </c>
      <c r="B2001" s="5">
        <v>45943</v>
      </c>
      <c r="C2001" s="15">
        <f>WEEKNUM(Orders[[#This Row],[OrderDate]])</f>
        <v>42</v>
      </c>
      <c r="D2001" s="15" t="str">
        <f>TEXT(Orders[[#This Row],[OrderDate]],"mmmm")</f>
        <v>October</v>
      </c>
      <c r="E2001" s="4" t="s">
        <v>68</v>
      </c>
      <c r="F2001" s="4" t="s">
        <v>23</v>
      </c>
      <c r="G2001" s="4">
        <v>3</v>
      </c>
      <c r="H2001" s="12">
        <v>10317.5</v>
      </c>
      <c r="I2001" s="13">
        <v>8769.875</v>
      </c>
      <c r="J2001" s="13">
        <f>Orders[[#This Row],[Quantity]]*Orders[[#This Row],[Selling Price]]</f>
        <v>30952.5</v>
      </c>
      <c r="K2001" s="13">
        <f>Orders[[#This Row],[Quantity]]*Orders[[#This Row],[Cost Price]]</f>
        <v>26309.625</v>
      </c>
      <c r="L2001" s="13">
        <f>Orders[[#This Row],[Revenue]]-Orders[[#This Row],[Expenses]]</f>
        <v>4642.875</v>
      </c>
      <c r="M2001" t="s">
        <v>2212</v>
      </c>
      <c r="N2001" t="str">
        <f>_xlfn.XLOOKUP(Orders[[#This Row],[CustomerID]],Customers[CustomerID],Customers[CustomerName])</f>
        <v>Abiola Balogun</v>
      </c>
      <c r="O2001" t="str">
        <f>_xlfn.XLOOKUP(Orders[[#This Row],[CustomerID]],Customers[CustomerID],Customers[City])</f>
        <v>Texas</v>
      </c>
      <c r="P2001" t="str">
        <f>_xlfn.XLOOKUP(Orders[[#This Row],[CustomerID]],Customers[CustomerID],Customers[Gender])</f>
        <v>Male</v>
      </c>
      <c r="Q2001">
        <f>_xlfn.XLOOKUP(Orders[[#This Row],[CustomerID]],Customers[CustomerID],Customers[CustomerAge])</f>
        <v>29</v>
      </c>
      <c r="R2001" t="str">
        <f>IF(Orders[[#This Row],[CustomerAge]]&gt;=35, "Older", "Young")</f>
        <v>Young</v>
      </c>
      <c r="S2001" t="str">
        <f>_xlfn.XLOOKUP(Orders[[#This Row],[ProductID]],Products[ProductID],Products[ProductName])</f>
        <v>Gym Gloves</v>
      </c>
      <c r="T2001" t="str">
        <f>_xlfn.XLOOKUP(Orders[[#This Row],[ProductID]],Products[ProductID],Products[Category])</f>
        <v>Gym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8EE48-BDD0-493D-8556-C01CAC353DAF}">
  <dimension ref="A1:L1003"/>
  <sheetViews>
    <sheetView workbookViewId="0">
      <selection activeCell="B2" sqref="B2"/>
    </sheetView>
  </sheetViews>
  <sheetFormatPr defaultColWidth="14.42578125" defaultRowHeight="15" customHeight="1" x14ac:dyDescent="0.25"/>
  <cols>
    <col min="1" max="1" width="15.42578125" bestFit="1" customWidth="1"/>
    <col min="2" max="2" width="18.42578125" bestFit="1" customWidth="1"/>
    <col min="3" max="3" width="10.5703125" bestFit="1" customWidth="1"/>
    <col min="4" max="4" width="11.42578125" bestFit="1" customWidth="1"/>
    <col min="5" max="5" width="16.5703125" bestFit="1" customWidth="1"/>
    <col min="6" max="10" width="8.7109375" customWidth="1"/>
    <col min="11" max="11" width="15.42578125" customWidth="1"/>
    <col min="12" max="12" width="20.28515625" customWidth="1"/>
    <col min="13" max="25" width="8.7109375" customWidth="1"/>
  </cols>
  <sheetData>
    <row r="1" spans="1:11" ht="14.25" customHeight="1" x14ac:dyDescent="0.25">
      <c r="A1" s="10" t="s">
        <v>2</v>
      </c>
      <c r="B1" s="10" t="s">
        <v>2221</v>
      </c>
      <c r="C1" s="10" t="s">
        <v>2222</v>
      </c>
      <c r="D1" s="10" t="s">
        <v>2223</v>
      </c>
      <c r="E1" s="10" t="s">
        <v>2224</v>
      </c>
    </row>
    <row r="2" spans="1:11" ht="14.25" customHeight="1" x14ac:dyDescent="0.25">
      <c r="A2" s="4" t="s">
        <v>285</v>
      </c>
      <c r="B2" s="4" t="s">
        <v>2337</v>
      </c>
      <c r="C2" s="4" t="s">
        <v>2225</v>
      </c>
      <c r="D2" s="4" t="s">
        <v>2226</v>
      </c>
      <c r="E2" s="7">
        <v>27</v>
      </c>
    </row>
    <row r="3" spans="1:11" ht="14.25" customHeight="1" x14ac:dyDescent="0.25">
      <c r="A3" s="4" t="s">
        <v>757</v>
      </c>
      <c r="B3" s="4" t="s">
        <v>2227</v>
      </c>
      <c r="C3" s="4" t="s">
        <v>2228</v>
      </c>
      <c r="D3" s="4" t="s">
        <v>2226</v>
      </c>
      <c r="E3" s="7">
        <v>20</v>
      </c>
    </row>
    <row r="4" spans="1:11" ht="14.25" customHeight="1" x14ac:dyDescent="0.25">
      <c r="A4" s="4" t="s">
        <v>517</v>
      </c>
      <c r="B4" s="4" t="s">
        <v>2229</v>
      </c>
      <c r="C4" s="4" t="s">
        <v>2236</v>
      </c>
      <c r="D4" s="4" t="s">
        <v>2230</v>
      </c>
      <c r="E4" s="7">
        <v>25</v>
      </c>
    </row>
    <row r="5" spans="1:11" ht="14.25" customHeight="1" x14ac:dyDescent="0.25">
      <c r="A5" s="9" t="s">
        <v>552</v>
      </c>
      <c r="B5" s="4" t="s">
        <v>2231</v>
      </c>
      <c r="C5" s="4" t="s">
        <v>2346</v>
      </c>
      <c r="D5" s="4" t="s">
        <v>2230</v>
      </c>
      <c r="E5" s="7">
        <v>40</v>
      </c>
    </row>
    <row r="6" spans="1:11" ht="14.25" customHeight="1" x14ac:dyDescent="0.25">
      <c r="A6" s="4" t="s">
        <v>140</v>
      </c>
      <c r="B6" s="4" t="s">
        <v>2338</v>
      </c>
      <c r="C6" s="4" t="s">
        <v>2232</v>
      </c>
      <c r="D6" s="4" t="s">
        <v>2226</v>
      </c>
      <c r="E6" s="7">
        <v>20</v>
      </c>
    </row>
    <row r="7" spans="1:11" ht="14.25" customHeight="1" x14ac:dyDescent="0.25">
      <c r="A7" s="4" t="s">
        <v>205</v>
      </c>
      <c r="B7" s="4" t="s">
        <v>2233</v>
      </c>
      <c r="C7" s="4" t="s">
        <v>2232</v>
      </c>
      <c r="D7" s="4" t="s">
        <v>2226</v>
      </c>
      <c r="E7" s="7">
        <v>19</v>
      </c>
    </row>
    <row r="8" spans="1:11" ht="14.25" customHeight="1" x14ac:dyDescent="0.25">
      <c r="A8" s="4" t="s">
        <v>107</v>
      </c>
      <c r="B8" s="4" t="s">
        <v>2234</v>
      </c>
      <c r="C8" s="4" t="s">
        <v>2228</v>
      </c>
      <c r="D8" s="4" t="s">
        <v>2230</v>
      </c>
      <c r="E8" s="7">
        <v>44</v>
      </c>
    </row>
    <row r="9" spans="1:11" ht="14.25" customHeight="1" x14ac:dyDescent="0.25">
      <c r="A9" s="4" t="s">
        <v>260</v>
      </c>
      <c r="B9" s="4" t="s">
        <v>2235</v>
      </c>
      <c r="C9" s="4" t="s">
        <v>2236</v>
      </c>
      <c r="D9" s="4" t="s">
        <v>2230</v>
      </c>
      <c r="E9" s="7">
        <v>29</v>
      </c>
      <c r="K9" s="8"/>
    </row>
    <row r="10" spans="1:11" ht="14.25" customHeight="1" x14ac:dyDescent="0.25">
      <c r="A10" s="4" t="s">
        <v>221</v>
      </c>
      <c r="B10" s="4" t="s">
        <v>2237</v>
      </c>
      <c r="C10" s="4" t="s">
        <v>2228</v>
      </c>
      <c r="D10" s="4" t="s">
        <v>2226</v>
      </c>
      <c r="E10" s="7">
        <v>18</v>
      </c>
      <c r="K10" s="8"/>
    </row>
    <row r="11" spans="1:11" ht="14.25" customHeight="1" x14ac:dyDescent="0.25">
      <c r="A11" s="4" t="s">
        <v>410</v>
      </c>
      <c r="B11" s="4" t="s">
        <v>2238</v>
      </c>
      <c r="C11" s="4" t="s">
        <v>2228</v>
      </c>
      <c r="D11" s="4" t="s">
        <v>2226</v>
      </c>
      <c r="E11" s="7">
        <v>21</v>
      </c>
      <c r="K11" s="8"/>
    </row>
    <row r="12" spans="1:11" ht="14.25" customHeight="1" x14ac:dyDescent="0.25">
      <c r="A12" s="4" t="s">
        <v>340</v>
      </c>
      <c r="B12" s="4" t="s">
        <v>2243</v>
      </c>
      <c r="C12" s="4" t="s">
        <v>2239</v>
      </c>
      <c r="D12" s="4" t="s">
        <v>2226</v>
      </c>
      <c r="E12" s="7">
        <v>18</v>
      </c>
      <c r="K12" s="8"/>
    </row>
    <row r="13" spans="1:11" ht="14.25" customHeight="1" x14ac:dyDescent="0.25">
      <c r="A13" s="4" t="s">
        <v>302</v>
      </c>
      <c r="B13" s="4" t="s">
        <v>2240</v>
      </c>
      <c r="C13" s="4" t="s">
        <v>2232</v>
      </c>
      <c r="D13" s="4" t="s">
        <v>2226</v>
      </c>
      <c r="E13" s="7">
        <v>23</v>
      </c>
      <c r="K13" s="8"/>
    </row>
    <row r="14" spans="1:11" ht="14.25" customHeight="1" x14ac:dyDescent="0.25">
      <c r="A14" s="4" t="s">
        <v>416</v>
      </c>
      <c r="B14" s="4" t="s">
        <v>2241</v>
      </c>
      <c r="C14" s="4" t="s">
        <v>2228</v>
      </c>
      <c r="D14" s="4" t="s">
        <v>2226</v>
      </c>
      <c r="E14" s="7">
        <v>26</v>
      </c>
      <c r="K14" s="8"/>
    </row>
    <row r="15" spans="1:11" ht="14.25" customHeight="1" x14ac:dyDescent="0.25">
      <c r="A15" s="4" t="s">
        <v>383</v>
      </c>
      <c r="B15" s="4" t="s">
        <v>2242</v>
      </c>
      <c r="C15" s="4" t="s">
        <v>2236</v>
      </c>
      <c r="D15" s="4" t="s">
        <v>2226</v>
      </c>
      <c r="E15" s="7">
        <v>27</v>
      </c>
      <c r="K15" s="8"/>
    </row>
    <row r="16" spans="1:11" ht="14.25" customHeight="1" x14ac:dyDescent="0.25">
      <c r="A16" s="4" t="s">
        <v>352</v>
      </c>
      <c r="B16" s="4" t="s">
        <v>2339</v>
      </c>
      <c r="C16" s="4" t="s">
        <v>2228</v>
      </c>
      <c r="D16" s="4" t="s">
        <v>2230</v>
      </c>
      <c r="E16" s="7">
        <v>40</v>
      </c>
      <c r="K16" s="8"/>
    </row>
    <row r="17" spans="1:12" ht="14.25" customHeight="1" x14ac:dyDescent="0.25">
      <c r="A17" s="4" t="s">
        <v>94</v>
      </c>
      <c r="B17" s="4" t="s">
        <v>2243</v>
      </c>
      <c r="C17" s="4" t="s">
        <v>2228</v>
      </c>
      <c r="D17" s="4" t="s">
        <v>2226</v>
      </c>
      <c r="E17" s="7">
        <v>26</v>
      </c>
    </row>
    <row r="18" spans="1:12" ht="14.25" customHeight="1" x14ac:dyDescent="0.25">
      <c r="A18" s="4" t="s">
        <v>210</v>
      </c>
      <c r="B18" s="4" t="s">
        <v>2244</v>
      </c>
      <c r="C18" s="4" t="s">
        <v>2239</v>
      </c>
      <c r="D18" s="4" t="s">
        <v>2230</v>
      </c>
      <c r="E18" s="7">
        <v>27</v>
      </c>
    </row>
    <row r="19" spans="1:12" ht="14.25" customHeight="1" x14ac:dyDescent="0.25">
      <c r="A19" s="4" t="s">
        <v>649</v>
      </c>
      <c r="B19" s="4" t="s">
        <v>2340</v>
      </c>
      <c r="C19" s="4" t="s">
        <v>2232</v>
      </c>
      <c r="D19" s="4" t="s">
        <v>2230</v>
      </c>
      <c r="E19" s="7">
        <v>35</v>
      </c>
    </row>
    <row r="20" spans="1:12" ht="14.25" customHeight="1" x14ac:dyDescent="0.25">
      <c r="A20" s="4" t="s">
        <v>36</v>
      </c>
      <c r="B20" s="4" t="s">
        <v>2245</v>
      </c>
      <c r="C20" s="4" t="s">
        <v>2225</v>
      </c>
      <c r="D20" s="4" t="s">
        <v>2226</v>
      </c>
      <c r="E20" s="7">
        <v>21</v>
      </c>
    </row>
    <row r="21" spans="1:12" ht="14.25" customHeight="1" x14ac:dyDescent="0.25">
      <c r="A21" s="4" t="s">
        <v>80</v>
      </c>
      <c r="B21" s="4" t="s">
        <v>2246</v>
      </c>
      <c r="C21" s="4" t="s">
        <v>2228</v>
      </c>
      <c r="D21" s="4" t="s">
        <v>2226</v>
      </c>
      <c r="E21" s="7">
        <v>35</v>
      </c>
    </row>
    <row r="22" spans="1:12" ht="14.25" customHeight="1" x14ac:dyDescent="0.25">
      <c r="A22" s="4" t="s">
        <v>246</v>
      </c>
      <c r="B22" s="4" t="s">
        <v>2247</v>
      </c>
      <c r="C22" s="4" t="s">
        <v>2236</v>
      </c>
      <c r="D22" s="4" t="s">
        <v>2226</v>
      </c>
      <c r="E22" s="7">
        <v>28</v>
      </c>
    </row>
    <row r="23" spans="1:12" ht="14.25" customHeight="1" x14ac:dyDescent="0.25">
      <c r="A23" s="4" t="s">
        <v>161</v>
      </c>
      <c r="B23" s="4" t="s">
        <v>2248</v>
      </c>
      <c r="C23" s="4" t="s">
        <v>2346</v>
      </c>
      <c r="D23" s="4" t="s">
        <v>2226</v>
      </c>
      <c r="E23" s="7">
        <v>31</v>
      </c>
      <c r="L23" s="8"/>
    </row>
    <row r="24" spans="1:12" ht="14.25" customHeight="1" x14ac:dyDescent="0.25">
      <c r="A24" s="4" t="s">
        <v>227</v>
      </c>
      <c r="B24" s="4" t="s">
        <v>2341</v>
      </c>
      <c r="C24" s="4" t="s">
        <v>2232</v>
      </c>
      <c r="D24" s="4" t="s">
        <v>2226</v>
      </c>
      <c r="E24" s="7">
        <v>35</v>
      </c>
      <c r="L24" s="8"/>
    </row>
    <row r="25" spans="1:12" ht="14.25" customHeight="1" x14ac:dyDescent="0.25">
      <c r="A25" s="4" t="s">
        <v>295</v>
      </c>
      <c r="B25" s="4" t="s">
        <v>2249</v>
      </c>
      <c r="C25" s="4" t="s">
        <v>2228</v>
      </c>
      <c r="D25" s="4" t="s">
        <v>2226</v>
      </c>
      <c r="E25" s="7">
        <v>31</v>
      </c>
      <c r="L25" s="8"/>
    </row>
    <row r="26" spans="1:12" ht="14.25" customHeight="1" x14ac:dyDescent="0.25">
      <c r="A26" s="4" t="s">
        <v>178</v>
      </c>
      <c r="B26" s="4" t="s">
        <v>2250</v>
      </c>
      <c r="C26" s="4" t="s">
        <v>2236</v>
      </c>
      <c r="D26" s="4" t="s">
        <v>2226</v>
      </c>
      <c r="E26" s="7">
        <v>19</v>
      </c>
      <c r="L26" s="8"/>
    </row>
    <row r="27" spans="1:12" ht="14.25" customHeight="1" x14ac:dyDescent="0.25">
      <c r="A27" s="4" t="s">
        <v>671</v>
      </c>
      <c r="B27" s="4" t="s">
        <v>2251</v>
      </c>
      <c r="C27" s="4" t="s">
        <v>2228</v>
      </c>
      <c r="D27" s="4" t="s">
        <v>2226</v>
      </c>
      <c r="E27" s="7">
        <v>26</v>
      </c>
      <c r="L27" s="8"/>
    </row>
    <row r="28" spans="1:12" ht="14.25" customHeight="1" x14ac:dyDescent="0.25">
      <c r="A28" s="4" t="s">
        <v>198</v>
      </c>
      <c r="B28" s="4" t="s">
        <v>2252</v>
      </c>
      <c r="C28" s="4" t="s">
        <v>2228</v>
      </c>
      <c r="D28" s="4" t="s">
        <v>2230</v>
      </c>
      <c r="E28" s="7">
        <v>19</v>
      </c>
      <c r="L28" s="8"/>
    </row>
    <row r="29" spans="1:12" ht="14.25" customHeight="1" x14ac:dyDescent="0.25">
      <c r="A29" s="4" t="s">
        <v>481</v>
      </c>
      <c r="B29" s="4" t="s">
        <v>2253</v>
      </c>
      <c r="C29" s="4" t="s">
        <v>2239</v>
      </c>
      <c r="D29" s="4" t="s">
        <v>2226</v>
      </c>
      <c r="E29" s="7">
        <v>33</v>
      </c>
      <c r="L29" s="8"/>
    </row>
    <row r="30" spans="1:12" ht="14.25" customHeight="1" x14ac:dyDescent="0.25">
      <c r="A30" s="4" t="s">
        <v>333</v>
      </c>
      <c r="B30" s="4" t="s">
        <v>2254</v>
      </c>
      <c r="C30" s="4" t="s">
        <v>2232</v>
      </c>
      <c r="D30" s="4" t="s">
        <v>2226</v>
      </c>
      <c r="E30" s="7">
        <v>44</v>
      </c>
      <c r="L30" s="8"/>
    </row>
    <row r="31" spans="1:12" ht="14.25" customHeight="1" x14ac:dyDescent="0.25">
      <c r="A31" s="4" t="s">
        <v>19</v>
      </c>
      <c r="B31" s="4" t="s">
        <v>2255</v>
      </c>
      <c r="C31" s="4" t="s">
        <v>2225</v>
      </c>
      <c r="D31" s="4" t="s">
        <v>2226</v>
      </c>
      <c r="E31" s="7">
        <v>24</v>
      </c>
    </row>
    <row r="32" spans="1:12" ht="14.25" customHeight="1" x14ac:dyDescent="0.25">
      <c r="A32" s="4" t="s">
        <v>317</v>
      </c>
      <c r="B32" s="4" t="s">
        <v>2256</v>
      </c>
      <c r="C32" s="4" t="s">
        <v>2228</v>
      </c>
      <c r="D32" s="4" t="s">
        <v>2230</v>
      </c>
      <c r="E32" s="7">
        <v>28</v>
      </c>
    </row>
    <row r="33" spans="1:5" ht="14.25" customHeight="1" x14ac:dyDescent="0.25">
      <c r="A33" s="4" t="s">
        <v>83</v>
      </c>
      <c r="B33" s="4" t="s">
        <v>2257</v>
      </c>
      <c r="C33" s="4" t="s">
        <v>2236</v>
      </c>
      <c r="D33" s="4" t="s">
        <v>2230</v>
      </c>
      <c r="E33" s="7">
        <v>26</v>
      </c>
    </row>
    <row r="34" spans="1:5" ht="14.25" customHeight="1" x14ac:dyDescent="0.25">
      <c r="A34" s="4" t="s">
        <v>564</v>
      </c>
      <c r="B34" s="4" t="s">
        <v>2234</v>
      </c>
      <c r="C34" s="4" t="s">
        <v>2346</v>
      </c>
      <c r="D34" s="4" t="s">
        <v>2230</v>
      </c>
      <c r="E34" s="7">
        <v>19</v>
      </c>
    </row>
    <row r="35" spans="1:5" ht="14.25" customHeight="1" x14ac:dyDescent="0.25">
      <c r="A35" s="4" t="s">
        <v>184</v>
      </c>
      <c r="B35" s="4" t="s">
        <v>2258</v>
      </c>
      <c r="C35" s="4" t="s">
        <v>2232</v>
      </c>
      <c r="D35" s="4" t="s">
        <v>2230</v>
      </c>
      <c r="E35" s="7">
        <v>32</v>
      </c>
    </row>
    <row r="36" spans="1:5" ht="14.25" customHeight="1" x14ac:dyDescent="0.25">
      <c r="A36" s="4" t="s">
        <v>280</v>
      </c>
      <c r="B36" s="4" t="s">
        <v>2259</v>
      </c>
      <c r="C36" s="4" t="s">
        <v>2228</v>
      </c>
      <c r="D36" s="4" t="s">
        <v>2230</v>
      </c>
      <c r="E36" s="7">
        <v>21</v>
      </c>
    </row>
    <row r="37" spans="1:5" ht="14.25" customHeight="1" x14ac:dyDescent="0.25">
      <c r="A37" s="4" t="s">
        <v>156</v>
      </c>
      <c r="B37" s="4" t="s">
        <v>2260</v>
      </c>
      <c r="C37" s="4" t="s">
        <v>2236</v>
      </c>
      <c r="D37" s="4" t="s">
        <v>2226</v>
      </c>
      <c r="E37" s="7">
        <v>52</v>
      </c>
    </row>
    <row r="38" spans="1:5" ht="14.25" customHeight="1" x14ac:dyDescent="0.25">
      <c r="A38" s="4" t="s">
        <v>282</v>
      </c>
      <c r="B38" s="4" t="s">
        <v>2261</v>
      </c>
      <c r="C38" s="4" t="s">
        <v>2228</v>
      </c>
      <c r="D38" s="4" t="s">
        <v>2230</v>
      </c>
      <c r="E38" s="7">
        <v>26</v>
      </c>
    </row>
    <row r="39" spans="1:5" ht="14.25" customHeight="1" x14ac:dyDescent="0.25">
      <c r="A39" s="4" t="s">
        <v>546</v>
      </c>
      <c r="B39" s="4" t="s">
        <v>2262</v>
      </c>
      <c r="C39" s="4" t="s">
        <v>2228</v>
      </c>
      <c r="D39" s="4" t="s">
        <v>2230</v>
      </c>
      <c r="E39" s="7">
        <v>32</v>
      </c>
    </row>
    <row r="40" spans="1:5" ht="14.25" customHeight="1" x14ac:dyDescent="0.25">
      <c r="A40" s="4" t="s">
        <v>307</v>
      </c>
      <c r="B40" s="4" t="s">
        <v>2263</v>
      </c>
      <c r="C40" s="4" t="s">
        <v>2239</v>
      </c>
      <c r="D40" s="4" t="s">
        <v>2230</v>
      </c>
      <c r="E40" s="7">
        <v>51</v>
      </c>
    </row>
    <row r="41" spans="1:5" ht="14.25" customHeight="1" x14ac:dyDescent="0.25">
      <c r="A41" s="4" t="s">
        <v>388</v>
      </c>
      <c r="B41" s="4" t="s">
        <v>2259</v>
      </c>
      <c r="C41" s="4" t="s">
        <v>2232</v>
      </c>
      <c r="D41" s="4" t="s">
        <v>2230</v>
      </c>
      <c r="E41" s="7">
        <v>52</v>
      </c>
    </row>
    <row r="42" spans="1:5" ht="14.25" customHeight="1" x14ac:dyDescent="0.25">
      <c r="A42" s="4" t="s">
        <v>73</v>
      </c>
      <c r="B42" s="4" t="s">
        <v>2264</v>
      </c>
      <c r="C42" s="4" t="s">
        <v>2225</v>
      </c>
      <c r="D42" s="4" t="s">
        <v>2230</v>
      </c>
      <c r="E42" s="7">
        <v>20</v>
      </c>
    </row>
    <row r="43" spans="1:5" ht="14.25" customHeight="1" x14ac:dyDescent="0.25">
      <c r="A43" s="4" t="s">
        <v>244</v>
      </c>
      <c r="B43" s="4" t="s">
        <v>2265</v>
      </c>
      <c r="C43" s="4" t="s">
        <v>2228</v>
      </c>
      <c r="D43" s="4" t="s">
        <v>2230</v>
      </c>
      <c r="E43" s="7">
        <v>33</v>
      </c>
    </row>
    <row r="44" spans="1:5" ht="14.25" customHeight="1" x14ac:dyDescent="0.25">
      <c r="A44" s="4" t="s">
        <v>30</v>
      </c>
      <c r="B44" s="4" t="s">
        <v>2266</v>
      </c>
      <c r="C44" s="4" t="s">
        <v>2236</v>
      </c>
      <c r="D44" s="4" t="s">
        <v>2230</v>
      </c>
      <c r="E44" s="7">
        <v>42</v>
      </c>
    </row>
    <row r="45" spans="1:5" ht="14.25" customHeight="1" x14ac:dyDescent="0.25">
      <c r="A45" s="4" t="s">
        <v>103</v>
      </c>
      <c r="B45" s="4" t="s">
        <v>2267</v>
      </c>
      <c r="C45" s="4" t="s">
        <v>2346</v>
      </c>
      <c r="D45" s="4" t="s">
        <v>2230</v>
      </c>
      <c r="E45" s="7">
        <v>31</v>
      </c>
    </row>
    <row r="46" spans="1:5" ht="14.25" customHeight="1" x14ac:dyDescent="0.25">
      <c r="A46" s="4" t="s">
        <v>124</v>
      </c>
      <c r="B46" s="4" t="s">
        <v>2268</v>
      </c>
      <c r="C46" s="4" t="s">
        <v>2228</v>
      </c>
      <c r="D46" s="4" t="s">
        <v>2230</v>
      </c>
      <c r="E46" s="7">
        <v>22</v>
      </c>
    </row>
    <row r="47" spans="1:5" ht="14.25" customHeight="1" x14ac:dyDescent="0.25">
      <c r="A47" s="4" t="s">
        <v>142</v>
      </c>
      <c r="B47" s="4" t="s">
        <v>2255</v>
      </c>
      <c r="C47" s="4" t="s">
        <v>2236</v>
      </c>
      <c r="D47" s="4" t="s">
        <v>2226</v>
      </c>
      <c r="E47" s="7">
        <v>31</v>
      </c>
    </row>
    <row r="48" spans="1:5" ht="14.25" customHeight="1" x14ac:dyDescent="0.25">
      <c r="A48" s="4" t="s">
        <v>101</v>
      </c>
      <c r="B48" s="4" t="s">
        <v>2234</v>
      </c>
      <c r="C48" s="4" t="s">
        <v>2228</v>
      </c>
      <c r="D48" s="4" t="s">
        <v>2230</v>
      </c>
      <c r="E48" s="7">
        <v>55</v>
      </c>
    </row>
    <row r="49" spans="1:5" ht="14.25" customHeight="1" x14ac:dyDescent="0.25">
      <c r="A49" s="4" t="s">
        <v>607</v>
      </c>
      <c r="B49" s="4" t="s">
        <v>2269</v>
      </c>
      <c r="C49" s="4" t="s">
        <v>2228</v>
      </c>
      <c r="D49" s="4" t="s">
        <v>2230</v>
      </c>
      <c r="E49" s="7">
        <v>19</v>
      </c>
    </row>
    <row r="50" spans="1:5" ht="14.25" customHeight="1" x14ac:dyDescent="0.25">
      <c r="A50" s="4" t="s">
        <v>132</v>
      </c>
      <c r="B50" s="4" t="s">
        <v>2270</v>
      </c>
      <c r="C50" s="4" t="s">
        <v>2239</v>
      </c>
      <c r="D50" s="4" t="s">
        <v>2226</v>
      </c>
      <c r="E50" s="7">
        <v>36</v>
      </c>
    </row>
    <row r="51" spans="1:5" ht="14.25" customHeight="1" x14ac:dyDescent="0.25">
      <c r="A51" s="4" t="s">
        <v>507</v>
      </c>
      <c r="B51" s="4" t="s">
        <v>2271</v>
      </c>
      <c r="C51" s="4" t="s">
        <v>2232</v>
      </c>
      <c r="D51" s="4" t="s">
        <v>2230</v>
      </c>
      <c r="E51" s="7">
        <v>35</v>
      </c>
    </row>
    <row r="52" spans="1:5" ht="14.25" customHeight="1" x14ac:dyDescent="0.25">
      <c r="A52" s="4" t="s">
        <v>50</v>
      </c>
      <c r="B52" s="4" t="s">
        <v>2257</v>
      </c>
      <c r="C52" s="4" t="s">
        <v>2225</v>
      </c>
      <c r="D52" s="4" t="s">
        <v>2230</v>
      </c>
      <c r="E52" s="7">
        <v>31</v>
      </c>
    </row>
    <row r="53" spans="1:5" ht="14.25" customHeight="1" x14ac:dyDescent="0.25">
      <c r="A53" s="4" t="s">
        <v>33</v>
      </c>
      <c r="B53" s="4" t="s">
        <v>2227</v>
      </c>
      <c r="C53" s="4" t="s">
        <v>2228</v>
      </c>
      <c r="D53" s="4" t="s">
        <v>2226</v>
      </c>
      <c r="E53" s="7">
        <v>28</v>
      </c>
    </row>
    <row r="54" spans="1:5" ht="14.25" customHeight="1" x14ac:dyDescent="0.25">
      <c r="A54" s="4" t="s">
        <v>298</v>
      </c>
      <c r="B54" s="4" t="s">
        <v>2235</v>
      </c>
      <c r="C54" s="4" t="s">
        <v>2236</v>
      </c>
      <c r="D54" s="4" t="s">
        <v>2230</v>
      </c>
      <c r="E54" s="7">
        <v>19</v>
      </c>
    </row>
    <row r="55" spans="1:5" ht="14.25" customHeight="1" x14ac:dyDescent="0.25">
      <c r="A55" s="4" t="s">
        <v>182</v>
      </c>
      <c r="B55" s="4" t="s">
        <v>2272</v>
      </c>
      <c r="C55" s="4" t="s">
        <v>2346</v>
      </c>
      <c r="D55" s="4" t="s">
        <v>2226</v>
      </c>
      <c r="E55" s="7">
        <v>39</v>
      </c>
    </row>
    <row r="56" spans="1:5" ht="14.25" customHeight="1" x14ac:dyDescent="0.25">
      <c r="A56" s="4" t="s">
        <v>327</v>
      </c>
      <c r="B56" s="4" t="s">
        <v>2269</v>
      </c>
      <c r="C56" s="4" t="s">
        <v>2232</v>
      </c>
      <c r="D56" s="4" t="s">
        <v>2230</v>
      </c>
      <c r="E56" s="7">
        <v>24</v>
      </c>
    </row>
    <row r="57" spans="1:5" ht="14.25" customHeight="1" x14ac:dyDescent="0.25">
      <c r="A57" s="4" t="s">
        <v>11</v>
      </c>
      <c r="B57" s="4" t="s">
        <v>2273</v>
      </c>
      <c r="C57" s="4" t="s">
        <v>2228</v>
      </c>
      <c r="D57" s="4" t="s">
        <v>2230</v>
      </c>
      <c r="E57" s="7">
        <v>55</v>
      </c>
    </row>
    <row r="58" spans="1:5" ht="14.25" customHeight="1" x14ac:dyDescent="0.25">
      <c r="A58" s="4" t="s">
        <v>176</v>
      </c>
      <c r="B58" s="4" t="s">
        <v>2274</v>
      </c>
      <c r="C58" s="4" t="s">
        <v>2236</v>
      </c>
      <c r="D58" s="4" t="s">
        <v>2226</v>
      </c>
      <c r="E58" s="7">
        <v>26</v>
      </c>
    </row>
    <row r="59" spans="1:5" ht="14.25" customHeight="1" x14ac:dyDescent="0.25">
      <c r="A59" s="4" t="s">
        <v>234</v>
      </c>
      <c r="B59" s="4" t="s">
        <v>2275</v>
      </c>
      <c r="C59" s="4" t="s">
        <v>2228</v>
      </c>
      <c r="D59" s="4" t="s">
        <v>2230</v>
      </c>
      <c r="E59" s="7">
        <v>18</v>
      </c>
    </row>
    <row r="60" spans="1:5" ht="14.25" customHeight="1" x14ac:dyDescent="0.25">
      <c r="A60" s="4" t="s">
        <v>940</v>
      </c>
      <c r="B60" s="4" t="s">
        <v>2276</v>
      </c>
      <c r="C60" s="4" t="s">
        <v>2228</v>
      </c>
      <c r="D60" s="4" t="s">
        <v>2226</v>
      </c>
      <c r="E60" s="7">
        <v>25</v>
      </c>
    </row>
    <row r="61" spans="1:5" ht="14.25" customHeight="1" x14ac:dyDescent="0.25">
      <c r="A61" s="4" t="s">
        <v>418</v>
      </c>
      <c r="B61" s="4" t="s">
        <v>2266</v>
      </c>
      <c r="C61" s="4" t="s">
        <v>2239</v>
      </c>
      <c r="D61" s="4" t="s">
        <v>2230</v>
      </c>
      <c r="E61" s="7">
        <v>20</v>
      </c>
    </row>
    <row r="62" spans="1:5" ht="14.25" customHeight="1" x14ac:dyDescent="0.25">
      <c r="A62" s="4" t="s">
        <v>110</v>
      </c>
      <c r="B62" s="4" t="s">
        <v>2277</v>
      </c>
      <c r="C62" s="4" t="s">
        <v>2232</v>
      </c>
      <c r="D62" s="4" t="s">
        <v>2230</v>
      </c>
      <c r="E62" s="7">
        <v>28</v>
      </c>
    </row>
    <row r="63" spans="1:5" ht="14.25" customHeight="1" x14ac:dyDescent="0.25">
      <c r="A63" s="4" t="s">
        <v>214</v>
      </c>
      <c r="B63" s="4" t="s">
        <v>2278</v>
      </c>
      <c r="C63" s="4" t="s">
        <v>2225</v>
      </c>
      <c r="D63" s="4" t="s">
        <v>2230</v>
      </c>
      <c r="E63" s="7">
        <v>20</v>
      </c>
    </row>
    <row r="64" spans="1:5" ht="14.25" customHeight="1" x14ac:dyDescent="0.25">
      <c r="A64" s="4" t="s">
        <v>59</v>
      </c>
      <c r="B64" s="4" t="s">
        <v>2279</v>
      </c>
      <c r="C64" s="4" t="s">
        <v>2228</v>
      </c>
      <c r="D64" s="4" t="s">
        <v>2230</v>
      </c>
      <c r="E64" s="7">
        <v>24</v>
      </c>
    </row>
    <row r="65" spans="1:5" ht="14.25" customHeight="1" x14ac:dyDescent="0.25">
      <c r="A65" s="4" t="s">
        <v>207</v>
      </c>
      <c r="B65" s="4" t="s">
        <v>2262</v>
      </c>
      <c r="C65" s="4" t="s">
        <v>2236</v>
      </c>
      <c r="D65" s="4" t="s">
        <v>2230</v>
      </c>
      <c r="E65" s="7">
        <v>37</v>
      </c>
    </row>
    <row r="66" spans="1:5" ht="14.25" customHeight="1" x14ac:dyDescent="0.25">
      <c r="A66" s="4" t="s">
        <v>150</v>
      </c>
      <c r="B66" s="4" t="s">
        <v>2280</v>
      </c>
      <c r="C66" s="4" t="s">
        <v>2346</v>
      </c>
      <c r="D66" s="4" t="s">
        <v>2230</v>
      </c>
      <c r="E66" s="7">
        <v>23</v>
      </c>
    </row>
    <row r="67" spans="1:5" ht="14.25" customHeight="1" x14ac:dyDescent="0.25">
      <c r="A67" s="4" t="s">
        <v>223</v>
      </c>
      <c r="B67" s="4" t="s">
        <v>2252</v>
      </c>
      <c r="C67" s="4" t="s">
        <v>2232</v>
      </c>
      <c r="D67" s="4" t="s">
        <v>2230</v>
      </c>
      <c r="E67" s="7">
        <v>20</v>
      </c>
    </row>
    <row r="68" spans="1:5" ht="14.25" customHeight="1" x14ac:dyDescent="0.25">
      <c r="A68" s="4" t="s">
        <v>225</v>
      </c>
      <c r="B68" s="4" t="s">
        <v>2342</v>
      </c>
      <c r="C68" s="4" t="s">
        <v>2228</v>
      </c>
      <c r="D68" s="4" t="s">
        <v>2226</v>
      </c>
      <c r="E68" s="7">
        <v>45</v>
      </c>
    </row>
    <row r="69" spans="1:5" ht="14.25" customHeight="1" x14ac:dyDescent="0.25">
      <c r="A69" s="4" t="s">
        <v>514</v>
      </c>
      <c r="B69" s="4" t="s">
        <v>2281</v>
      </c>
      <c r="C69" s="4" t="s">
        <v>2236</v>
      </c>
      <c r="D69" s="4" t="s">
        <v>2226</v>
      </c>
      <c r="E69" s="7">
        <v>28</v>
      </c>
    </row>
    <row r="70" spans="1:5" ht="14.25" customHeight="1" x14ac:dyDescent="0.25">
      <c r="A70" s="4" t="s">
        <v>186</v>
      </c>
      <c r="B70" s="4" t="s">
        <v>2280</v>
      </c>
      <c r="C70" s="4" t="s">
        <v>2228</v>
      </c>
      <c r="D70" s="4" t="s">
        <v>2230</v>
      </c>
      <c r="E70" s="7">
        <v>37</v>
      </c>
    </row>
    <row r="71" spans="1:5" ht="14.25" customHeight="1" x14ac:dyDescent="0.25">
      <c r="A71" s="4" t="s">
        <v>180</v>
      </c>
      <c r="B71" s="4" t="s">
        <v>2282</v>
      </c>
      <c r="C71" s="4" t="s">
        <v>2228</v>
      </c>
      <c r="D71" s="4" t="s">
        <v>2226</v>
      </c>
      <c r="E71" s="7">
        <v>25</v>
      </c>
    </row>
    <row r="72" spans="1:5" ht="14.25" customHeight="1" x14ac:dyDescent="0.25">
      <c r="A72" s="4" t="s">
        <v>27</v>
      </c>
      <c r="B72" s="4" t="s">
        <v>2276</v>
      </c>
      <c r="C72" s="4" t="s">
        <v>2239</v>
      </c>
      <c r="D72" s="4" t="s">
        <v>2226</v>
      </c>
      <c r="E72" s="7">
        <v>32</v>
      </c>
    </row>
    <row r="73" spans="1:5" ht="14.25" customHeight="1" x14ac:dyDescent="0.25">
      <c r="A73" s="4" t="s">
        <v>194</v>
      </c>
      <c r="B73" s="4" t="s">
        <v>2283</v>
      </c>
      <c r="C73" s="4" t="s">
        <v>2232</v>
      </c>
      <c r="D73" s="4" t="s">
        <v>2230</v>
      </c>
      <c r="E73" s="7">
        <v>45</v>
      </c>
    </row>
    <row r="74" spans="1:5" ht="14.25" customHeight="1" x14ac:dyDescent="0.25">
      <c r="A74" s="4" t="s">
        <v>468</v>
      </c>
      <c r="B74" s="4" t="s">
        <v>2267</v>
      </c>
      <c r="C74" s="4" t="s">
        <v>2225</v>
      </c>
      <c r="D74" s="4" t="s">
        <v>2230</v>
      </c>
      <c r="E74" s="7">
        <v>23</v>
      </c>
    </row>
    <row r="75" spans="1:5" ht="14.25" customHeight="1" x14ac:dyDescent="0.25">
      <c r="A75" s="4" t="s">
        <v>163</v>
      </c>
      <c r="B75" s="4" t="s">
        <v>2256</v>
      </c>
      <c r="C75" s="4" t="s">
        <v>2228</v>
      </c>
      <c r="D75" s="4" t="s">
        <v>2230</v>
      </c>
      <c r="E75" s="7">
        <v>32</v>
      </c>
    </row>
    <row r="76" spans="1:5" ht="14.25" customHeight="1" x14ac:dyDescent="0.25">
      <c r="A76" s="4" t="s">
        <v>159</v>
      </c>
      <c r="B76" s="4" t="s">
        <v>2281</v>
      </c>
      <c r="C76" s="4" t="s">
        <v>2236</v>
      </c>
      <c r="D76" s="4" t="s">
        <v>2226</v>
      </c>
      <c r="E76" s="7">
        <v>49</v>
      </c>
    </row>
    <row r="77" spans="1:5" ht="14.25" customHeight="1" x14ac:dyDescent="0.25">
      <c r="A77" s="4" t="s">
        <v>311</v>
      </c>
      <c r="B77" s="4" t="s">
        <v>2284</v>
      </c>
      <c r="C77" s="4" t="s">
        <v>2346</v>
      </c>
      <c r="D77" s="4" t="s">
        <v>2230</v>
      </c>
      <c r="E77" s="7">
        <v>31</v>
      </c>
    </row>
    <row r="78" spans="1:5" ht="14.25" customHeight="1" x14ac:dyDescent="0.25">
      <c r="A78" s="4" t="s">
        <v>322</v>
      </c>
      <c r="B78" s="4" t="s">
        <v>2285</v>
      </c>
      <c r="C78" s="4" t="s">
        <v>2232</v>
      </c>
      <c r="D78" s="4" t="s">
        <v>2230</v>
      </c>
      <c r="E78" s="7">
        <v>32</v>
      </c>
    </row>
    <row r="79" spans="1:5" ht="14.25" customHeight="1" x14ac:dyDescent="0.25">
      <c r="A79" s="4" t="s">
        <v>96</v>
      </c>
      <c r="B79" s="4" t="s">
        <v>2343</v>
      </c>
      <c r="C79" s="4" t="s">
        <v>2228</v>
      </c>
      <c r="D79" s="4" t="s">
        <v>2230</v>
      </c>
      <c r="E79" s="7">
        <v>35</v>
      </c>
    </row>
    <row r="80" spans="1:5" ht="14.25" customHeight="1" x14ac:dyDescent="0.25">
      <c r="A80" s="4" t="s">
        <v>237</v>
      </c>
      <c r="B80" s="4" t="s">
        <v>2286</v>
      </c>
      <c r="C80" s="4" t="s">
        <v>2236</v>
      </c>
      <c r="D80" s="4" t="s">
        <v>2230</v>
      </c>
      <c r="E80" s="7">
        <v>25</v>
      </c>
    </row>
    <row r="81" spans="1:5" ht="14.25" customHeight="1" x14ac:dyDescent="0.25">
      <c r="A81" s="4" t="s">
        <v>439</v>
      </c>
      <c r="B81" s="4" t="s">
        <v>2287</v>
      </c>
      <c r="C81" s="4" t="s">
        <v>2228</v>
      </c>
      <c r="D81" s="4" t="s">
        <v>2230</v>
      </c>
      <c r="E81" s="7">
        <v>50</v>
      </c>
    </row>
    <row r="82" spans="1:5" ht="14.25" customHeight="1" x14ac:dyDescent="0.25">
      <c r="A82" s="4" t="s">
        <v>116</v>
      </c>
      <c r="B82" s="4" t="s">
        <v>2288</v>
      </c>
      <c r="C82" s="4" t="s">
        <v>2228</v>
      </c>
      <c r="D82" s="4" t="s">
        <v>2226</v>
      </c>
      <c r="E82" s="7">
        <v>21</v>
      </c>
    </row>
    <row r="83" spans="1:5" ht="14.25" customHeight="1" x14ac:dyDescent="0.25">
      <c r="A83" s="4" t="s">
        <v>154</v>
      </c>
      <c r="B83" s="4" t="s">
        <v>2286</v>
      </c>
      <c r="C83" s="4" t="s">
        <v>2239</v>
      </c>
      <c r="D83" s="4" t="s">
        <v>2230</v>
      </c>
      <c r="E83" s="7">
        <v>46</v>
      </c>
    </row>
    <row r="84" spans="1:5" ht="14.25" customHeight="1" x14ac:dyDescent="0.25">
      <c r="A84" s="4" t="s">
        <v>314</v>
      </c>
      <c r="B84" s="4" t="s">
        <v>2261</v>
      </c>
      <c r="C84" s="4" t="s">
        <v>2232</v>
      </c>
      <c r="D84" s="4" t="s">
        <v>2230</v>
      </c>
      <c r="E84" s="7">
        <v>18</v>
      </c>
    </row>
    <row r="85" spans="1:5" ht="14.25" customHeight="1" x14ac:dyDescent="0.25">
      <c r="A85" s="4" t="s">
        <v>48</v>
      </c>
      <c r="B85" s="4" t="s">
        <v>2289</v>
      </c>
      <c r="C85" s="4" t="s">
        <v>2225</v>
      </c>
      <c r="D85" s="4" t="s">
        <v>2226</v>
      </c>
      <c r="E85" s="7">
        <v>23</v>
      </c>
    </row>
    <row r="86" spans="1:5" ht="14.25" customHeight="1" x14ac:dyDescent="0.25">
      <c r="A86" s="4" t="s">
        <v>148</v>
      </c>
      <c r="B86" s="4" t="s">
        <v>2265</v>
      </c>
      <c r="C86" s="4" t="s">
        <v>2236</v>
      </c>
      <c r="D86" s="4" t="s">
        <v>2230</v>
      </c>
      <c r="E86" s="7">
        <v>29</v>
      </c>
    </row>
    <row r="87" spans="1:5" ht="14.25" customHeight="1" x14ac:dyDescent="0.25">
      <c r="A87" s="4" t="s">
        <v>264</v>
      </c>
      <c r="B87" s="4" t="s">
        <v>2290</v>
      </c>
      <c r="C87" s="4" t="s">
        <v>2346</v>
      </c>
      <c r="D87" s="4" t="s">
        <v>2230</v>
      </c>
      <c r="E87" s="7">
        <v>19</v>
      </c>
    </row>
    <row r="88" spans="1:5" ht="14.25" customHeight="1" x14ac:dyDescent="0.25">
      <c r="A88" s="4" t="s">
        <v>833</v>
      </c>
      <c r="B88" s="4" t="s">
        <v>2291</v>
      </c>
      <c r="C88" s="4" t="s">
        <v>2232</v>
      </c>
      <c r="D88" s="4" t="s">
        <v>2226</v>
      </c>
      <c r="E88" s="7">
        <v>53</v>
      </c>
    </row>
    <row r="89" spans="1:5" ht="14.25" customHeight="1" x14ac:dyDescent="0.25">
      <c r="A89" s="4" t="s">
        <v>291</v>
      </c>
      <c r="B89" s="4" t="s">
        <v>2292</v>
      </c>
      <c r="C89" s="4" t="s">
        <v>2228</v>
      </c>
      <c r="D89" s="4" t="s">
        <v>2226</v>
      </c>
      <c r="E89" s="7">
        <v>33</v>
      </c>
    </row>
    <row r="90" spans="1:5" ht="14.25" customHeight="1" x14ac:dyDescent="0.25">
      <c r="A90" s="4" t="s">
        <v>400</v>
      </c>
      <c r="B90" s="4" t="s">
        <v>2293</v>
      </c>
      <c r="C90" s="4" t="s">
        <v>2236</v>
      </c>
      <c r="D90" s="4" t="s">
        <v>2226</v>
      </c>
      <c r="E90" s="7">
        <v>35</v>
      </c>
    </row>
    <row r="91" spans="1:5" ht="14.25" customHeight="1" x14ac:dyDescent="0.25">
      <c r="A91" s="4" t="s">
        <v>52</v>
      </c>
      <c r="B91" s="4" t="s">
        <v>2269</v>
      </c>
      <c r="C91" s="4" t="s">
        <v>2228</v>
      </c>
      <c r="D91" s="4" t="s">
        <v>2230</v>
      </c>
      <c r="E91" s="7">
        <v>29</v>
      </c>
    </row>
    <row r="92" spans="1:5" ht="14.25" customHeight="1" x14ac:dyDescent="0.25">
      <c r="A92" s="4" t="s">
        <v>605</v>
      </c>
      <c r="B92" s="4" t="s">
        <v>2294</v>
      </c>
      <c r="C92" s="4" t="s">
        <v>2228</v>
      </c>
      <c r="D92" s="4" t="s">
        <v>2230</v>
      </c>
      <c r="E92" s="7">
        <v>44</v>
      </c>
    </row>
    <row r="93" spans="1:5" ht="14.25" customHeight="1" x14ac:dyDescent="0.25">
      <c r="A93" s="4" t="s">
        <v>17</v>
      </c>
      <c r="B93" s="4" t="s">
        <v>2295</v>
      </c>
      <c r="C93" s="4" t="s">
        <v>2239</v>
      </c>
      <c r="D93" s="4" t="s">
        <v>2230</v>
      </c>
      <c r="E93" s="7">
        <v>48</v>
      </c>
    </row>
    <row r="94" spans="1:5" ht="14.25" customHeight="1" x14ac:dyDescent="0.25">
      <c r="A94" s="4" t="s">
        <v>89</v>
      </c>
      <c r="B94" s="4" t="s">
        <v>2296</v>
      </c>
      <c r="C94" s="4" t="s">
        <v>2232</v>
      </c>
      <c r="D94" s="4" t="s">
        <v>2230</v>
      </c>
      <c r="E94" s="7">
        <v>19</v>
      </c>
    </row>
    <row r="95" spans="1:5" ht="14.25" customHeight="1" x14ac:dyDescent="0.25">
      <c r="A95" s="4" t="s">
        <v>305</v>
      </c>
      <c r="B95" s="4" t="s">
        <v>2297</v>
      </c>
      <c r="C95" s="4" t="s">
        <v>2225</v>
      </c>
      <c r="D95" s="4" t="s">
        <v>2226</v>
      </c>
      <c r="E95" s="7">
        <v>40</v>
      </c>
    </row>
    <row r="96" spans="1:5" ht="14.25" customHeight="1" x14ac:dyDescent="0.25">
      <c r="A96" s="4" t="s">
        <v>14</v>
      </c>
      <c r="B96" s="4" t="s">
        <v>2298</v>
      </c>
      <c r="C96" s="4" t="s">
        <v>2228</v>
      </c>
      <c r="D96" s="4" t="s">
        <v>2226</v>
      </c>
      <c r="E96" s="7">
        <v>39</v>
      </c>
    </row>
    <row r="97" spans="1:5" ht="14.25" customHeight="1" x14ac:dyDescent="0.25">
      <c r="A97" s="4" t="s">
        <v>45</v>
      </c>
      <c r="B97" s="4" t="s">
        <v>2299</v>
      </c>
      <c r="C97" s="4" t="s">
        <v>2236</v>
      </c>
      <c r="D97" s="4" t="s">
        <v>2226</v>
      </c>
      <c r="E97" s="7">
        <v>26</v>
      </c>
    </row>
    <row r="98" spans="1:5" ht="14.25" customHeight="1" x14ac:dyDescent="0.25">
      <c r="A98" s="4" t="s">
        <v>256</v>
      </c>
      <c r="B98" s="4" t="s">
        <v>2273</v>
      </c>
      <c r="C98" s="4" t="s">
        <v>2346</v>
      </c>
      <c r="D98" s="4" t="s">
        <v>2230</v>
      </c>
      <c r="E98" s="7">
        <v>23</v>
      </c>
    </row>
    <row r="99" spans="1:5" ht="14.25" customHeight="1" x14ac:dyDescent="0.25">
      <c r="A99" s="4" t="s">
        <v>78</v>
      </c>
      <c r="B99" s="4" t="s">
        <v>2300</v>
      </c>
      <c r="C99" s="4" t="s">
        <v>2232</v>
      </c>
      <c r="D99" s="4" t="s">
        <v>2226</v>
      </c>
      <c r="E99" s="7">
        <v>38</v>
      </c>
    </row>
    <row r="100" spans="1:5" ht="14.25" customHeight="1" x14ac:dyDescent="0.25">
      <c r="A100" s="4" t="s">
        <v>22</v>
      </c>
      <c r="B100" s="4" t="s">
        <v>2301</v>
      </c>
      <c r="C100" s="4" t="s">
        <v>2228</v>
      </c>
      <c r="D100" s="4" t="s">
        <v>2230</v>
      </c>
      <c r="E100" s="7">
        <v>52</v>
      </c>
    </row>
    <row r="101" spans="1:5" ht="14.25" customHeight="1" x14ac:dyDescent="0.25">
      <c r="A101" s="4" t="s">
        <v>91</v>
      </c>
      <c r="B101" s="4" t="s">
        <v>2243</v>
      </c>
      <c r="C101" s="4" t="s">
        <v>2236</v>
      </c>
      <c r="D101" s="4" t="s">
        <v>2226</v>
      </c>
      <c r="E101" s="7">
        <v>28</v>
      </c>
    </row>
    <row r="102" spans="1:5" ht="14.25" customHeight="1" x14ac:dyDescent="0.25">
      <c r="A102" s="4" t="s">
        <v>324</v>
      </c>
      <c r="B102" s="4" t="s">
        <v>2302</v>
      </c>
      <c r="C102" s="4" t="s">
        <v>2228</v>
      </c>
      <c r="D102" s="4" t="s">
        <v>2226</v>
      </c>
      <c r="E102" s="7">
        <v>25</v>
      </c>
    </row>
    <row r="103" spans="1:5" ht="14.25" customHeight="1" x14ac:dyDescent="0.25">
      <c r="A103" s="4" t="s">
        <v>146</v>
      </c>
      <c r="B103" s="4" t="s">
        <v>2303</v>
      </c>
      <c r="C103" s="4" t="s">
        <v>2228</v>
      </c>
      <c r="D103" s="4" t="s">
        <v>2226</v>
      </c>
      <c r="E103" s="7">
        <v>27</v>
      </c>
    </row>
    <row r="104" spans="1:5" ht="14.25" customHeight="1" x14ac:dyDescent="0.25">
      <c r="A104" s="4" t="s">
        <v>457</v>
      </c>
      <c r="B104" s="4" t="s">
        <v>2302</v>
      </c>
      <c r="C104" s="4" t="s">
        <v>2239</v>
      </c>
      <c r="D104" s="4" t="s">
        <v>2226</v>
      </c>
      <c r="E104" s="7">
        <v>23</v>
      </c>
    </row>
    <row r="105" spans="1:5" ht="14.25" customHeight="1" x14ac:dyDescent="0.25">
      <c r="A105" s="4" t="s">
        <v>386</v>
      </c>
      <c r="B105" s="4" t="s">
        <v>2304</v>
      </c>
      <c r="C105" s="4" t="s">
        <v>2232</v>
      </c>
      <c r="D105" s="4" t="s">
        <v>2226</v>
      </c>
      <c r="E105" s="7">
        <v>32</v>
      </c>
    </row>
    <row r="106" spans="1:5" ht="14.25" customHeight="1" x14ac:dyDescent="0.25">
      <c r="A106" s="4" t="s">
        <v>346</v>
      </c>
      <c r="B106" s="4" t="s">
        <v>2277</v>
      </c>
      <c r="C106" s="4" t="s">
        <v>2225</v>
      </c>
      <c r="D106" s="4" t="s">
        <v>2230</v>
      </c>
      <c r="E106" s="7">
        <v>30</v>
      </c>
    </row>
    <row r="107" spans="1:5" ht="14.25" customHeight="1" x14ac:dyDescent="0.25">
      <c r="A107" s="4" t="s">
        <v>435</v>
      </c>
      <c r="B107" s="4" t="s">
        <v>2305</v>
      </c>
      <c r="C107" s="4" t="s">
        <v>2228</v>
      </c>
      <c r="D107" s="4" t="s">
        <v>2230</v>
      </c>
      <c r="E107" s="7">
        <v>32</v>
      </c>
    </row>
    <row r="108" spans="1:5" ht="14.25" customHeight="1" x14ac:dyDescent="0.25">
      <c r="A108" s="4" t="s">
        <v>134</v>
      </c>
      <c r="B108" s="4" t="s">
        <v>2268</v>
      </c>
      <c r="C108" s="4" t="s">
        <v>2236</v>
      </c>
      <c r="D108" s="4" t="s">
        <v>2230</v>
      </c>
      <c r="E108" s="7">
        <v>18</v>
      </c>
    </row>
    <row r="109" spans="1:5" ht="14.25" customHeight="1" x14ac:dyDescent="0.25">
      <c r="A109" s="4" t="s">
        <v>105</v>
      </c>
      <c r="B109" s="4" t="s">
        <v>2306</v>
      </c>
      <c r="C109" s="4" t="s">
        <v>2346</v>
      </c>
      <c r="D109" s="4" t="s">
        <v>2230</v>
      </c>
      <c r="E109" s="7">
        <v>42</v>
      </c>
    </row>
    <row r="110" spans="1:5" ht="14.25" customHeight="1" x14ac:dyDescent="0.25">
      <c r="A110" s="4" t="s">
        <v>138</v>
      </c>
      <c r="B110" s="4" t="s">
        <v>2229</v>
      </c>
      <c r="C110" s="4" t="s">
        <v>2232</v>
      </c>
      <c r="D110" s="4" t="s">
        <v>2230</v>
      </c>
      <c r="E110" s="7">
        <v>22</v>
      </c>
    </row>
    <row r="111" spans="1:5" ht="14.25" customHeight="1" x14ac:dyDescent="0.25">
      <c r="A111" s="4" t="s">
        <v>122</v>
      </c>
      <c r="B111" s="4" t="s">
        <v>2307</v>
      </c>
      <c r="C111" s="4" t="s">
        <v>2228</v>
      </c>
      <c r="D111" s="4" t="s">
        <v>2226</v>
      </c>
      <c r="E111" s="7">
        <v>52</v>
      </c>
    </row>
    <row r="112" spans="1:5" ht="14.25" customHeight="1" x14ac:dyDescent="0.25">
      <c r="A112" s="4" t="s">
        <v>39</v>
      </c>
      <c r="B112" s="4" t="s">
        <v>2229</v>
      </c>
      <c r="C112" s="4" t="s">
        <v>2236</v>
      </c>
      <c r="D112" s="4" t="s">
        <v>2230</v>
      </c>
      <c r="E112" s="7">
        <v>20</v>
      </c>
    </row>
    <row r="113" spans="1:5" ht="14.25" customHeight="1" x14ac:dyDescent="0.25">
      <c r="A113" s="4" t="s">
        <v>41</v>
      </c>
      <c r="B113" s="4" t="s">
        <v>2308</v>
      </c>
      <c r="C113" s="4" t="s">
        <v>2228</v>
      </c>
      <c r="D113" s="4" t="s">
        <v>2226</v>
      </c>
      <c r="E113" s="7">
        <v>40</v>
      </c>
    </row>
    <row r="114" spans="1:5" ht="14.25" customHeight="1" x14ac:dyDescent="0.25">
      <c r="A114" s="4" t="s">
        <v>75</v>
      </c>
      <c r="B114" s="4" t="s">
        <v>2297</v>
      </c>
      <c r="C114" s="4" t="s">
        <v>2228</v>
      </c>
      <c r="D114" s="4" t="s">
        <v>2226</v>
      </c>
      <c r="E114" s="7">
        <v>47</v>
      </c>
    </row>
    <row r="115" spans="1:5" ht="14.25" customHeight="1" x14ac:dyDescent="0.25">
      <c r="A115" s="4" t="s">
        <v>521</v>
      </c>
      <c r="B115" s="4" t="s">
        <v>2280</v>
      </c>
      <c r="C115" s="4" t="s">
        <v>2239</v>
      </c>
      <c r="D115" s="4" t="s">
        <v>2230</v>
      </c>
      <c r="E115" s="7">
        <v>25</v>
      </c>
    </row>
    <row r="116" spans="1:5" ht="14.25" customHeight="1" x14ac:dyDescent="0.25">
      <c r="A116" s="4" t="s">
        <v>343</v>
      </c>
      <c r="B116" s="4" t="s">
        <v>2309</v>
      </c>
      <c r="C116" s="4" t="s">
        <v>2232</v>
      </c>
      <c r="D116" s="4" t="s">
        <v>2230</v>
      </c>
      <c r="E116" s="7">
        <v>31</v>
      </c>
    </row>
    <row r="117" spans="1:5" ht="14.25" customHeight="1" x14ac:dyDescent="0.25">
      <c r="A117" s="4" t="s">
        <v>55</v>
      </c>
      <c r="B117" s="4" t="s">
        <v>2275</v>
      </c>
      <c r="C117" s="4" t="s">
        <v>2225</v>
      </c>
      <c r="D117" s="4" t="s">
        <v>2230</v>
      </c>
      <c r="E117" s="7">
        <v>48</v>
      </c>
    </row>
    <row r="118" spans="1:5" ht="14.25" customHeight="1" x14ac:dyDescent="0.25">
      <c r="A118" s="4" t="s">
        <v>68</v>
      </c>
      <c r="B118" s="4" t="s">
        <v>2310</v>
      </c>
      <c r="C118" s="4" t="s">
        <v>2228</v>
      </c>
      <c r="D118" s="4" t="s">
        <v>2226</v>
      </c>
      <c r="E118" s="7">
        <v>29</v>
      </c>
    </row>
    <row r="119" spans="1:5" ht="14.25" customHeight="1" x14ac:dyDescent="0.25">
      <c r="A119" s="4" t="s">
        <v>218</v>
      </c>
      <c r="B119" s="4" t="s">
        <v>2311</v>
      </c>
      <c r="C119" s="4" t="s">
        <v>2236</v>
      </c>
      <c r="D119" s="4" t="s">
        <v>2230</v>
      </c>
      <c r="E119" s="7">
        <v>48</v>
      </c>
    </row>
    <row r="120" spans="1:5" ht="14.25" customHeight="1" x14ac:dyDescent="0.25">
      <c r="A120" s="4" t="s">
        <v>201</v>
      </c>
      <c r="B120" s="4" t="s">
        <v>2312</v>
      </c>
      <c r="C120" s="4" t="s">
        <v>2346</v>
      </c>
      <c r="D120" s="4" t="s">
        <v>2226</v>
      </c>
      <c r="E120" s="7">
        <v>20</v>
      </c>
    </row>
    <row r="121" spans="1:5" ht="14.25" customHeight="1" x14ac:dyDescent="0.25">
      <c r="A121" s="4" t="s">
        <v>426</v>
      </c>
      <c r="B121" s="4" t="s">
        <v>2313</v>
      </c>
      <c r="C121" s="4" t="s">
        <v>2232</v>
      </c>
      <c r="D121" s="4" t="s">
        <v>2226</v>
      </c>
      <c r="E121" s="7">
        <v>18</v>
      </c>
    </row>
    <row r="122" spans="1:5" ht="14.25" customHeight="1" x14ac:dyDescent="0.25">
      <c r="A122" s="4" t="s">
        <v>502</v>
      </c>
      <c r="B122" s="4" t="s">
        <v>2314</v>
      </c>
      <c r="C122" s="4" t="s">
        <v>2228</v>
      </c>
      <c r="D122" s="4" t="s">
        <v>2226</v>
      </c>
      <c r="E122" s="7">
        <v>24</v>
      </c>
    </row>
    <row r="123" spans="1:5" ht="14.25" customHeight="1" x14ac:dyDescent="0.25">
      <c r="A123" s="4" t="s">
        <v>229</v>
      </c>
      <c r="B123" s="4" t="s">
        <v>2243</v>
      </c>
      <c r="C123" s="4" t="s">
        <v>2236</v>
      </c>
      <c r="D123" s="4" t="s">
        <v>2226</v>
      </c>
      <c r="E123" s="7">
        <v>43</v>
      </c>
    </row>
    <row r="124" spans="1:5" ht="14.25" customHeight="1" x14ac:dyDescent="0.25">
      <c r="A124" s="4" t="s">
        <v>252</v>
      </c>
      <c r="B124" s="4" t="s">
        <v>2267</v>
      </c>
      <c r="C124" s="4" t="s">
        <v>2228</v>
      </c>
      <c r="D124" s="4" t="s">
        <v>2230</v>
      </c>
      <c r="E124" s="7">
        <v>20</v>
      </c>
    </row>
    <row r="125" spans="1:5" ht="14.25" customHeight="1" x14ac:dyDescent="0.25">
      <c r="A125" s="4" t="s">
        <v>113</v>
      </c>
      <c r="B125" s="4" t="s">
        <v>2315</v>
      </c>
      <c r="C125" s="4" t="s">
        <v>2228</v>
      </c>
      <c r="D125" s="4" t="s">
        <v>2226</v>
      </c>
      <c r="E125" s="7">
        <v>35</v>
      </c>
    </row>
    <row r="126" spans="1:5" ht="14.25" customHeight="1" x14ac:dyDescent="0.25">
      <c r="A126" s="4" t="s">
        <v>98</v>
      </c>
      <c r="B126" s="4" t="s">
        <v>2267</v>
      </c>
      <c r="C126" s="4" t="s">
        <v>2239</v>
      </c>
      <c r="D126" s="4" t="s">
        <v>2230</v>
      </c>
      <c r="E126" s="7">
        <v>23</v>
      </c>
    </row>
    <row r="127" spans="1:5" ht="14.25" customHeight="1" x14ac:dyDescent="0.25">
      <c r="A127" s="4" t="s">
        <v>369</v>
      </c>
      <c r="B127" s="4" t="s">
        <v>2316</v>
      </c>
      <c r="C127" s="4" t="s">
        <v>2232</v>
      </c>
      <c r="D127" s="4" t="s">
        <v>2226</v>
      </c>
      <c r="E127" s="7">
        <v>40</v>
      </c>
    </row>
    <row r="128" spans="1:5" ht="14.25" customHeight="1" x14ac:dyDescent="0.25">
      <c r="A128" s="4" t="s">
        <v>174</v>
      </c>
      <c r="B128" s="4" t="s">
        <v>2317</v>
      </c>
      <c r="C128" s="4" t="s">
        <v>2225</v>
      </c>
      <c r="D128" s="4" t="s">
        <v>2230</v>
      </c>
      <c r="E128" s="7">
        <v>18</v>
      </c>
    </row>
    <row r="129" spans="1:5" ht="14.25" customHeight="1" x14ac:dyDescent="0.25">
      <c r="A129" s="4" t="s">
        <v>287</v>
      </c>
      <c r="B129" s="4" t="s">
        <v>2318</v>
      </c>
      <c r="C129" s="4" t="s">
        <v>2228</v>
      </c>
      <c r="D129" s="4" t="s">
        <v>2226</v>
      </c>
      <c r="E129" s="7">
        <v>55</v>
      </c>
    </row>
    <row r="130" spans="1:5" ht="14.25" customHeight="1" x14ac:dyDescent="0.25">
      <c r="A130" s="4" t="s">
        <v>272</v>
      </c>
      <c r="B130" s="4" t="s">
        <v>2319</v>
      </c>
      <c r="C130" s="4" t="s">
        <v>2236</v>
      </c>
      <c r="D130" s="4" t="s">
        <v>2230</v>
      </c>
      <c r="E130" s="7">
        <v>38</v>
      </c>
    </row>
    <row r="131" spans="1:5" ht="14.25" customHeight="1" x14ac:dyDescent="0.25">
      <c r="A131" s="4" t="s">
        <v>118</v>
      </c>
      <c r="B131" s="4" t="s">
        <v>2242</v>
      </c>
      <c r="C131" s="4" t="s">
        <v>2346</v>
      </c>
      <c r="D131" s="4" t="s">
        <v>2226</v>
      </c>
      <c r="E131" s="7">
        <v>55</v>
      </c>
    </row>
    <row r="132" spans="1:5" ht="14.25" customHeight="1" x14ac:dyDescent="0.25">
      <c r="A132" s="4" t="s">
        <v>129</v>
      </c>
      <c r="B132" s="4" t="s">
        <v>2320</v>
      </c>
      <c r="C132" s="4" t="s">
        <v>2232</v>
      </c>
      <c r="D132" s="4" t="s">
        <v>2230</v>
      </c>
      <c r="E132" s="7">
        <v>46</v>
      </c>
    </row>
    <row r="133" spans="1:5" ht="14.25" customHeight="1" x14ac:dyDescent="0.25">
      <c r="A133" s="4" t="s">
        <v>374</v>
      </c>
      <c r="B133" s="4" t="s">
        <v>2321</v>
      </c>
      <c r="C133" s="4" t="s">
        <v>2228</v>
      </c>
      <c r="D133" s="4" t="s">
        <v>2226</v>
      </c>
      <c r="E133" s="7">
        <v>27</v>
      </c>
    </row>
    <row r="134" spans="1:5" ht="14.25" customHeight="1" x14ac:dyDescent="0.25">
      <c r="A134" s="4" t="s">
        <v>524</v>
      </c>
      <c r="B134" s="4" t="s">
        <v>2241</v>
      </c>
      <c r="C134" s="4" t="s">
        <v>2236</v>
      </c>
      <c r="D134" s="4" t="s">
        <v>2226</v>
      </c>
      <c r="E134" s="7">
        <v>21</v>
      </c>
    </row>
    <row r="135" spans="1:5" ht="14.25" customHeight="1" x14ac:dyDescent="0.25">
      <c r="A135" s="4" t="s">
        <v>596</v>
      </c>
      <c r="B135" s="4" t="s">
        <v>2296</v>
      </c>
      <c r="C135" s="4" t="s">
        <v>2228</v>
      </c>
      <c r="D135" s="4" t="s">
        <v>2230</v>
      </c>
      <c r="E135" s="7">
        <v>26</v>
      </c>
    </row>
    <row r="136" spans="1:5" ht="14.25" customHeight="1" x14ac:dyDescent="0.25">
      <c r="A136" s="4" t="s">
        <v>574</v>
      </c>
      <c r="B136" s="4" t="s">
        <v>2322</v>
      </c>
      <c r="C136" s="4" t="s">
        <v>2228</v>
      </c>
      <c r="D136" s="4" t="s">
        <v>2230</v>
      </c>
      <c r="E136" s="7">
        <v>23</v>
      </c>
    </row>
    <row r="137" spans="1:5" ht="14.25" customHeight="1" x14ac:dyDescent="0.25">
      <c r="A137" s="4" t="s">
        <v>87</v>
      </c>
      <c r="B137" s="4" t="s">
        <v>2323</v>
      </c>
      <c r="C137" s="4" t="s">
        <v>2239</v>
      </c>
      <c r="D137" s="4" t="s">
        <v>2230</v>
      </c>
      <c r="E137" s="7">
        <v>34</v>
      </c>
    </row>
    <row r="138" spans="1:5" ht="14.25" customHeight="1" x14ac:dyDescent="0.25">
      <c r="A138" s="4" t="s">
        <v>309</v>
      </c>
      <c r="B138" s="4" t="s">
        <v>2324</v>
      </c>
      <c r="C138" s="4" t="s">
        <v>2232</v>
      </c>
      <c r="D138" s="4" t="s">
        <v>2230</v>
      </c>
      <c r="E138" s="7">
        <v>36</v>
      </c>
    </row>
    <row r="139" spans="1:5" ht="14.25" customHeight="1" x14ac:dyDescent="0.25">
      <c r="A139" s="4" t="s">
        <v>136</v>
      </c>
      <c r="B139" s="4" t="s">
        <v>2300</v>
      </c>
      <c r="C139" s="4" t="s">
        <v>2225</v>
      </c>
      <c r="D139" s="4" t="s">
        <v>2226</v>
      </c>
      <c r="E139" s="7">
        <v>27</v>
      </c>
    </row>
    <row r="140" spans="1:5" ht="14.25" customHeight="1" x14ac:dyDescent="0.25">
      <c r="A140" s="4" t="s">
        <v>203</v>
      </c>
      <c r="B140" s="4" t="s">
        <v>2344</v>
      </c>
      <c r="C140" s="4" t="s">
        <v>2228</v>
      </c>
      <c r="D140" s="4" t="s">
        <v>2226</v>
      </c>
      <c r="E140" s="7">
        <v>20</v>
      </c>
    </row>
    <row r="141" spans="1:5" ht="14.25" customHeight="1" x14ac:dyDescent="0.25">
      <c r="A141" s="4" t="s">
        <v>293</v>
      </c>
      <c r="B141" s="4" t="s">
        <v>2325</v>
      </c>
      <c r="C141" s="4" t="s">
        <v>2236</v>
      </c>
      <c r="D141" s="4" t="s">
        <v>2226</v>
      </c>
      <c r="E141" s="7">
        <v>46</v>
      </c>
    </row>
    <row r="142" spans="1:5" ht="14.25" customHeight="1" x14ac:dyDescent="0.25">
      <c r="A142" s="4" t="s">
        <v>43</v>
      </c>
      <c r="B142" s="4" t="s">
        <v>2326</v>
      </c>
      <c r="C142" s="4" t="s">
        <v>2346</v>
      </c>
      <c r="D142" s="4" t="s">
        <v>2226</v>
      </c>
      <c r="E142" s="7">
        <v>49</v>
      </c>
    </row>
    <row r="143" spans="1:5" ht="14.25" customHeight="1" x14ac:dyDescent="0.25">
      <c r="A143" s="4" t="s">
        <v>8</v>
      </c>
      <c r="B143" s="4" t="s">
        <v>2327</v>
      </c>
      <c r="C143" s="4" t="s">
        <v>2232</v>
      </c>
      <c r="D143" s="4" t="s">
        <v>2230</v>
      </c>
      <c r="E143" s="7">
        <v>38</v>
      </c>
    </row>
    <row r="144" spans="1:5" ht="14.25" customHeight="1" x14ac:dyDescent="0.25">
      <c r="A144" s="4" t="s">
        <v>62</v>
      </c>
      <c r="B144" s="4" t="s">
        <v>2264</v>
      </c>
      <c r="C144" s="4" t="s">
        <v>2228</v>
      </c>
      <c r="D144" s="4" t="s">
        <v>2230</v>
      </c>
      <c r="E144" s="7">
        <v>36</v>
      </c>
    </row>
    <row r="145" spans="1:5" ht="14.25" customHeight="1" x14ac:dyDescent="0.25">
      <c r="A145" s="4" t="s">
        <v>239</v>
      </c>
      <c r="B145" s="4" t="s">
        <v>2345</v>
      </c>
      <c r="C145" s="4" t="s">
        <v>2236</v>
      </c>
      <c r="D145" s="4" t="s">
        <v>2226</v>
      </c>
      <c r="E145" s="7">
        <v>23</v>
      </c>
    </row>
    <row r="146" spans="1:5" ht="14.25" customHeight="1" x14ac:dyDescent="0.25">
      <c r="A146" s="4" t="s">
        <v>320</v>
      </c>
      <c r="B146" s="4" t="s">
        <v>2271</v>
      </c>
      <c r="C146" s="4" t="s">
        <v>2228</v>
      </c>
      <c r="D146" s="4" t="s">
        <v>2230</v>
      </c>
      <c r="E146" s="7">
        <v>31</v>
      </c>
    </row>
    <row r="147" spans="1:5" ht="14.25" customHeight="1" x14ac:dyDescent="0.25">
      <c r="A147" s="4" t="s">
        <v>444</v>
      </c>
      <c r="B147" s="4" t="s">
        <v>2234</v>
      </c>
      <c r="C147" s="4" t="s">
        <v>2228</v>
      </c>
      <c r="D147" s="4" t="s">
        <v>2230</v>
      </c>
      <c r="E147" s="7">
        <v>24</v>
      </c>
    </row>
    <row r="148" spans="1:5" ht="14.25" customHeight="1" x14ac:dyDescent="0.25">
      <c r="A148" s="4" t="s">
        <v>212</v>
      </c>
      <c r="B148" s="4" t="s">
        <v>2268</v>
      </c>
      <c r="C148" s="4" t="s">
        <v>2239</v>
      </c>
      <c r="D148" s="4" t="s">
        <v>2230</v>
      </c>
      <c r="E148" s="7">
        <v>53</v>
      </c>
    </row>
    <row r="149" spans="1:5" ht="14.25" customHeight="1" x14ac:dyDescent="0.25">
      <c r="A149" s="4" t="s">
        <v>258</v>
      </c>
      <c r="B149" s="4" t="s">
        <v>2328</v>
      </c>
      <c r="C149" s="4" t="s">
        <v>2232</v>
      </c>
      <c r="D149" s="4" t="s">
        <v>2226</v>
      </c>
      <c r="E149" s="7">
        <v>37</v>
      </c>
    </row>
    <row r="150" spans="1:5" ht="14.25" customHeight="1" x14ac:dyDescent="0.25">
      <c r="A150" s="4" t="s">
        <v>216</v>
      </c>
      <c r="B150" s="4" t="s">
        <v>2258</v>
      </c>
      <c r="C150" s="4" t="s">
        <v>2225</v>
      </c>
      <c r="D150" s="4" t="s">
        <v>2230</v>
      </c>
      <c r="E150" s="7">
        <v>54</v>
      </c>
    </row>
    <row r="151" spans="1:5" ht="14.25" customHeight="1" x14ac:dyDescent="0.25">
      <c r="A151" s="4" t="s">
        <v>275</v>
      </c>
      <c r="B151" s="4" t="s">
        <v>2277</v>
      </c>
      <c r="C151" s="4" t="s">
        <v>2228</v>
      </c>
      <c r="D151" s="4" t="s">
        <v>2230</v>
      </c>
      <c r="E151" s="7">
        <v>25</v>
      </c>
    </row>
    <row r="152" spans="1:5" ht="14.25" customHeight="1" x14ac:dyDescent="0.25"/>
    <row r="153" spans="1:5" ht="14.25" customHeight="1" x14ac:dyDescent="0.25"/>
    <row r="154" spans="1:5" ht="14.25" customHeight="1" x14ac:dyDescent="0.25"/>
    <row r="155" spans="1:5" ht="14.25" customHeight="1" x14ac:dyDescent="0.25">
      <c r="E155" s="7"/>
    </row>
    <row r="156" spans="1:5" ht="14.25" customHeight="1" x14ac:dyDescent="0.25">
      <c r="E156" s="7"/>
    </row>
    <row r="157" spans="1:5" ht="14.25" customHeight="1" x14ac:dyDescent="0.25">
      <c r="E157" s="7"/>
    </row>
    <row r="158" spans="1:5" ht="14.25" customHeight="1" x14ac:dyDescent="0.25">
      <c r="E158" s="7"/>
    </row>
    <row r="159" spans="1:5" ht="14.25" customHeight="1" x14ac:dyDescent="0.25">
      <c r="E159" s="7"/>
    </row>
    <row r="160" spans="1:5" ht="14.25" customHeight="1" x14ac:dyDescent="0.25">
      <c r="E160" s="7"/>
    </row>
    <row r="161" spans="5:5" ht="14.25" customHeight="1" x14ac:dyDescent="0.25">
      <c r="E161" s="7"/>
    </row>
    <row r="162" spans="5:5" ht="14.25" customHeight="1" x14ac:dyDescent="0.25">
      <c r="E162" s="7"/>
    </row>
    <row r="163" spans="5:5" ht="14.25" customHeight="1" x14ac:dyDescent="0.25">
      <c r="E163" s="7"/>
    </row>
    <row r="164" spans="5:5" ht="14.25" customHeight="1" x14ac:dyDescent="0.25">
      <c r="E164" s="7"/>
    </row>
    <row r="165" spans="5:5" ht="14.25" customHeight="1" x14ac:dyDescent="0.25">
      <c r="E165" s="7"/>
    </row>
    <row r="166" spans="5:5" ht="14.25" customHeight="1" x14ac:dyDescent="0.25">
      <c r="E166" s="7"/>
    </row>
    <row r="167" spans="5:5" ht="14.25" customHeight="1" x14ac:dyDescent="0.25">
      <c r="E167" s="7"/>
    </row>
    <row r="168" spans="5:5" ht="14.25" customHeight="1" x14ac:dyDescent="0.25">
      <c r="E168" s="7"/>
    </row>
    <row r="169" spans="5:5" ht="14.25" customHeight="1" x14ac:dyDescent="0.25">
      <c r="E169" s="7"/>
    </row>
    <row r="170" spans="5:5" ht="14.25" customHeight="1" x14ac:dyDescent="0.25">
      <c r="E170" s="7"/>
    </row>
    <row r="171" spans="5:5" ht="14.25" customHeight="1" x14ac:dyDescent="0.25">
      <c r="E171" s="7"/>
    </row>
    <row r="172" spans="5:5" ht="14.25" customHeight="1" x14ac:dyDescent="0.25">
      <c r="E172" s="7"/>
    </row>
    <row r="173" spans="5:5" ht="14.25" customHeight="1" x14ac:dyDescent="0.25">
      <c r="E173" s="7"/>
    </row>
    <row r="174" spans="5:5" ht="14.25" customHeight="1" x14ac:dyDescent="0.25">
      <c r="E174" s="7"/>
    </row>
    <row r="175" spans="5:5" ht="14.25" customHeight="1" x14ac:dyDescent="0.25">
      <c r="E175" s="7"/>
    </row>
    <row r="176" spans="5:5" ht="14.25" customHeight="1" x14ac:dyDescent="0.25">
      <c r="E176" s="7"/>
    </row>
    <row r="177" spans="5:5" ht="14.25" customHeight="1" x14ac:dyDescent="0.25">
      <c r="E177" s="7"/>
    </row>
    <row r="178" spans="5:5" ht="14.25" customHeight="1" x14ac:dyDescent="0.25">
      <c r="E178" s="7"/>
    </row>
    <row r="179" spans="5:5" ht="14.25" customHeight="1" x14ac:dyDescent="0.25">
      <c r="E179" s="7"/>
    </row>
    <row r="180" spans="5:5" ht="14.25" customHeight="1" x14ac:dyDescent="0.25">
      <c r="E180" s="7"/>
    </row>
    <row r="181" spans="5:5" ht="14.25" customHeight="1" x14ac:dyDescent="0.25">
      <c r="E181" s="7"/>
    </row>
    <row r="182" spans="5:5" ht="14.25" customHeight="1" x14ac:dyDescent="0.25">
      <c r="E182" s="7"/>
    </row>
    <row r="183" spans="5:5" ht="14.25" customHeight="1" x14ac:dyDescent="0.25">
      <c r="E183" s="7"/>
    </row>
    <row r="184" spans="5:5" ht="14.25" customHeight="1" x14ac:dyDescent="0.25">
      <c r="E184" s="7"/>
    </row>
    <row r="185" spans="5:5" ht="14.25" customHeight="1" x14ac:dyDescent="0.25">
      <c r="E185" s="7"/>
    </row>
    <row r="186" spans="5:5" ht="14.25" customHeight="1" x14ac:dyDescent="0.25">
      <c r="E186" s="7"/>
    </row>
    <row r="187" spans="5:5" ht="14.25" customHeight="1" x14ac:dyDescent="0.25">
      <c r="E187" s="7"/>
    </row>
    <row r="188" spans="5:5" ht="14.25" customHeight="1" x14ac:dyDescent="0.25">
      <c r="E188" s="7"/>
    </row>
    <row r="189" spans="5:5" ht="14.25" customHeight="1" x14ac:dyDescent="0.25">
      <c r="E189" s="7"/>
    </row>
    <row r="190" spans="5:5" ht="14.25" customHeight="1" x14ac:dyDescent="0.25">
      <c r="E190" s="7"/>
    </row>
    <row r="191" spans="5:5" ht="14.25" customHeight="1" x14ac:dyDescent="0.25">
      <c r="E191" s="7"/>
    </row>
    <row r="192" spans="5:5" ht="14.25" customHeight="1" x14ac:dyDescent="0.25">
      <c r="E192" s="7"/>
    </row>
    <row r="193" spans="5:5" ht="14.25" customHeight="1" x14ac:dyDescent="0.25">
      <c r="E193" s="7"/>
    </row>
    <row r="194" spans="5:5" ht="14.25" customHeight="1" x14ac:dyDescent="0.25">
      <c r="E194" s="7"/>
    </row>
    <row r="195" spans="5:5" ht="14.25" customHeight="1" x14ac:dyDescent="0.25">
      <c r="E195" s="7"/>
    </row>
    <row r="196" spans="5:5" ht="14.25" customHeight="1" x14ac:dyDescent="0.25">
      <c r="E196" s="7"/>
    </row>
    <row r="197" spans="5:5" ht="14.25" customHeight="1" x14ac:dyDescent="0.25">
      <c r="E197" s="7"/>
    </row>
    <row r="198" spans="5:5" ht="14.25" customHeight="1" x14ac:dyDescent="0.25">
      <c r="E198" s="7"/>
    </row>
    <row r="199" spans="5:5" ht="14.25" customHeight="1" x14ac:dyDescent="0.25">
      <c r="E199" s="7"/>
    </row>
    <row r="200" spans="5:5" ht="14.25" customHeight="1" x14ac:dyDescent="0.25">
      <c r="E200" s="7"/>
    </row>
    <row r="201" spans="5:5" ht="14.25" customHeight="1" x14ac:dyDescent="0.25">
      <c r="E201" s="7"/>
    </row>
    <row r="202" spans="5:5" ht="14.25" customHeight="1" x14ac:dyDescent="0.25">
      <c r="E202" s="7"/>
    </row>
    <row r="203" spans="5:5" ht="14.25" customHeight="1" x14ac:dyDescent="0.25">
      <c r="E203" s="7"/>
    </row>
    <row r="204" spans="5:5" ht="14.25" customHeight="1" x14ac:dyDescent="0.25">
      <c r="E204" s="7"/>
    </row>
    <row r="205" spans="5:5" ht="14.25" customHeight="1" x14ac:dyDescent="0.25">
      <c r="E205" s="7"/>
    </row>
    <row r="206" spans="5:5" ht="14.25" customHeight="1" x14ac:dyDescent="0.25">
      <c r="E206" s="7"/>
    </row>
    <row r="207" spans="5:5" ht="14.25" customHeight="1" x14ac:dyDescent="0.25">
      <c r="E207" s="7"/>
    </row>
    <row r="208" spans="5:5" ht="14.25" customHeight="1" x14ac:dyDescent="0.25">
      <c r="E208" s="7"/>
    </row>
    <row r="209" spans="5:5" ht="14.25" customHeight="1" x14ac:dyDescent="0.25">
      <c r="E209" s="7"/>
    </row>
    <row r="210" spans="5:5" ht="14.25" customHeight="1" x14ac:dyDescent="0.25">
      <c r="E210" s="7"/>
    </row>
    <row r="211" spans="5:5" ht="14.25" customHeight="1" x14ac:dyDescent="0.25">
      <c r="E211" s="7"/>
    </row>
    <row r="212" spans="5:5" ht="14.25" customHeight="1" x14ac:dyDescent="0.25">
      <c r="E212" s="7"/>
    </row>
    <row r="213" spans="5:5" ht="14.25" customHeight="1" x14ac:dyDescent="0.25">
      <c r="E213" s="7"/>
    </row>
    <row r="214" spans="5:5" ht="14.25" customHeight="1" x14ac:dyDescent="0.25">
      <c r="E214" s="7"/>
    </row>
    <row r="215" spans="5:5" ht="14.25" customHeight="1" x14ac:dyDescent="0.25">
      <c r="E215" s="7"/>
    </row>
    <row r="216" spans="5:5" ht="14.25" customHeight="1" x14ac:dyDescent="0.25">
      <c r="E216" s="7"/>
    </row>
    <row r="217" spans="5:5" ht="14.25" customHeight="1" x14ac:dyDescent="0.25">
      <c r="E217" s="7"/>
    </row>
    <row r="218" spans="5:5" ht="14.25" customHeight="1" x14ac:dyDescent="0.25">
      <c r="E218" s="7"/>
    </row>
    <row r="219" spans="5:5" ht="14.25" customHeight="1" x14ac:dyDescent="0.25">
      <c r="E219" s="7"/>
    </row>
    <row r="220" spans="5:5" ht="14.25" customHeight="1" x14ac:dyDescent="0.25">
      <c r="E220" s="7"/>
    </row>
    <row r="221" spans="5:5" ht="14.25" customHeight="1" x14ac:dyDescent="0.25">
      <c r="E221" s="7"/>
    </row>
    <row r="222" spans="5:5" ht="14.25" customHeight="1" x14ac:dyDescent="0.25">
      <c r="E222" s="7"/>
    </row>
    <row r="223" spans="5:5" ht="14.25" customHeight="1" x14ac:dyDescent="0.25">
      <c r="E223" s="7"/>
    </row>
    <row r="224" spans="5:5" ht="14.25" customHeight="1" x14ac:dyDescent="0.25">
      <c r="E224" s="7"/>
    </row>
    <row r="225" spans="5:5" ht="14.25" customHeight="1" x14ac:dyDescent="0.25">
      <c r="E225" s="7"/>
    </row>
    <row r="226" spans="5:5" ht="14.25" customHeight="1" x14ac:dyDescent="0.25">
      <c r="E226" s="7"/>
    </row>
    <row r="227" spans="5:5" ht="14.25" customHeight="1" x14ac:dyDescent="0.25">
      <c r="E227" s="7"/>
    </row>
    <row r="228" spans="5:5" ht="14.25" customHeight="1" x14ac:dyDescent="0.25">
      <c r="E228" s="7"/>
    </row>
    <row r="229" spans="5:5" ht="14.25" customHeight="1" x14ac:dyDescent="0.25">
      <c r="E229" s="7"/>
    </row>
    <row r="230" spans="5:5" ht="14.25" customHeight="1" x14ac:dyDescent="0.25">
      <c r="E230" s="7"/>
    </row>
    <row r="231" spans="5:5" ht="14.25" customHeight="1" x14ac:dyDescent="0.25">
      <c r="E231" s="7"/>
    </row>
    <row r="232" spans="5:5" ht="14.25" customHeight="1" x14ac:dyDescent="0.25">
      <c r="E232" s="7"/>
    </row>
    <row r="233" spans="5:5" ht="14.25" customHeight="1" x14ac:dyDescent="0.25">
      <c r="E233" s="7"/>
    </row>
    <row r="234" spans="5:5" ht="14.25" customHeight="1" x14ac:dyDescent="0.25">
      <c r="E234" s="7"/>
    </row>
    <row r="235" spans="5:5" ht="14.25" customHeight="1" x14ac:dyDescent="0.25">
      <c r="E235" s="7"/>
    </row>
    <row r="236" spans="5:5" ht="14.25" customHeight="1" x14ac:dyDescent="0.25">
      <c r="E236" s="7"/>
    </row>
    <row r="237" spans="5:5" ht="14.25" customHeight="1" x14ac:dyDescent="0.25">
      <c r="E237" s="7"/>
    </row>
    <row r="238" spans="5:5" ht="14.25" customHeight="1" x14ac:dyDescent="0.25">
      <c r="E238" s="7"/>
    </row>
    <row r="239" spans="5:5" ht="14.25" customHeight="1" x14ac:dyDescent="0.25">
      <c r="E239" s="7"/>
    </row>
    <row r="240" spans="5:5" ht="14.25" customHeight="1" x14ac:dyDescent="0.25">
      <c r="E240" s="7"/>
    </row>
    <row r="241" spans="5:5" ht="14.25" customHeight="1" x14ac:dyDescent="0.25">
      <c r="E241" s="7"/>
    </row>
    <row r="242" spans="5:5" ht="14.25" customHeight="1" x14ac:dyDescent="0.25">
      <c r="E242" s="7"/>
    </row>
    <row r="243" spans="5:5" ht="14.25" customHeight="1" x14ac:dyDescent="0.25">
      <c r="E243" s="7"/>
    </row>
    <row r="244" spans="5:5" ht="14.25" customHeight="1" x14ac:dyDescent="0.25">
      <c r="E244" s="7"/>
    </row>
    <row r="245" spans="5:5" ht="14.25" customHeight="1" x14ac:dyDescent="0.25">
      <c r="E245" s="7"/>
    </row>
    <row r="246" spans="5:5" ht="14.25" customHeight="1" x14ac:dyDescent="0.25">
      <c r="E246" s="7"/>
    </row>
    <row r="247" spans="5:5" ht="14.25" customHeight="1" x14ac:dyDescent="0.25">
      <c r="E247" s="7"/>
    </row>
    <row r="248" spans="5:5" ht="14.25" customHeight="1" x14ac:dyDescent="0.25">
      <c r="E248" s="7"/>
    </row>
    <row r="249" spans="5:5" ht="14.25" customHeight="1" x14ac:dyDescent="0.25">
      <c r="E249" s="7"/>
    </row>
    <row r="250" spans="5:5" ht="14.25" customHeight="1" x14ac:dyDescent="0.25">
      <c r="E250" s="7"/>
    </row>
    <row r="251" spans="5:5" ht="14.25" customHeight="1" x14ac:dyDescent="0.25">
      <c r="E251" s="7"/>
    </row>
    <row r="252" spans="5:5" ht="14.25" customHeight="1" x14ac:dyDescent="0.25">
      <c r="E252" s="7"/>
    </row>
    <row r="253" spans="5:5" ht="14.25" customHeight="1" x14ac:dyDescent="0.25">
      <c r="E253" s="7"/>
    </row>
    <row r="254" spans="5:5" ht="14.25" customHeight="1" x14ac:dyDescent="0.25">
      <c r="E254" s="7"/>
    </row>
    <row r="255" spans="5:5" ht="14.25" customHeight="1" x14ac:dyDescent="0.25">
      <c r="E255" s="7"/>
    </row>
    <row r="256" spans="5:5" ht="14.25" customHeight="1" x14ac:dyDescent="0.25">
      <c r="E256" s="7"/>
    </row>
    <row r="257" spans="5:5" ht="14.25" customHeight="1" x14ac:dyDescent="0.25">
      <c r="E257" s="7"/>
    </row>
    <row r="258" spans="5:5" ht="14.25" customHeight="1" x14ac:dyDescent="0.25">
      <c r="E258" s="7"/>
    </row>
    <row r="259" spans="5:5" ht="14.25" customHeight="1" x14ac:dyDescent="0.25">
      <c r="E259" s="7"/>
    </row>
    <row r="260" spans="5:5" ht="14.25" customHeight="1" x14ac:dyDescent="0.25">
      <c r="E260" s="7"/>
    </row>
    <row r="261" spans="5:5" ht="14.25" customHeight="1" x14ac:dyDescent="0.25">
      <c r="E261" s="7"/>
    </row>
    <row r="262" spans="5:5" ht="14.25" customHeight="1" x14ac:dyDescent="0.25">
      <c r="E262" s="7"/>
    </row>
    <row r="263" spans="5:5" ht="14.25" customHeight="1" x14ac:dyDescent="0.25">
      <c r="E263" s="7"/>
    </row>
    <row r="264" spans="5:5" ht="14.25" customHeight="1" x14ac:dyDescent="0.25">
      <c r="E264" s="7"/>
    </row>
    <row r="265" spans="5:5" ht="14.25" customHeight="1" x14ac:dyDescent="0.25">
      <c r="E265" s="7"/>
    </row>
    <row r="266" spans="5:5" ht="14.25" customHeight="1" x14ac:dyDescent="0.25">
      <c r="E266" s="7"/>
    </row>
    <row r="267" spans="5:5" ht="14.25" customHeight="1" x14ac:dyDescent="0.25">
      <c r="E267" s="7"/>
    </row>
    <row r="268" spans="5:5" ht="14.25" customHeight="1" x14ac:dyDescent="0.25">
      <c r="E268" s="7"/>
    </row>
    <row r="269" spans="5:5" ht="14.25" customHeight="1" x14ac:dyDescent="0.25">
      <c r="E269" s="7"/>
    </row>
    <row r="270" spans="5:5" ht="14.25" customHeight="1" x14ac:dyDescent="0.25">
      <c r="E270" s="7"/>
    </row>
    <row r="271" spans="5:5" ht="14.25" customHeight="1" x14ac:dyDescent="0.25">
      <c r="E271" s="7"/>
    </row>
    <row r="272" spans="5:5" ht="14.25" customHeight="1" x14ac:dyDescent="0.25">
      <c r="E272" s="7"/>
    </row>
    <row r="273" spans="5:5" ht="14.25" customHeight="1" x14ac:dyDescent="0.25">
      <c r="E273" s="7"/>
    </row>
    <row r="274" spans="5:5" ht="14.25" customHeight="1" x14ac:dyDescent="0.25">
      <c r="E274" s="7"/>
    </row>
    <row r="275" spans="5:5" ht="14.25" customHeight="1" x14ac:dyDescent="0.25">
      <c r="E275" s="7"/>
    </row>
    <row r="276" spans="5:5" ht="14.25" customHeight="1" x14ac:dyDescent="0.25">
      <c r="E276" s="7"/>
    </row>
    <row r="277" spans="5:5" ht="14.25" customHeight="1" x14ac:dyDescent="0.25">
      <c r="E277" s="7"/>
    </row>
    <row r="278" spans="5:5" ht="14.25" customHeight="1" x14ac:dyDescent="0.25">
      <c r="E278" s="7"/>
    </row>
    <row r="279" spans="5:5" ht="14.25" customHeight="1" x14ac:dyDescent="0.25">
      <c r="E279" s="7"/>
    </row>
    <row r="280" spans="5:5" ht="14.25" customHeight="1" x14ac:dyDescent="0.25">
      <c r="E280" s="7"/>
    </row>
    <row r="281" spans="5:5" ht="14.25" customHeight="1" x14ac:dyDescent="0.25">
      <c r="E281" s="7"/>
    </row>
    <row r="282" spans="5:5" ht="14.25" customHeight="1" x14ac:dyDescent="0.25">
      <c r="E282" s="7"/>
    </row>
    <row r="283" spans="5:5" ht="14.25" customHeight="1" x14ac:dyDescent="0.25">
      <c r="E283" s="7"/>
    </row>
    <row r="284" spans="5:5" ht="14.25" customHeight="1" x14ac:dyDescent="0.25">
      <c r="E284" s="7"/>
    </row>
    <row r="285" spans="5:5" ht="14.25" customHeight="1" x14ac:dyDescent="0.25">
      <c r="E285" s="7"/>
    </row>
    <row r="286" spans="5:5" ht="14.25" customHeight="1" x14ac:dyDescent="0.25">
      <c r="E286" s="7"/>
    </row>
    <row r="287" spans="5:5" ht="14.25" customHeight="1" x14ac:dyDescent="0.25">
      <c r="E287" s="7"/>
    </row>
    <row r="288" spans="5:5" ht="14.25" customHeight="1" x14ac:dyDescent="0.25">
      <c r="E288" s="7"/>
    </row>
    <row r="289" spans="5:5" ht="14.25" customHeight="1" x14ac:dyDescent="0.25">
      <c r="E289" s="7"/>
    </row>
    <row r="290" spans="5:5" ht="14.25" customHeight="1" x14ac:dyDescent="0.25">
      <c r="E290" s="7"/>
    </row>
    <row r="291" spans="5:5" ht="14.25" customHeight="1" x14ac:dyDescent="0.25">
      <c r="E291" s="7"/>
    </row>
    <row r="292" spans="5:5" ht="14.25" customHeight="1" x14ac:dyDescent="0.25">
      <c r="E292" s="7"/>
    </row>
    <row r="293" spans="5:5" ht="14.25" customHeight="1" x14ac:dyDescent="0.25">
      <c r="E293" s="7"/>
    </row>
    <row r="294" spans="5:5" ht="14.25" customHeight="1" x14ac:dyDescent="0.25">
      <c r="E294" s="7"/>
    </row>
    <row r="295" spans="5:5" ht="14.25" customHeight="1" x14ac:dyDescent="0.25">
      <c r="E295" s="7"/>
    </row>
    <row r="296" spans="5:5" ht="14.25" customHeight="1" x14ac:dyDescent="0.25">
      <c r="E296" s="7"/>
    </row>
    <row r="297" spans="5:5" ht="14.25" customHeight="1" x14ac:dyDescent="0.25">
      <c r="E297" s="7"/>
    </row>
    <row r="298" spans="5:5" ht="14.25" customHeight="1" x14ac:dyDescent="0.25">
      <c r="E298" s="7"/>
    </row>
    <row r="299" spans="5:5" ht="14.25" customHeight="1" x14ac:dyDescent="0.25">
      <c r="E299" s="7"/>
    </row>
    <row r="300" spans="5:5" ht="14.25" customHeight="1" x14ac:dyDescent="0.25">
      <c r="E300" s="7"/>
    </row>
    <row r="301" spans="5:5" ht="14.25" customHeight="1" x14ac:dyDescent="0.25">
      <c r="E301" s="7"/>
    </row>
    <row r="302" spans="5:5" ht="14.25" customHeight="1" x14ac:dyDescent="0.25">
      <c r="E302" s="7"/>
    </row>
    <row r="303" spans="5:5" ht="14.25" customHeight="1" x14ac:dyDescent="0.25">
      <c r="E303" s="7"/>
    </row>
    <row r="304" spans="5:5" ht="14.25" customHeight="1" x14ac:dyDescent="0.25">
      <c r="E304" s="7"/>
    </row>
    <row r="305" spans="5:5" ht="14.25" customHeight="1" x14ac:dyDescent="0.25">
      <c r="E305" s="7"/>
    </row>
    <row r="306" spans="5:5" ht="14.25" customHeight="1" x14ac:dyDescent="0.25">
      <c r="E306" s="7"/>
    </row>
    <row r="307" spans="5:5" ht="14.25" customHeight="1" x14ac:dyDescent="0.25">
      <c r="E307" s="7"/>
    </row>
    <row r="308" spans="5:5" ht="14.25" customHeight="1" x14ac:dyDescent="0.25">
      <c r="E308" s="7"/>
    </row>
    <row r="309" spans="5:5" ht="14.25" customHeight="1" x14ac:dyDescent="0.25">
      <c r="E309" s="7"/>
    </row>
    <row r="310" spans="5:5" ht="14.25" customHeight="1" x14ac:dyDescent="0.25">
      <c r="E310" s="7"/>
    </row>
    <row r="311" spans="5:5" ht="14.25" customHeight="1" x14ac:dyDescent="0.25">
      <c r="E311" s="7"/>
    </row>
    <row r="312" spans="5:5" ht="14.25" customHeight="1" x14ac:dyDescent="0.25">
      <c r="E312" s="7"/>
    </row>
    <row r="313" spans="5:5" ht="14.25" customHeight="1" x14ac:dyDescent="0.25">
      <c r="E313" s="7"/>
    </row>
    <row r="314" spans="5:5" ht="14.25" customHeight="1" x14ac:dyDescent="0.25">
      <c r="E314" s="7"/>
    </row>
    <row r="315" spans="5:5" ht="14.25" customHeight="1" x14ac:dyDescent="0.25">
      <c r="E315" s="7"/>
    </row>
    <row r="316" spans="5:5" ht="14.25" customHeight="1" x14ac:dyDescent="0.25">
      <c r="E316" s="7"/>
    </row>
    <row r="317" spans="5:5" ht="14.25" customHeight="1" x14ac:dyDescent="0.25">
      <c r="E317" s="7"/>
    </row>
    <row r="318" spans="5:5" ht="14.25" customHeight="1" x14ac:dyDescent="0.25">
      <c r="E318" s="7"/>
    </row>
    <row r="319" spans="5:5" ht="14.25" customHeight="1" x14ac:dyDescent="0.25">
      <c r="E319" s="7"/>
    </row>
    <row r="320" spans="5:5" ht="14.25" customHeight="1" x14ac:dyDescent="0.25">
      <c r="E320" s="7"/>
    </row>
    <row r="321" spans="5:5" ht="14.25" customHeight="1" x14ac:dyDescent="0.25">
      <c r="E321" s="7"/>
    </row>
    <row r="322" spans="5:5" ht="14.25" customHeight="1" x14ac:dyDescent="0.25">
      <c r="E322" s="7"/>
    </row>
    <row r="323" spans="5:5" ht="14.25" customHeight="1" x14ac:dyDescent="0.25">
      <c r="E323" s="7"/>
    </row>
    <row r="324" spans="5:5" ht="14.25" customHeight="1" x14ac:dyDescent="0.25">
      <c r="E324" s="7"/>
    </row>
    <row r="325" spans="5:5" ht="14.25" customHeight="1" x14ac:dyDescent="0.25">
      <c r="E325" s="7"/>
    </row>
    <row r="326" spans="5:5" ht="14.25" customHeight="1" x14ac:dyDescent="0.25">
      <c r="E326" s="7"/>
    </row>
    <row r="327" spans="5:5" ht="14.25" customHeight="1" x14ac:dyDescent="0.25">
      <c r="E327" s="7"/>
    </row>
    <row r="328" spans="5:5" ht="14.25" customHeight="1" x14ac:dyDescent="0.25">
      <c r="E328" s="7"/>
    </row>
    <row r="329" spans="5:5" ht="14.25" customHeight="1" x14ac:dyDescent="0.25">
      <c r="E329" s="7"/>
    </row>
    <row r="330" spans="5:5" ht="14.25" customHeight="1" x14ac:dyDescent="0.25">
      <c r="E330" s="7"/>
    </row>
    <row r="331" spans="5:5" ht="14.25" customHeight="1" x14ac:dyDescent="0.25">
      <c r="E331" s="7"/>
    </row>
    <row r="332" spans="5:5" ht="14.25" customHeight="1" x14ac:dyDescent="0.25">
      <c r="E332" s="7"/>
    </row>
    <row r="333" spans="5:5" ht="14.25" customHeight="1" x14ac:dyDescent="0.25">
      <c r="E333" s="7"/>
    </row>
    <row r="334" spans="5:5" ht="14.25" customHeight="1" x14ac:dyDescent="0.25">
      <c r="E334" s="7"/>
    </row>
    <row r="335" spans="5:5" ht="14.25" customHeight="1" x14ac:dyDescent="0.25">
      <c r="E335" s="7"/>
    </row>
    <row r="336" spans="5:5" ht="14.25" customHeight="1" x14ac:dyDescent="0.25">
      <c r="E336" s="7"/>
    </row>
    <row r="337" spans="5:5" ht="14.25" customHeight="1" x14ac:dyDescent="0.25">
      <c r="E337" s="7"/>
    </row>
    <row r="338" spans="5:5" ht="14.25" customHeight="1" x14ac:dyDescent="0.25">
      <c r="E338" s="7"/>
    </row>
    <row r="339" spans="5:5" ht="14.25" customHeight="1" x14ac:dyDescent="0.25">
      <c r="E339" s="7"/>
    </row>
    <row r="340" spans="5:5" ht="14.25" customHeight="1" x14ac:dyDescent="0.25">
      <c r="E340" s="7"/>
    </row>
    <row r="341" spans="5:5" ht="14.25" customHeight="1" x14ac:dyDescent="0.25">
      <c r="E341" s="7"/>
    </row>
    <row r="342" spans="5:5" ht="14.25" customHeight="1" x14ac:dyDescent="0.25">
      <c r="E342" s="7"/>
    </row>
    <row r="343" spans="5:5" ht="14.25" customHeight="1" x14ac:dyDescent="0.25">
      <c r="E343" s="7"/>
    </row>
    <row r="344" spans="5:5" ht="14.25" customHeight="1" x14ac:dyDescent="0.25">
      <c r="E344" s="7"/>
    </row>
    <row r="345" spans="5:5" ht="14.25" customHeight="1" x14ac:dyDescent="0.25">
      <c r="E345" s="7"/>
    </row>
    <row r="346" spans="5:5" ht="14.25" customHeight="1" x14ac:dyDescent="0.25">
      <c r="E346" s="7"/>
    </row>
    <row r="347" spans="5:5" ht="14.25" customHeight="1" x14ac:dyDescent="0.25">
      <c r="E347" s="7"/>
    </row>
    <row r="348" spans="5:5" ht="14.25" customHeight="1" x14ac:dyDescent="0.25">
      <c r="E348" s="7"/>
    </row>
    <row r="349" spans="5:5" ht="14.25" customHeight="1" x14ac:dyDescent="0.25">
      <c r="E349" s="7"/>
    </row>
    <row r="350" spans="5:5" ht="14.25" customHeight="1" x14ac:dyDescent="0.25">
      <c r="E350" s="7"/>
    </row>
    <row r="351" spans="5:5" ht="14.25" customHeight="1" x14ac:dyDescent="0.25">
      <c r="E351" s="7"/>
    </row>
    <row r="352" spans="5:5" ht="14.25" customHeight="1" x14ac:dyDescent="0.25">
      <c r="E352" s="7"/>
    </row>
    <row r="353" spans="5:5" ht="14.25" customHeight="1" x14ac:dyDescent="0.25">
      <c r="E353" s="7"/>
    </row>
    <row r="354" spans="5:5" ht="14.25" customHeight="1" x14ac:dyDescent="0.25">
      <c r="E354" s="7"/>
    </row>
    <row r="355" spans="5:5" ht="14.25" customHeight="1" x14ac:dyDescent="0.25">
      <c r="E355" s="7"/>
    </row>
    <row r="356" spans="5:5" ht="14.25" customHeight="1" x14ac:dyDescent="0.25">
      <c r="E356" s="7"/>
    </row>
    <row r="357" spans="5:5" ht="14.25" customHeight="1" x14ac:dyDescent="0.25">
      <c r="E357" s="7"/>
    </row>
    <row r="358" spans="5:5" ht="14.25" customHeight="1" x14ac:dyDescent="0.25">
      <c r="E358" s="7"/>
    </row>
    <row r="359" spans="5:5" ht="14.25" customHeight="1" x14ac:dyDescent="0.25">
      <c r="E359" s="7"/>
    </row>
    <row r="360" spans="5:5" ht="14.25" customHeight="1" x14ac:dyDescent="0.25">
      <c r="E360" s="7"/>
    </row>
    <row r="361" spans="5:5" ht="14.25" customHeight="1" x14ac:dyDescent="0.25">
      <c r="E361" s="7"/>
    </row>
    <row r="362" spans="5:5" ht="14.25" customHeight="1" x14ac:dyDescent="0.25">
      <c r="E362" s="7"/>
    </row>
    <row r="363" spans="5:5" ht="14.25" customHeight="1" x14ac:dyDescent="0.25">
      <c r="E363" s="7"/>
    </row>
    <row r="364" spans="5:5" ht="14.25" customHeight="1" x14ac:dyDescent="0.25">
      <c r="E364" s="7"/>
    </row>
    <row r="365" spans="5:5" ht="14.25" customHeight="1" x14ac:dyDescent="0.25">
      <c r="E365" s="7"/>
    </row>
    <row r="366" spans="5:5" ht="14.25" customHeight="1" x14ac:dyDescent="0.25">
      <c r="E366" s="7"/>
    </row>
    <row r="367" spans="5:5" ht="14.25" customHeight="1" x14ac:dyDescent="0.25">
      <c r="E367" s="7"/>
    </row>
    <row r="368" spans="5:5" ht="14.25" customHeight="1" x14ac:dyDescent="0.25">
      <c r="E368" s="7"/>
    </row>
    <row r="369" spans="5:5" ht="14.25" customHeight="1" x14ac:dyDescent="0.25">
      <c r="E369" s="7"/>
    </row>
    <row r="370" spans="5:5" ht="14.25" customHeight="1" x14ac:dyDescent="0.25">
      <c r="E370" s="7"/>
    </row>
    <row r="371" spans="5:5" ht="14.25" customHeight="1" x14ac:dyDescent="0.25">
      <c r="E371" s="7"/>
    </row>
    <row r="372" spans="5:5" ht="14.25" customHeight="1" x14ac:dyDescent="0.25">
      <c r="E372" s="7"/>
    </row>
    <row r="373" spans="5:5" ht="14.25" customHeight="1" x14ac:dyDescent="0.25">
      <c r="E373" s="7"/>
    </row>
    <row r="374" spans="5:5" ht="14.25" customHeight="1" x14ac:dyDescent="0.25">
      <c r="E374" s="7"/>
    </row>
    <row r="375" spans="5:5" ht="14.25" customHeight="1" x14ac:dyDescent="0.25">
      <c r="E375" s="7"/>
    </row>
    <row r="376" spans="5:5" ht="14.25" customHeight="1" x14ac:dyDescent="0.25">
      <c r="E376" s="7"/>
    </row>
    <row r="377" spans="5:5" ht="14.25" customHeight="1" x14ac:dyDescent="0.25">
      <c r="E377" s="7"/>
    </row>
    <row r="378" spans="5:5" ht="14.25" customHeight="1" x14ac:dyDescent="0.25">
      <c r="E378" s="7"/>
    </row>
    <row r="379" spans="5:5" ht="14.25" customHeight="1" x14ac:dyDescent="0.25">
      <c r="E379" s="7"/>
    </row>
    <row r="380" spans="5:5" ht="14.25" customHeight="1" x14ac:dyDescent="0.25">
      <c r="E380" s="7"/>
    </row>
    <row r="381" spans="5:5" ht="14.25" customHeight="1" x14ac:dyDescent="0.25">
      <c r="E381" s="7"/>
    </row>
    <row r="382" spans="5:5" ht="14.25" customHeight="1" x14ac:dyDescent="0.25">
      <c r="E382" s="7"/>
    </row>
    <row r="383" spans="5:5" ht="14.25" customHeight="1" x14ac:dyDescent="0.25">
      <c r="E383" s="7"/>
    </row>
    <row r="384" spans="5:5" ht="14.25" customHeight="1" x14ac:dyDescent="0.25">
      <c r="E384" s="7"/>
    </row>
    <row r="385" spans="5:5" ht="14.25" customHeight="1" x14ac:dyDescent="0.25">
      <c r="E385" s="7"/>
    </row>
    <row r="386" spans="5:5" ht="14.25" customHeight="1" x14ac:dyDescent="0.25">
      <c r="E386" s="7"/>
    </row>
    <row r="387" spans="5:5" ht="14.25" customHeight="1" x14ac:dyDescent="0.25">
      <c r="E387" s="7"/>
    </row>
    <row r="388" spans="5:5" ht="14.25" customHeight="1" x14ac:dyDescent="0.25">
      <c r="E388" s="7"/>
    </row>
    <row r="389" spans="5:5" ht="14.25" customHeight="1" x14ac:dyDescent="0.25">
      <c r="E389" s="7"/>
    </row>
    <row r="390" spans="5:5" ht="14.25" customHeight="1" x14ac:dyDescent="0.25">
      <c r="E390" s="7"/>
    </row>
    <row r="391" spans="5:5" ht="14.25" customHeight="1" x14ac:dyDescent="0.25">
      <c r="E391" s="7"/>
    </row>
    <row r="392" spans="5:5" ht="14.25" customHeight="1" x14ac:dyDescent="0.25">
      <c r="E392" s="7"/>
    </row>
    <row r="393" spans="5:5" ht="14.25" customHeight="1" x14ac:dyDescent="0.25">
      <c r="E393" s="7"/>
    </row>
    <row r="394" spans="5:5" ht="14.25" customHeight="1" x14ac:dyDescent="0.25">
      <c r="E394" s="7"/>
    </row>
    <row r="395" spans="5:5" ht="14.25" customHeight="1" x14ac:dyDescent="0.25">
      <c r="E395" s="7"/>
    </row>
    <row r="396" spans="5:5" ht="14.25" customHeight="1" x14ac:dyDescent="0.25">
      <c r="E396" s="7"/>
    </row>
    <row r="397" spans="5:5" ht="14.25" customHeight="1" x14ac:dyDescent="0.25">
      <c r="E397" s="7"/>
    </row>
    <row r="398" spans="5:5" ht="14.25" customHeight="1" x14ac:dyDescent="0.25">
      <c r="E398" s="7"/>
    </row>
    <row r="399" spans="5:5" ht="14.25" customHeight="1" x14ac:dyDescent="0.25">
      <c r="E399" s="7"/>
    </row>
    <row r="400" spans="5:5" ht="14.25" customHeight="1" x14ac:dyDescent="0.25">
      <c r="E400" s="7"/>
    </row>
    <row r="401" spans="5:5" ht="14.25" customHeight="1" x14ac:dyDescent="0.25">
      <c r="E401" s="7"/>
    </row>
    <row r="402" spans="5:5" ht="14.25" customHeight="1" x14ac:dyDescent="0.25">
      <c r="E402" s="7"/>
    </row>
    <row r="403" spans="5:5" ht="14.25" customHeight="1" x14ac:dyDescent="0.25">
      <c r="E403" s="7"/>
    </row>
    <row r="404" spans="5:5" ht="14.25" customHeight="1" x14ac:dyDescent="0.25">
      <c r="E404" s="7"/>
    </row>
    <row r="405" spans="5:5" ht="14.25" customHeight="1" x14ac:dyDescent="0.25">
      <c r="E405" s="7"/>
    </row>
    <row r="406" spans="5:5" ht="14.25" customHeight="1" x14ac:dyDescent="0.25">
      <c r="E406" s="7"/>
    </row>
    <row r="407" spans="5:5" ht="14.25" customHeight="1" x14ac:dyDescent="0.25">
      <c r="E407" s="7"/>
    </row>
    <row r="408" spans="5:5" ht="14.25" customHeight="1" x14ac:dyDescent="0.25">
      <c r="E408" s="7"/>
    </row>
    <row r="409" spans="5:5" ht="14.25" customHeight="1" x14ac:dyDescent="0.25">
      <c r="E409" s="7"/>
    </row>
    <row r="410" spans="5:5" ht="14.25" customHeight="1" x14ac:dyDescent="0.25">
      <c r="E410" s="7"/>
    </row>
    <row r="411" spans="5:5" ht="14.25" customHeight="1" x14ac:dyDescent="0.25">
      <c r="E411" s="7"/>
    </row>
    <row r="412" spans="5:5" ht="14.25" customHeight="1" x14ac:dyDescent="0.25">
      <c r="E412" s="7"/>
    </row>
    <row r="413" spans="5:5" ht="14.25" customHeight="1" x14ac:dyDescent="0.25">
      <c r="E413" s="7"/>
    </row>
    <row r="414" spans="5:5" ht="14.25" customHeight="1" x14ac:dyDescent="0.25">
      <c r="E414" s="7"/>
    </row>
    <row r="415" spans="5:5" ht="14.25" customHeight="1" x14ac:dyDescent="0.25">
      <c r="E415" s="7"/>
    </row>
    <row r="416" spans="5:5" ht="14.25" customHeight="1" x14ac:dyDescent="0.25">
      <c r="E416" s="7"/>
    </row>
    <row r="417" spans="5:5" ht="14.25" customHeight="1" x14ac:dyDescent="0.25">
      <c r="E417" s="7"/>
    </row>
    <row r="418" spans="5:5" ht="14.25" customHeight="1" x14ac:dyDescent="0.25">
      <c r="E418" s="7"/>
    </row>
    <row r="419" spans="5:5" ht="14.25" customHeight="1" x14ac:dyDescent="0.25">
      <c r="E419" s="7"/>
    </row>
    <row r="420" spans="5:5" ht="14.25" customHeight="1" x14ac:dyDescent="0.25">
      <c r="E420" s="7"/>
    </row>
    <row r="421" spans="5:5" ht="14.25" customHeight="1" x14ac:dyDescent="0.25">
      <c r="E421" s="7"/>
    </row>
    <row r="422" spans="5:5" ht="14.25" customHeight="1" x14ac:dyDescent="0.25">
      <c r="E422" s="7"/>
    </row>
    <row r="423" spans="5:5" ht="14.25" customHeight="1" x14ac:dyDescent="0.25">
      <c r="E423" s="7"/>
    </row>
    <row r="424" spans="5:5" ht="14.25" customHeight="1" x14ac:dyDescent="0.25">
      <c r="E424" s="7"/>
    </row>
    <row r="425" spans="5:5" ht="14.25" customHeight="1" x14ac:dyDescent="0.25">
      <c r="E425" s="7"/>
    </row>
    <row r="426" spans="5:5" ht="14.25" customHeight="1" x14ac:dyDescent="0.25">
      <c r="E426" s="7"/>
    </row>
    <row r="427" spans="5:5" ht="14.25" customHeight="1" x14ac:dyDescent="0.25">
      <c r="E427" s="7"/>
    </row>
    <row r="428" spans="5:5" ht="14.25" customHeight="1" x14ac:dyDescent="0.25">
      <c r="E428" s="7"/>
    </row>
    <row r="429" spans="5:5" ht="14.25" customHeight="1" x14ac:dyDescent="0.25">
      <c r="E429" s="7"/>
    </row>
    <row r="430" spans="5:5" ht="14.25" customHeight="1" x14ac:dyDescent="0.25">
      <c r="E430" s="7"/>
    </row>
    <row r="431" spans="5:5" ht="14.25" customHeight="1" x14ac:dyDescent="0.25">
      <c r="E431" s="7"/>
    </row>
    <row r="432" spans="5:5" ht="14.25" customHeight="1" x14ac:dyDescent="0.25">
      <c r="E432" s="7"/>
    </row>
    <row r="433" spans="5:5" ht="14.25" customHeight="1" x14ac:dyDescent="0.25">
      <c r="E433" s="7"/>
    </row>
    <row r="434" spans="5:5" ht="14.25" customHeight="1" x14ac:dyDescent="0.25">
      <c r="E434" s="7"/>
    </row>
    <row r="435" spans="5:5" ht="14.25" customHeight="1" x14ac:dyDescent="0.25">
      <c r="E435" s="7"/>
    </row>
    <row r="436" spans="5:5" ht="14.25" customHeight="1" x14ac:dyDescent="0.25">
      <c r="E436" s="7"/>
    </row>
    <row r="437" spans="5:5" ht="14.25" customHeight="1" x14ac:dyDescent="0.25">
      <c r="E437" s="7"/>
    </row>
    <row r="438" spans="5:5" ht="14.25" customHeight="1" x14ac:dyDescent="0.25">
      <c r="E438" s="7"/>
    </row>
    <row r="439" spans="5:5" ht="14.25" customHeight="1" x14ac:dyDescent="0.25">
      <c r="E439" s="7"/>
    </row>
    <row r="440" spans="5:5" ht="14.25" customHeight="1" x14ac:dyDescent="0.25">
      <c r="E440" s="7"/>
    </row>
    <row r="441" spans="5:5" ht="14.25" customHeight="1" x14ac:dyDescent="0.25">
      <c r="E441" s="7"/>
    </row>
    <row r="442" spans="5:5" ht="14.25" customHeight="1" x14ac:dyDescent="0.25">
      <c r="E442" s="7"/>
    </row>
    <row r="443" spans="5:5" ht="14.25" customHeight="1" x14ac:dyDescent="0.25">
      <c r="E443" s="7"/>
    </row>
    <row r="444" spans="5:5" ht="14.25" customHeight="1" x14ac:dyDescent="0.25">
      <c r="E444" s="7"/>
    </row>
    <row r="445" spans="5:5" ht="14.25" customHeight="1" x14ac:dyDescent="0.25">
      <c r="E445" s="7"/>
    </row>
    <row r="446" spans="5:5" ht="14.25" customHeight="1" x14ac:dyDescent="0.25">
      <c r="E446" s="7"/>
    </row>
    <row r="447" spans="5:5" ht="14.25" customHeight="1" x14ac:dyDescent="0.25">
      <c r="E447" s="7"/>
    </row>
    <row r="448" spans="5:5" ht="14.25" customHeight="1" x14ac:dyDescent="0.25">
      <c r="E448" s="7"/>
    </row>
    <row r="449" spans="5:5" ht="14.25" customHeight="1" x14ac:dyDescent="0.25">
      <c r="E449" s="7"/>
    </row>
    <row r="450" spans="5:5" ht="14.25" customHeight="1" x14ac:dyDescent="0.25">
      <c r="E450" s="7"/>
    </row>
    <row r="451" spans="5:5" ht="14.25" customHeight="1" x14ac:dyDescent="0.25">
      <c r="E451" s="7"/>
    </row>
    <row r="452" spans="5:5" ht="14.25" customHeight="1" x14ac:dyDescent="0.25">
      <c r="E452" s="7"/>
    </row>
    <row r="453" spans="5:5" ht="14.25" customHeight="1" x14ac:dyDescent="0.25">
      <c r="E453" s="7"/>
    </row>
    <row r="454" spans="5:5" ht="14.25" customHeight="1" x14ac:dyDescent="0.25">
      <c r="E454" s="7"/>
    </row>
    <row r="455" spans="5:5" ht="14.25" customHeight="1" x14ac:dyDescent="0.25">
      <c r="E455" s="7"/>
    </row>
    <row r="456" spans="5:5" ht="14.25" customHeight="1" x14ac:dyDescent="0.25">
      <c r="E456" s="7"/>
    </row>
    <row r="457" spans="5:5" ht="14.25" customHeight="1" x14ac:dyDescent="0.25">
      <c r="E457" s="7"/>
    </row>
    <row r="458" spans="5:5" ht="14.25" customHeight="1" x14ac:dyDescent="0.25">
      <c r="E458" s="7"/>
    </row>
    <row r="459" spans="5:5" ht="14.25" customHeight="1" x14ac:dyDescent="0.25">
      <c r="E459" s="7"/>
    </row>
    <row r="460" spans="5:5" ht="14.25" customHeight="1" x14ac:dyDescent="0.25">
      <c r="E460" s="7"/>
    </row>
    <row r="461" spans="5:5" ht="14.25" customHeight="1" x14ac:dyDescent="0.25">
      <c r="E461" s="7"/>
    </row>
    <row r="462" spans="5:5" ht="14.25" customHeight="1" x14ac:dyDescent="0.25">
      <c r="E462" s="7"/>
    </row>
    <row r="463" spans="5:5" ht="14.25" customHeight="1" x14ac:dyDescent="0.25">
      <c r="E463" s="7"/>
    </row>
    <row r="464" spans="5:5" ht="14.25" customHeight="1" x14ac:dyDescent="0.25">
      <c r="E464" s="7"/>
    </row>
    <row r="465" spans="5:5" ht="14.25" customHeight="1" x14ac:dyDescent="0.25">
      <c r="E465" s="7"/>
    </row>
    <row r="466" spans="5:5" ht="14.25" customHeight="1" x14ac:dyDescent="0.25">
      <c r="E466" s="7"/>
    </row>
    <row r="467" spans="5:5" ht="14.25" customHeight="1" x14ac:dyDescent="0.25">
      <c r="E467" s="7"/>
    </row>
    <row r="468" spans="5:5" ht="14.25" customHeight="1" x14ac:dyDescent="0.25">
      <c r="E468" s="7"/>
    </row>
    <row r="469" spans="5:5" ht="14.25" customHeight="1" x14ac:dyDescent="0.25">
      <c r="E469" s="7"/>
    </row>
    <row r="470" spans="5:5" ht="14.25" customHeight="1" x14ac:dyDescent="0.25">
      <c r="E470" s="7"/>
    </row>
    <row r="471" spans="5:5" ht="14.25" customHeight="1" x14ac:dyDescent="0.25">
      <c r="E471" s="7"/>
    </row>
    <row r="472" spans="5:5" ht="14.25" customHeight="1" x14ac:dyDescent="0.25">
      <c r="E472" s="7"/>
    </row>
    <row r="473" spans="5:5" ht="14.25" customHeight="1" x14ac:dyDescent="0.25">
      <c r="E473" s="7"/>
    </row>
    <row r="474" spans="5:5" ht="14.25" customHeight="1" x14ac:dyDescent="0.25">
      <c r="E474" s="7"/>
    </row>
    <row r="475" spans="5:5" ht="14.25" customHeight="1" x14ac:dyDescent="0.25">
      <c r="E475" s="7"/>
    </row>
    <row r="476" spans="5:5" ht="14.25" customHeight="1" x14ac:dyDescent="0.25">
      <c r="E476" s="7"/>
    </row>
    <row r="477" spans="5:5" ht="14.25" customHeight="1" x14ac:dyDescent="0.25">
      <c r="E477" s="7"/>
    </row>
    <row r="478" spans="5:5" ht="14.25" customHeight="1" x14ac:dyDescent="0.25">
      <c r="E478" s="7"/>
    </row>
    <row r="479" spans="5:5" ht="14.25" customHeight="1" x14ac:dyDescent="0.25">
      <c r="E479" s="7"/>
    </row>
    <row r="480" spans="5:5" ht="14.25" customHeight="1" x14ac:dyDescent="0.25">
      <c r="E480" s="7"/>
    </row>
    <row r="481" spans="5:5" ht="14.25" customHeight="1" x14ac:dyDescent="0.25">
      <c r="E481" s="7"/>
    </row>
    <row r="482" spans="5:5" ht="14.25" customHeight="1" x14ac:dyDescent="0.25">
      <c r="E482" s="7"/>
    </row>
    <row r="483" spans="5:5" ht="14.25" customHeight="1" x14ac:dyDescent="0.25">
      <c r="E483" s="7"/>
    </row>
    <row r="484" spans="5:5" ht="14.25" customHeight="1" x14ac:dyDescent="0.25">
      <c r="E484" s="7"/>
    </row>
    <row r="485" spans="5:5" ht="14.25" customHeight="1" x14ac:dyDescent="0.25">
      <c r="E485" s="7"/>
    </row>
    <row r="486" spans="5:5" ht="14.25" customHeight="1" x14ac:dyDescent="0.25">
      <c r="E486" s="7"/>
    </row>
    <row r="487" spans="5:5" ht="14.25" customHeight="1" x14ac:dyDescent="0.25">
      <c r="E487" s="7"/>
    </row>
    <row r="488" spans="5:5" ht="14.25" customHeight="1" x14ac:dyDescent="0.25">
      <c r="E488" s="7"/>
    </row>
    <row r="489" spans="5:5" ht="14.25" customHeight="1" x14ac:dyDescent="0.25">
      <c r="E489" s="7"/>
    </row>
    <row r="490" spans="5:5" ht="14.25" customHeight="1" x14ac:dyDescent="0.25">
      <c r="E490" s="7"/>
    </row>
    <row r="491" spans="5:5" ht="14.25" customHeight="1" x14ac:dyDescent="0.25">
      <c r="E491" s="7"/>
    </row>
    <row r="492" spans="5:5" ht="14.25" customHeight="1" x14ac:dyDescent="0.25">
      <c r="E492" s="7"/>
    </row>
    <row r="493" spans="5:5" ht="14.25" customHeight="1" x14ac:dyDescent="0.25">
      <c r="E493" s="7"/>
    </row>
    <row r="494" spans="5:5" ht="14.25" customHeight="1" x14ac:dyDescent="0.25">
      <c r="E494" s="7"/>
    </row>
    <row r="495" spans="5:5" ht="14.25" customHeight="1" x14ac:dyDescent="0.25">
      <c r="E495" s="7"/>
    </row>
    <row r="496" spans="5:5" ht="14.25" customHeight="1" x14ac:dyDescent="0.25">
      <c r="E496" s="7"/>
    </row>
    <row r="497" spans="5:5" ht="14.25" customHeight="1" x14ac:dyDescent="0.25">
      <c r="E497" s="7"/>
    </row>
    <row r="498" spans="5:5" ht="14.25" customHeight="1" x14ac:dyDescent="0.25">
      <c r="E498" s="7"/>
    </row>
    <row r="499" spans="5:5" ht="14.25" customHeight="1" x14ac:dyDescent="0.25">
      <c r="E499" s="7"/>
    </row>
    <row r="500" spans="5:5" ht="14.25" customHeight="1" x14ac:dyDescent="0.25">
      <c r="E500" s="7"/>
    </row>
    <row r="501" spans="5:5" ht="14.25" customHeight="1" x14ac:dyDescent="0.25">
      <c r="E501" s="7"/>
    </row>
    <row r="502" spans="5:5" ht="14.25" customHeight="1" x14ac:dyDescent="0.25">
      <c r="E502" s="7"/>
    </row>
    <row r="503" spans="5:5" ht="14.25" customHeight="1" x14ac:dyDescent="0.25">
      <c r="E503" s="7"/>
    </row>
    <row r="504" spans="5:5" ht="14.25" customHeight="1" x14ac:dyDescent="0.25">
      <c r="E504" s="7"/>
    </row>
    <row r="505" spans="5:5" ht="14.25" customHeight="1" x14ac:dyDescent="0.25">
      <c r="E505" s="7"/>
    </row>
    <row r="506" spans="5:5" ht="14.25" customHeight="1" x14ac:dyDescent="0.25">
      <c r="E506" s="7"/>
    </row>
    <row r="507" spans="5:5" ht="14.25" customHeight="1" x14ac:dyDescent="0.25">
      <c r="E507" s="7"/>
    </row>
    <row r="508" spans="5:5" ht="14.25" customHeight="1" x14ac:dyDescent="0.25">
      <c r="E508" s="7"/>
    </row>
    <row r="509" spans="5:5" ht="14.25" customHeight="1" x14ac:dyDescent="0.25">
      <c r="E509" s="7"/>
    </row>
    <row r="510" spans="5:5" ht="14.25" customHeight="1" x14ac:dyDescent="0.25">
      <c r="E510" s="7"/>
    </row>
    <row r="511" spans="5:5" ht="14.25" customHeight="1" x14ac:dyDescent="0.25">
      <c r="E511" s="7"/>
    </row>
    <row r="512" spans="5:5" ht="14.25" customHeight="1" x14ac:dyDescent="0.25">
      <c r="E512" s="7"/>
    </row>
    <row r="513" spans="5:5" ht="14.25" customHeight="1" x14ac:dyDescent="0.25">
      <c r="E513" s="7"/>
    </row>
    <row r="514" spans="5:5" ht="14.25" customHeight="1" x14ac:dyDescent="0.25">
      <c r="E514" s="7"/>
    </row>
    <row r="515" spans="5:5" ht="14.25" customHeight="1" x14ac:dyDescent="0.25">
      <c r="E515" s="7"/>
    </row>
    <row r="516" spans="5:5" ht="14.25" customHeight="1" x14ac:dyDescent="0.25">
      <c r="E516" s="7"/>
    </row>
    <row r="517" spans="5:5" ht="14.25" customHeight="1" x14ac:dyDescent="0.25">
      <c r="E517" s="7"/>
    </row>
    <row r="518" spans="5:5" ht="14.25" customHeight="1" x14ac:dyDescent="0.25">
      <c r="E518" s="7"/>
    </row>
    <row r="519" spans="5:5" ht="14.25" customHeight="1" x14ac:dyDescent="0.25">
      <c r="E519" s="7"/>
    </row>
    <row r="520" spans="5:5" ht="14.25" customHeight="1" x14ac:dyDescent="0.25">
      <c r="E520" s="7"/>
    </row>
    <row r="521" spans="5:5" ht="14.25" customHeight="1" x14ac:dyDescent="0.25">
      <c r="E521" s="7"/>
    </row>
    <row r="522" spans="5:5" ht="14.25" customHeight="1" x14ac:dyDescent="0.25">
      <c r="E522" s="7"/>
    </row>
    <row r="523" spans="5:5" ht="14.25" customHeight="1" x14ac:dyDescent="0.25">
      <c r="E523" s="7"/>
    </row>
    <row r="524" spans="5:5" ht="14.25" customHeight="1" x14ac:dyDescent="0.25">
      <c r="E524" s="7"/>
    </row>
    <row r="525" spans="5:5" ht="14.25" customHeight="1" x14ac:dyDescent="0.25">
      <c r="E525" s="7"/>
    </row>
    <row r="526" spans="5:5" ht="14.25" customHeight="1" x14ac:dyDescent="0.25">
      <c r="E526" s="7"/>
    </row>
    <row r="527" spans="5:5" ht="14.25" customHeight="1" x14ac:dyDescent="0.25">
      <c r="E527" s="7"/>
    </row>
    <row r="528" spans="5:5" ht="14.25" customHeight="1" x14ac:dyDescent="0.25">
      <c r="E528" s="7"/>
    </row>
    <row r="529" spans="5:5" ht="14.25" customHeight="1" x14ac:dyDescent="0.25">
      <c r="E529" s="7"/>
    </row>
    <row r="530" spans="5:5" ht="14.25" customHeight="1" x14ac:dyDescent="0.25">
      <c r="E530" s="7"/>
    </row>
    <row r="531" spans="5:5" ht="14.25" customHeight="1" x14ac:dyDescent="0.25">
      <c r="E531" s="7"/>
    </row>
    <row r="532" spans="5:5" ht="14.25" customHeight="1" x14ac:dyDescent="0.25">
      <c r="E532" s="7"/>
    </row>
    <row r="533" spans="5:5" ht="14.25" customHeight="1" x14ac:dyDescent="0.25">
      <c r="E533" s="7"/>
    </row>
    <row r="534" spans="5:5" ht="14.25" customHeight="1" x14ac:dyDescent="0.25">
      <c r="E534" s="7"/>
    </row>
    <row r="535" spans="5:5" ht="14.25" customHeight="1" x14ac:dyDescent="0.25">
      <c r="E535" s="7"/>
    </row>
    <row r="536" spans="5:5" ht="14.25" customHeight="1" x14ac:dyDescent="0.25">
      <c r="E536" s="7"/>
    </row>
    <row r="537" spans="5:5" ht="14.25" customHeight="1" x14ac:dyDescent="0.25">
      <c r="E537" s="7"/>
    </row>
    <row r="538" spans="5:5" ht="14.25" customHeight="1" x14ac:dyDescent="0.25">
      <c r="E538" s="7"/>
    </row>
    <row r="539" spans="5:5" ht="14.25" customHeight="1" x14ac:dyDescent="0.25">
      <c r="E539" s="7"/>
    </row>
    <row r="540" spans="5:5" ht="14.25" customHeight="1" x14ac:dyDescent="0.25">
      <c r="E540" s="7"/>
    </row>
    <row r="541" spans="5:5" ht="14.25" customHeight="1" x14ac:dyDescent="0.25">
      <c r="E541" s="7"/>
    </row>
    <row r="542" spans="5:5" ht="14.25" customHeight="1" x14ac:dyDescent="0.25">
      <c r="E542" s="7"/>
    </row>
    <row r="543" spans="5:5" ht="14.25" customHeight="1" x14ac:dyDescent="0.25">
      <c r="E543" s="7"/>
    </row>
    <row r="544" spans="5:5" ht="14.25" customHeight="1" x14ac:dyDescent="0.25">
      <c r="E544" s="7"/>
    </row>
    <row r="545" spans="5:5" ht="14.25" customHeight="1" x14ac:dyDescent="0.25">
      <c r="E545" s="7"/>
    </row>
    <row r="546" spans="5:5" ht="14.25" customHeight="1" x14ac:dyDescent="0.25">
      <c r="E546" s="7"/>
    </row>
    <row r="547" spans="5:5" ht="14.25" customHeight="1" x14ac:dyDescent="0.25">
      <c r="E547" s="7"/>
    </row>
    <row r="548" spans="5:5" ht="14.25" customHeight="1" x14ac:dyDescent="0.25">
      <c r="E548" s="7"/>
    </row>
    <row r="549" spans="5:5" ht="14.25" customHeight="1" x14ac:dyDescent="0.25">
      <c r="E549" s="7"/>
    </row>
    <row r="550" spans="5:5" ht="14.25" customHeight="1" x14ac:dyDescent="0.25">
      <c r="E550" s="7"/>
    </row>
    <row r="551" spans="5:5" ht="14.25" customHeight="1" x14ac:dyDescent="0.25">
      <c r="E551" s="7"/>
    </row>
    <row r="552" spans="5:5" ht="14.25" customHeight="1" x14ac:dyDescent="0.25">
      <c r="E552" s="7"/>
    </row>
    <row r="553" spans="5:5" ht="14.25" customHeight="1" x14ac:dyDescent="0.25">
      <c r="E553" s="7"/>
    </row>
    <row r="554" spans="5:5" ht="14.25" customHeight="1" x14ac:dyDescent="0.25">
      <c r="E554" s="7"/>
    </row>
    <row r="555" spans="5:5" ht="14.25" customHeight="1" x14ac:dyDescent="0.25">
      <c r="E555" s="7"/>
    </row>
    <row r="556" spans="5:5" ht="14.25" customHeight="1" x14ac:dyDescent="0.25">
      <c r="E556" s="7"/>
    </row>
    <row r="557" spans="5:5" ht="14.25" customHeight="1" x14ac:dyDescent="0.25">
      <c r="E557" s="7"/>
    </row>
    <row r="558" spans="5:5" ht="14.25" customHeight="1" x14ac:dyDescent="0.25">
      <c r="E558" s="7"/>
    </row>
    <row r="559" spans="5:5" ht="14.25" customHeight="1" x14ac:dyDescent="0.25">
      <c r="E559" s="7"/>
    </row>
    <row r="560" spans="5:5" ht="14.25" customHeight="1" x14ac:dyDescent="0.25">
      <c r="E560" s="7"/>
    </row>
    <row r="561" spans="5:5" ht="14.25" customHeight="1" x14ac:dyDescent="0.25">
      <c r="E561" s="7"/>
    </row>
    <row r="562" spans="5:5" ht="14.25" customHeight="1" x14ac:dyDescent="0.25">
      <c r="E562" s="7"/>
    </row>
    <row r="563" spans="5:5" ht="14.25" customHeight="1" x14ac:dyDescent="0.25">
      <c r="E563" s="7"/>
    </row>
    <row r="564" spans="5:5" ht="14.25" customHeight="1" x14ac:dyDescent="0.25">
      <c r="E564" s="7"/>
    </row>
    <row r="565" spans="5:5" ht="14.25" customHeight="1" x14ac:dyDescent="0.25">
      <c r="E565" s="7"/>
    </row>
    <row r="566" spans="5:5" ht="14.25" customHeight="1" x14ac:dyDescent="0.25">
      <c r="E566" s="7"/>
    </row>
    <row r="567" spans="5:5" ht="14.25" customHeight="1" x14ac:dyDescent="0.25">
      <c r="E567" s="7"/>
    </row>
    <row r="568" spans="5:5" ht="14.25" customHeight="1" x14ac:dyDescent="0.25">
      <c r="E568" s="7"/>
    </row>
    <row r="569" spans="5:5" ht="14.25" customHeight="1" x14ac:dyDescent="0.25">
      <c r="E569" s="7"/>
    </row>
    <row r="570" spans="5:5" ht="14.25" customHeight="1" x14ac:dyDescent="0.25">
      <c r="E570" s="7"/>
    </row>
    <row r="571" spans="5:5" ht="14.25" customHeight="1" x14ac:dyDescent="0.25">
      <c r="E571" s="7"/>
    </row>
    <row r="572" spans="5:5" ht="14.25" customHeight="1" x14ac:dyDescent="0.25">
      <c r="E572" s="7"/>
    </row>
    <row r="573" spans="5:5" ht="14.25" customHeight="1" x14ac:dyDescent="0.25">
      <c r="E573" s="7"/>
    </row>
    <row r="574" spans="5:5" ht="14.25" customHeight="1" x14ac:dyDescent="0.25">
      <c r="E574" s="7"/>
    </row>
    <row r="575" spans="5:5" ht="14.25" customHeight="1" x14ac:dyDescent="0.25">
      <c r="E575" s="7"/>
    </row>
    <row r="576" spans="5:5" ht="14.25" customHeight="1" x14ac:dyDescent="0.25">
      <c r="E576" s="7"/>
    </row>
    <row r="577" spans="5:5" ht="14.25" customHeight="1" x14ac:dyDescent="0.25">
      <c r="E577" s="7"/>
    </row>
    <row r="578" spans="5:5" ht="14.25" customHeight="1" x14ac:dyDescent="0.25">
      <c r="E578" s="7"/>
    </row>
    <row r="579" spans="5:5" ht="14.25" customHeight="1" x14ac:dyDescent="0.25">
      <c r="E579" s="7"/>
    </row>
    <row r="580" spans="5:5" ht="14.25" customHeight="1" x14ac:dyDescent="0.25">
      <c r="E580" s="7"/>
    </row>
    <row r="581" spans="5:5" ht="14.25" customHeight="1" x14ac:dyDescent="0.25">
      <c r="E581" s="7"/>
    </row>
    <row r="582" spans="5:5" ht="14.25" customHeight="1" x14ac:dyDescent="0.25">
      <c r="E582" s="7"/>
    </row>
    <row r="583" spans="5:5" ht="14.25" customHeight="1" x14ac:dyDescent="0.25">
      <c r="E583" s="7"/>
    </row>
    <row r="584" spans="5:5" ht="14.25" customHeight="1" x14ac:dyDescent="0.25">
      <c r="E584" s="7"/>
    </row>
    <row r="585" spans="5:5" ht="14.25" customHeight="1" x14ac:dyDescent="0.25">
      <c r="E585" s="7"/>
    </row>
    <row r="586" spans="5:5" ht="14.25" customHeight="1" x14ac:dyDescent="0.25">
      <c r="E586" s="7"/>
    </row>
    <row r="587" spans="5:5" ht="14.25" customHeight="1" x14ac:dyDescent="0.25">
      <c r="E587" s="7"/>
    </row>
    <row r="588" spans="5:5" ht="14.25" customHeight="1" x14ac:dyDescent="0.25">
      <c r="E588" s="7"/>
    </row>
    <row r="589" spans="5:5" ht="14.25" customHeight="1" x14ac:dyDescent="0.25">
      <c r="E589" s="7"/>
    </row>
    <row r="590" spans="5:5" ht="14.25" customHeight="1" x14ac:dyDescent="0.25">
      <c r="E590" s="7"/>
    </row>
    <row r="591" spans="5:5" ht="14.25" customHeight="1" x14ac:dyDescent="0.25">
      <c r="E591" s="7"/>
    </row>
    <row r="592" spans="5:5" ht="14.25" customHeight="1" x14ac:dyDescent="0.25">
      <c r="E592" s="7"/>
    </row>
    <row r="593" spans="5:5" ht="14.25" customHeight="1" x14ac:dyDescent="0.25">
      <c r="E593" s="7"/>
    </row>
    <row r="594" spans="5:5" ht="14.25" customHeight="1" x14ac:dyDescent="0.25">
      <c r="E594" s="7"/>
    </row>
    <row r="595" spans="5:5" ht="14.25" customHeight="1" x14ac:dyDescent="0.25">
      <c r="E595" s="7"/>
    </row>
    <row r="596" spans="5:5" ht="14.25" customHeight="1" x14ac:dyDescent="0.25">
      <c r="E596" s="7"/>
    </row>
    <row r="597" spans="5:5" ht="14.25" customHeight="1" x14ac:dyDescent="0.25">
      <c r="E597" s="7"/>
    </row>
    <row r="598" spans="5:5" ht="14.25" customHeight="1" x14ac:dyDescent="0.25">
      <c r="E598" s="7"/>
    </row>
    <row r="599" spans="5:5" ht="14.25" customHeight="1" x14ac:dyDescent="0.25">
      <c r="E599" s="7"/>
    </row>
    <row r="600" spans="5:5" ht="14.25" customHeight="1" x14ac:dyDescent="0.25">
      <c r="E600" s="7"/>
    </row>
    <row r="601" spans="5:5" ht="14.25" customHeight="1" x14ac:dyDescent="0.25">
      <c r="E601" s="7"/>
    </row>
    <row r="602" spans="5:5" ht="14.25" customHeight="1" x14ac:dyDescent="0.25">
      <c r="E602" s="7"/>
    </row>
    <row r="603" spans="5:5" ht="14.25" customHeight="1" x14ac:dyDescent="0.25">
      <c r="E603" s="7"/>
    </row>
    <row r="604" spans="5:5" ht="14.25" customHeight="1" x14ac:dyDescent="0.25">
      <c r="E604" s="7"/>
    </row>
    <row r="605" spans="5:5" ht="14.25" customHeight="1" x14ac:dyDescent="0.25">
      <c r="E605" s="7"/>
    </row>
    <row r="606" spans="5:5" ht="14.25" customHeight="1" x14ac:dyDescent="0.25">
      <c r="E606" s="7"/>
    </row>
    <row r="607" spans="5:5" ht="14.25" customHeight="1" x14ac:dyDescent="0.25">
      <c r="E607" s="7"/>
    </row>
    <row r="608" spans="5:5" ht="14.25" customHeight="1" x14ac:dyDescent="0.25">
      <c r="E608" s="7"/>
    </row>
    <row r="609" spans="5:5" ht="14.25" customHeight="1" x14ac:dyDescent="0.25">
      <c r="E609" s="7"/>
    </row>
    <row r="610" spans="5:5" ht="14.25" customHeight="1" x14ac:dyDescent="0.25">
      <c r="E610" s="7"/>
    </row>
    <row r="611" spans="5:5" ht="14.25" customHeight="1" x14ac:dyDescent="0.25">
      <c r="E611" s="7"/>
    </row>
    <row r="612" spans="5:5" ht="14.25" customHeight="1" x14ac:dyDescent="0.25">
      <c r="E612" s="7"/>
    </row>
    <row r="613" spans="5:5" ht="14.25" customHeight="1" x14ac:dyDescent="0.25">
      <c r="E613" s="7"/>
    </row>
    <row r="614" spans="5:5" ht="14.25" customHeight="1" x14ac:dyDescent="0.25">
      <c r="E614" s="7"/>
    </row>
    <row r="615" spans="5:5" ht="14.25" customHeight="1" x14ac:dyDescent="0.25">
      <c r="E615" s="7"/>
    </row>
    <row r="616" spans="5:5" ht="14.25" customHeight="1" x14ac:dyDescent="0.25">
      <c r="E616" s="7"/>
    </row>
    <row r="617" spans="5:5" ht="14.25" customHeight="1" x14ac:dyDescent="0.25">
      <c r="E617" s="7"/>
    </row>
    <row r="618" spans="5:5" ht="14.25" customHeight="1" x14ac:dyDescent="0.25">
      <c r="E618" s="7"/>
    </row>
    <row r="619" spans="5:5" ht="14.25" customHeight="1" x14ac:dyDescent="0.25">
      <c r="E619" s="7"/>
    </row>
    <row r="620" spans="5:5" ht="14.25" customHeight="1" x14ac:dyDescent="0.25">
      <c r="E620" s="7"/>
    </row>
    <row r="621" spans="5:5" ht="14.25" customHeight="1" x14ac:dyDescent="0.25">
      <c r="E621" s="7"/>
    </row>
    <row r="622" spans="5:5" ht="14.25" customHeight="1" x14ac:dyDescent="0.25">
      <c r="E622" s="7"/>
    </row>
    <row r="623" spans="5:5" ht="14.25" customHeight="1" x14ac:dyDescent="0.25">
      <c r="E623" s="7"/>
    </row>
    <row r="624" spans="5:5" ht="14.25" customHeight="1" x14ac:dyDescent="0.25">
      <c r="E624" s="7"/>
    </row>
    <row r="625" spans="5:5" ht="14.25" customHeight="1" x14ac:dyDescent="0.25">
      <c r="E625" s="7"/>
    </row>
    <row r="626" spans="5:5" ht="14.25" customHeight="1" x14ac:dyDescent="0.25">
      <c r="E626" s="7"/>
    </row>
    <row r="627" spans="5:5" ht="14.25" customHeight="1" x14ac:dyDescent="0.25">
      <c r="E627" s="7"/>
    </row>
    <row r="628" spans="5:5" ht="14.25" customHeight="1" x14ac:dyDescent="0.25">
      <c r="E628" s="7"/>
    </row>
    <row r="629" spans="5:5" ht="14.25" customHeight="1" x14ac:dyDescent="0.25">
      <c r="E629" s="7"/>
    </row>
    <row r="630" spans="5:5" ht="14.25" customHeight="1" x14ac:dyDescent="0.25">
      <c r="E630" s="7"/>
    </row>
    <row r="631" spans="5:5" ht="14.25" customHeight="1" x14ac:dyDescent="0.25">
      <c r="E631" s="7"/>
    </row>
    <row r="632" spans="5:5" ht="14.25" customHeight="1" x14ac:dyDescent="0.25">
      <c r="E632" s="7"/>
    </row>
    <row r="633" spans="5:5" ht="14.25" customHeight="1" x14ac:dyDescent="0.25">
      <c r="E633" s="7"/>
    </row>
    <row r="634" spans="5:5" ht="14.25" customHeight="1" x14ac:dyDescent="0.25">
      <c r="E634" s="7"/>
    </row>
    <row r="635" spans="5:5" ht="14.25" customHeight="1" x14ac:dyDescent="0.25">
      <c r="E635" s="7"/>
    </row>
    <row r="636" spans="5:5" ht="14.25" customHeight="1" x14ac:dyDescent="0.25">
      <c r="E636" s="7"/>
    </row>
    <row r="637" spans="5:5" ht="14.25" customHeight="1" x14ac:dyDescent="0.25">
      <c r="E637" s="7"/>
    </row>
    <row r="638" spans="5:5" ht="14.25" customHeight="1" x14ac:dyDescent="0.25">
      <c r="E638" s="7"/>
    </row>
    <row r="639" spans="5:5" ht="14.25" customHeight="1" x14ac:dyDescent="0.25">
      <c r="E639" s="7"/>
    </row>
    <row r="640" spans="5:5" ht="14.25" customHeight="1" x14ac:dyDescent="0.25">
      <c r="E640" s="7"/>
    </row>
    <row r="641" spans="5:5" ht="14.25" customHeight="1" x14ac:dyDescent="0.25">
      <c r="E641" s="7"/>
    </row>
    <row r="642" spans="5:5" ht="14.25" customHeight="1" x14ac:dyDescent="0.25">
      <c r="E642" s="7"/>
    </row>
    <row r="643" spans="5:5" ht="14.25" customHeight="1" x14ac:dyDescent="0.25">
      <c r="E643" s="7"/>
    </row>
    <row r="644" spans="5:5" ht="14.25" customHeight="1" x14ac:dyDescent="0.25">
      <c r="E644" s="7"/>
    </row>
    <row r="645" spans="5:5" ht="14.25" customHeight="1" x14ac:dyDescent="0.25">
      <c r="E645" s="7"/>
    </row>
    <row r="646" spans="5:5" ht="14.25" customHeight="1" x14ac:dyDescent="0.25">
      <c r="E646" s="7"/>
    </row>
    <row r="647" spans="5:5" ht="14.25" customHeight="1" x14ac:dyDescent="0.25">
      <c r="E647" s="7"/>
    </row>
    <row r="648" spans="5:5" ht="14.25" customHeight="1" x14ac:dyDescent="0.25">
      <c r="E648" s="7"/>
    </row>
    <row r="649" spans="5:5" ht="14.25" customHeight="1" x14ac:dyDescent="0.25">
      <c r="E649" s="7"/>
    </row>
    <row r="650" spans="5:5" ht="14.25" customHeight="1" x14ac:dyDescent="0.25">
      <c r="E650" s="7"/>
    </row>
    <row r="651" spans="5:5" ht="14.25" customHeight="1" x14ac:dyDescent="0.25">
      <c r="E651" s="7"/>
    </row>
    <row r="652" spans="5:5" ht="14.25" customHeight="1" x14ac:dyDescent="0.25">
      <c r="E652" s="7"/>
    </row>
    <row r="653" spans="5:5" ht="14.25" customHeight="1" x14ac:dyDescent="0.25">
      <c r="E653" s="7"/>
    </row>
    <row r="654" spans="5:5" ht="14.25" customHeight="1" x14ac:dyDescent="0.25">
      <c r="E654" s="7"/>
    </row>
    <row r="655" spans="5:5" ht="14.25" customHeight="1" x14ac:dyDescent="0.25">
      <c r="E655" s="7"/>
    </row>
    <row r="656" spans="5:5" ht="14.25" customHeight="1" x14ac:dyDescent="0.25">
      <c r="E656" s="7"/>
    </row>
    <row r="657" spans="5:5" ht="14.25" customHeight="1" x14ac:dyDescent="0.25">
      <c r="E657" s="7"/>
    </row>
    <row r="658" spans="5:5" ht="14.25" customHeight="1" x14ac:dyDescent="0.25">
      <c r="E658" s="7"/>
    </row>
    <row r="659" spans="5:5" ht="14.25" customHeight="1" x14ac:dyDescent="0.25">
      <c r="E659" s="7"/>
    </row>
    <row r="660" spans="5:5" ht="14.25" customHeight="1" x14ac:dyDescent="0.25">
      <c r="E660" s="7"/>
    </row>
    <row r="661" spans="5:5" ht="14.25" customHeight="1" x14ac:dyDescent="0.25">
      <c r="E661" s="7"/>
    </row>
    <row r="662" spans="5:5" ht="14.25" customHeight="1" x14ac:dyDescent="0.25">
      <c r="E662" s="7"/>
    </row>
    <row r="663" spans="5:5" ht="14.25" customHeight="1" x14ac:dyDescent="0.25">
      <c r="E663" s="7"/>
    </row>
    <row r="664" spans="5:5" ht="14.25" customHeight="1" x14ac:dyDescent="0.25">
      <c r="E664" s="7"/>
    </row>
    <row r="665" spans="5:5" ht="14.25" customHeight="1" x14ac:dyDescent="0.25">
      <c r="E665" s="7"/>
    </row>
    <row r="666" spans="5:5" ht="14.25" customHeight="1" x14ac:dyDescent="0.25">
      <c r="E666" s="7"/>
    </row>
    <row r="667" spans="5:5" ht="14.25" customHeight="1" x14ac:dyDescent="0.25">
      <c r="E667" s="7"/>
    </row>
    <row r="668" spans="5:5" ht="14.25" customHeight="1" x14ac:dyDescent="0.25">
      <c r="E668" s="7"/>
    </row>
    <row r="669" spans="5:5" ht="14.25" customHeight="1" x14ac:dyDescent="0.25">
      <c r="E669" s="7"/>
    </row>
    <row r="670" spans="5:5" ht="14.25" customHeight="1" x14ac:dyDescent="0.25">
      <c r="E670" s="7"/>
    </row>
    <row r="671" spans="5:5" ht="14.25" customHeight="1" x14ac:dyDescent="0.25">
      <c r="E671" s="7"/>
    </row>
    <row r="672" spans="5:5" ht="14.25" customHeight="1" x14ac:dyDescent="0.25">
      <c r="E672" s="7"/>
    </row>
    <row r="673" spans="5:5" ht="14.25" customHeight="1" x14ac:dyDescent="0.25">
      <c r="E673" s="7"/>
    </row>
    <row r="674" spans="5:5" ht="14.25" customHeight="1" x14ac:dyDescent="0.25">
      <c r="E674" s="7"/>
    </row>
    <row r="675" spans="5:5" ht="14.25" customHeight="1" x14ac:dyDescent="0.25">
      <c r="E675" s="7"/>
    </row>
    <row r="676" spans="5:5" ht="14.25" customHeight="1" x14ac:dyDescent="0.25">
      <c r="E676" s="7"/>
    </row>
    <row r="677" spans="5:5" ht="14.25" customHeight="1" x14ac:dyDescent="0.25">
      <c r="E677" s="7"/>
    </row>
    <row r="678" spans="5:5" ht="14.25" customHeight="1" x14ac:dyDescent="0.25">
      <c r="E678" s="7"/>
    </row>
    <row r="679" spans="5:5" ht="14.25" customHeight="1" x14ac:dyDescent="0.25">
      <c r="E679" s="7"/>
    </row>
    <row r="680" spans="5:5" ht="14.25" customHeight="1" x14ac:dyDescent="0.25">
      <c r="E680" s="7"/>
    </row>
    <row r="681" spans="5:5" ht="14.25" customHeight="1" x14ac:dyDescent="0.25">
      <c r="E681" s="7"/>
    </row>
    <row r="682" spans="5:5" ht="14.25" customHeight="1" x14ac:dyDescent="0.25">
      <c r="E682" s="7"/>
    </row>
    <row r="683" spans="5:5" ht="14.25" customHeight="1" x14ac:dyDescent="0.25">
      <c r="E683" s="7"/>
    </row>
    <row r="684" spans="5:5" ht="14.25" customHeight="1" x14ac:dyDescent="0.25">
      <c r="E684" s="7"/>
    </row>
    <row r="685" spans="5:5" ht="14.25" customHeight="1" x14ac:dyDescent="0.25">
      <c r="E685" s="7"/>
    </row>
    <row r="686" spans="5:5" ht="14.25" customHeight="1" x14ac:dyDescent="0.25">
      <c r="E686" s="7"/>
    </row>
    <row r="687" spans="5:5" ht="14.25" customHeight="1" x14ac:dyDescent="0.25">
      <c r="E687" s="7"/>
    </row>
    <row r="688" spans="5:5" ht="14.25" customHeight="1" x14ac:dyDescent="0.25">
      <c r="E688" s="7"/>
    </row>
    <row r="689" spans="5:5" ht="14.25" customHeight="1" x14ac:dyDescent="0.25">
      <c r="E689" s="7"/>
    </row>
    <row r="690" spans="5:5" ht="14.25" customHeight="1" x14ac:dyDescent="0.25">
      <c r="E690" s="7"/>
    </row>
    <row r="691" spans="5:5" ht="14.25" customHeight="1" x14ac:dyDescent="0.25">
      <c r="E691" s="7"/>
    </row>
    <row r="692" spans="5:5" ht="14.25" customHeight="1" x14ac:dyDescent="0.25">
      <c r="E692" s="7"/>
    </row>
    <row r="693" spans="5:5" ht="14.25" customHeight="1" x14ac:dyDescent="0.25">
      <c r="E693" s="7"/>
    </row>
    <row r="694" spans="5:5" ht="14.25" customHeight="1" x14ac:dyDescent="0.25">
      <c r="E694" s="7"/>
    </row>
    <row r="695" spans="5:5" ht="14.25" customHeight="1" x14ac:dyDescent="0.25">
      <c r="E695" s="7"/>
    </row>
    <row r="696" spans="5:5" ht="14.25" customHeight="1" x14ac:dyDescent="0.25">
      <c r="E696" s="7"/>
    </row>
    <row r="697" spans="5:5" ht="14.25" customHeight="1" x14ac:dyDescent="0.25">
      <c r="E697" s="7"/>
    </row>
    <row r="698" spans="5:5" ht="14.25" customHeight="1" x14ac:dyDescent="0.25">
      <c r="E698" s="7"/>
    </row>
    <row r="699" spans="5:5" ht="14.25" customHeight="1" x14ac:dyDescent="0.25">
      <c r="E699" s="7"/>
    </row>
    <row r="700" spans="5:5" ht="14.25" customHeight="1" x14ac:dyDescent="0.25">
      <c r="E700" s="7"/>
    </row>
    <row r="701" spans="5:5" ht="14.25" customHeight="1" x14ac:dyDescent="0.25">
      <c r="E701" s="7"/>
    </row>
    <row r="702" spans="5:5" ht="14.25" customHeight="1" x14ac:dyDescent="0.25">
      <c r="E702" s="7"/>
    </row>
    <row r="703" spans="5:5" ht="14.25" customHeight="1" x14ac:dyDescent="0.25">
      <c r="E703" s="7"/>
    </row>
    <row r="704" spans="5:5" ht="14.25" customHeight="1" x14ac:dyDescent="0.25">
      <c r="E704" s="7"/>
    </row>
    <row r="705" spans="5:5" ht="14.25" customHeight="1" x14ac:dyDescent="0.25">
      <c r="E705" s="7"/>
    </row>
    <row r="706" spans="5:5" ht="14.25" customHeight="1" x14ac:dyDescent="0.25">
      <c r="E706" s="7"/>
    </row>
    <row r="707" spans="5:5" ht="14.25" customHeight="1" x14ac:dyDescent="0.25">
      <c r="E707" s="7"/>
    </row>
    <row r="708" spans="5:5" ht="14.25" customHeight="1" x14ac:dyDescent="0.25">
      <c r="E708" s="7"/>
    </row>
    <row r="709" spans="5:5" ht="14.25" customHeight="1" x14ac:dyDescent="0.25">
      <c r="E709" s="7"/>
    </row>
    <row r="710" spans="5:5" ht="14.25" customHeight="1" x14ac:dyDescent="0.25">
      <c r="E710" s="7"/>
    </row>
    <row r="711" spans="5:5" ht="14.25" customHeight="1" x14ac:dyDescent="0.25">
      <c r="E711" s="7"/>
    </row>
    <row r="712" spans="5:5" ht="14.25" customHeight="1" x14ac:dyDescent="0.25">
      <c r="E712" s="7"/>
    </row>
    <row r="713" spans="5:5" ht="14.25" customHeight="1" x14ac:dyDescent="0.25">
      <c r="E713" s="7"/>
    </row>
    <row r="714" spans="5:5" ht="14.25" customHeight="1" x14ac:dyDescent="0.25">
      <c r="E714" s="7"/>
    </row>
    <row r="715" spans="5:5" ht="14.25" customHeight="1" x14ac:dyDescent="0.25">
      <c r="E715" s="7"/>
    </row>
    <row r="716" spans="5:5" ht="14.25" customHeight="1" x14ac:dyDescent="0.25">
      <c r="E716" s="7"/>
    </row>
    <row r="717" spans="5:5" ht="14.25" customHeight="1" x14ac:dyDescent="0.25">
      <c r="E717" s="7"/>
    </row>
    <row r="718" spans="5:5" ht="14.25" customHeight="1" x14ac:dyDescent="0.25">
      <c r="E718" s="7"/>
    </row>
    <row r="719" spans="5:5" ht="14.25" customHeight="1" x14ac:dyDescent="0.25">
      <c r="E719" s="7"/>
    </row>
    <row r="720" spans="5:5" ht="14.25" customHeight="1" x14ac:dyDescent="0.25">
      <c r="E720" s="7"/>
    </row>
    <row r="721" spans="5:5" ht="14.25" customHeight="1" x14ac:dyDescent="0.25">
      <c r="E721" s="7"/>
    </row>
    <row r="722" spans="5:5" ht="14.25" customHeight="1" x14ac:dyDescent="0.25">
      <c r="E722" s="7"/>
    </row>
    <row r="723" spans="5:5" ht="14.25" customHeight="1" x14ac:dyDescent="0.25">
      <c r="E723" s="7"/>
    </row>
    <row r="724" spans="5:5" ht="14.25" customHeight="1" x14ac:dyDescent="0.25">
      <c r="E724" s="7"/>
    </row>
    <row r="725" spans="5:5" ht="14.25" customHeight="1" x14ac:dyDescent="0.25">
      <c r="E725" s="7"/>
    </row>
    <row r="726" spans="5:5" ht="14.25" customHeight="1" x14ac:dyDescent="0.25">
      <c r="E726" s="7"/>
    </row>
    <row r="727" spans="5:5" ht="14.25" customHeight="1" x14ac:dyDescent="0.25">
      <c r="E727" s="7"/>
    </row>
    <row r="728" spans="5:5" ht="14.25" customHeight="1" x14ac:dyDescent="0.25">
      <c r="E728" s="7"/>
    </row>
    <row r="729" spans="5:5" ht="14.25" customHeight="1" x14ac:dyDescent="0.25">
      <c r="E729" s="7"/>
    </row>
    <row r="730" spans="5:5" ht="14.25" customHeight="1" x14ac:dyDescent="0.25">
      <c r="E730" s="7"/>
    </row>
    <row r="731" spans="5:5" ht="14.25" customHeight="1" x14ac:dyDescent="0.25">
      <c r="E731" s="7"/>
    </row>
    <row r="732" spans="5:5" ht="14.25" customHeight="1" x14ac:dyDescent="0.25">
      <c r="E732" s="7"/>
    </row>
    <row r="733" spans="5:5" ht="14.25" customHeight="1" x14ac:dyDescent="0.25">
      <c r="E733" s="7"/>
    </row>
    <row r="734" spans="5:5" ht="14.25" customHeight="1" x14ac:dyDescent="0.25">
      <c r="E734" s="7"/>
    </row>
    <row r="735" spans="5:5" ht="14.25" customHeight="1" x14ac:dyDescent="0.25">
      <c r="E735" s="7"/>
    </row>
    <row r="736" spans="5:5" ht="14.25" customHeight="1" x14ac:dyDescent="0.25">
      <c r="E736" s="7"/>
    </row>
    <row r="737" spans="5:5" ht="14.25" customHeight="1" x14ac:dyDescent="0.25">
      <c r="E737" s="7"/>
    </row>
    <row r="738" spans="5:5" ht="14.25" customHeight="1" x14ac:dyDescent="0.25">
      <c r="E738" s="7"/>
    </row>
    <row r="739" spans="5:5" ht="14.25" customHeight="1" x14ac:dyDescent="0.25">
      <c r="E739" s="7"/>
    </row>
    <row r="740" spans="5:5" ht="14.25" customHeight="1" x14ac:dyDescent="0.25">
      <c r="E740" s="7"/>
    </row>
    <row r="741" spans="5:5" ht="14.25" customHeight="1" x14ac:dyDescent="0.25">
      <c r="E741" s="7"/>
    </row>
    <row r="742" spans="5:5" ht="14.25" customHeight="1" x14ac:dyDescent="0.25">
      <c r="E742" s="7"/>
    </row>
    <row r="743" spans="5:5" ht="14.25" customHeight="1" x14ac:dyDescent="0.25">
      <c r="E743" s="7"/>
    </row>
    <row r="744" spans="5:5" ht="14.25" customHeight="1" x14ac:dyDescent="0.25">
      <c r="E744" s="7"/>
    </row>
    <row r="745" spans="5:5" ht="14.25" customHeight="1" x14ac:dyDescent="0.25">
      <c r="E745" s="7"/>
    </row>
    <row r="746" spans="5:5" ht="14.25" customHeight="1" x14ac:dyDescent="0.25">
      <c r="E746" s="7"/>
    </row>
    <row r="747" spans="5:5" ht="14.25" customHeight="1" x14ac:dyDescent="0.25">
      <c r="E747" s="7"/>
    </row>
    <row r="748" spans="5:5" ht="14.25" customHeight="1" x14ac:dyDescent="0.25">
      <c r="E748" s="7"/>
    </row>
    <row r="749" spans="5:5" ht="14.25" customHeight="1" x14ac:dyDescent="0.25">
      <c r="E749" s="7"/>
    </row>
    <row r="750" spans="5:5" ht="14.25" customHeight="1" x14ac:dyDescent="0.25">
      <c r="E750" s="7"/>
    </row>
    <row r="751" spans="5:5" ht="14.25" customHeight="1" x14ac:dyDescent="0.25">
      <c r="E751" s="7"/>
    </row>
    <row r="752" spans="5:5" ht="14.25" customHeight="1" x14ac:dyDescent="0.25">
      <c r="E752" s="7"/>
    </row>
    <row r="753" spans="5:5" ht="14.25" customHeight="1" x14ac:dyDescent="0.25">
      <c r="E753" s="7"/>
    </row>
    <row r="754" spans="5:5" ht="14.25" customHeight="1" x14ac:dyDescent="0.25">
      <c r="E754" s="7"/>
    </row>
    <row r="755" spans="5:5" ht="14.25" customHeight="1" x14ac:dyDescent="0.25">
      <c r="E755" s="7"/>
    </row>
    <row r="756" spans="5:5" ht="14.25" customHeight="1" x14ac:dyDescent="0.25">
      <c r="E756" s="7"/>
    </row>
    <row r="757" spans="5:5" ht="14.25" customHeight="1" x14ac:dyDescent="0.25">
      <c r="E757" s="7"/>
    </row>
    <row r="758" spans="5:5" ht="14.25" customHeight="1" x14ac:dyDescent="0.25">
      <c r="E758" s="7"/>
    </row>
    <row r="759" spans="5:5" ht="14.25" customHeight="1" x14ac:dyDescent="0.25">
      <c r="E759" s="7"/>
    </row>
    <row r="760" spans="5:5" ht="14.25" customHeight="1" x14ac:dyDescent="0.25">
      <c r="E760" s="7"/>
    </row>
    <row r="761" spans="5:5" ht="14.25" customHeight="1" x14ac:dyDescent="0.25">
      <c r="E761" s="7"/>
    </row>
    <row r="762" spans="5:5" ht="14.25" customHeight="1" x14ac:dyDescent="0.25">
      <c r="E762" s="7"/>
    </row>
    <row r="763" spans="5:5" ht="14.25" customHeight="1" x14ac:dyDescent="0.25">
      <c r="E763" s="7"/>
    </row>
    <row r="764" spans="5:5" ht="14.25" customHeight="1" x14ac:dyDescent="0.25">
      <c r="E764" s="7"/>
    </row>
    <row r="765" spans="5:5" ht="14.25" customHeight="1" x14ac:dyDescent="0.25">
      <c r="E765" s="7"/>
    </row>
    <row r="766" spans="5:5" ht="14.25" customHeight="1" x14ac:dyDescent="0.25">
      <c r="E766" s="7"/>
    </row>
    <row r="767" spans="5:5" ht="14.25" customHeight="1" x14ac:dyDescent="0.25">
      <c r="E767" s="7"/>
    </row>
    <row r="768" spans="5:5" ht="14.25" customHeight="1" x14ac:dyDescent="0.25">
      <c r="E768" s="7"/>
    </row>
    <row r="769" spans="5:5" ht="14.25" customHeight="1" x14ac:dyDescent="0.25">
      <c r="E769" s="7"/>
    </row>
    <row r="770" spans="5:5" ht="14.25" customHeight="1" x14ac:dyDescent="0.25">
      <c r="E770" s="7"/>
    </row>
    <row r="771" spans="5:5" ht="14.25" customHeight="1" x14ac:dyDescent="0.25">
      <c r="E771" s="7"/>
    </row>
    <row r="772" spans="5:5" ht="14.25" customHeight="1" x14ac:dyDescent="0.25">
      <c r="E772" s="7"/>
    </row>
    <row r="773" spans="5:5" ht="14.25" customHeight="1" x14ac:dyDescent="0.25">
      <c r="E773" s="7"/>
    </row>
    <row r="774" spans="5:5" ht="14.25" customHeight="1" x14ac:dyDescent="0.25">
      <c r="E774" s="7"/>
    </row>
    <row r="775" spans="5:5" ht="14.25" customHeight="1" x14ac:dyDescent="0.25">
      <c r="E775" s="7"/>
    </row>
    <row r="776" spans="5:5" ht="14.25" customHeight="1" x14ac:dyDescent="0.25">
      <c r="E776" s="7"/>
    </row>
    <row r="777" spans="5:5" ht="14.25" customHeight="1" x14ac:dyDescent="0.25">
      <c r="E777" s="7"/>
    </row>
    <row r="778" spans="5:5" ht="14.25" customHeight="1" x14ac:dyDescent="0.25">
      <c r="E778" s="7"/>
    </row>
    <row r="779" spans="5:5" ht="14.25" customHeight="1" x14ac:dyDescent="0.25">
      <c r="E779" s="7"/>
    </row>
    <row r="780" spans="5:5" ht="14.25" customHeight="1" x14ac:dyDescent="0.25">
      <c r="E780" s="7"/>
    </row>
    <row r="781" spans="5:5" ht="14.25" customHeight="1" x14ac:dyDescent="0.25">
      <c r="E781" s="7"/>
    </row>
    <row r="782" spans="5:5" ht="14.25" customHeight="1" x14ac:dyDescent="0.25">
      <c r="E782" s="7"/>
    </row>
    <row r="783" spans="5:5" ht="14.25" customHeight="1" x14ac:dyDescent="0.25">
      <c r="E783" s="7"/>
    </row>
    <row r="784" spans="5:5" ht="14.25" customHeight="1" x14ac:dyDescent="0.25">
      <c r="E784" s="7"/>
    </row>
    <row r="785" spans="5:5" ht="14.25" customHeight="1" x14ac:dyDescent="0.25">
      <c r="E785" s="7"/>
    </row>
    <row r="786" spans="5:5" ht="14.25" customHeight="1" x14ac:dyDescent="0.25">
      <c r="E786" s="7"/>
    </row>
    <row r="787" spans="5:5" ht="14.25" customHeight="1" x14ac:dyDescent="0.25">
      <c r="E787" s="7"/>
    </row>
    <row r="788" spans="5:5" ht="14.25" customHeight="1" x14ac:dyDescent="0.25">
      <c r="E788" s="7"/>
    </row>
    <row r="789" spans="5:5" ht="14.25" customHeight="1" x14ac:dyDescent="0.25">
      <c r="E789" s="7"/>
    </row>
    <row r="790" spans="5:5" ht="14.25" customHeight="1" x14ac:dyDescent="0.25">
      <c r="E790" s="7"/>
    </row>
    <row r="791" spans="5:5" ht="14.25" customHeight="1" x14ac:dyDescent="0.25">
      <c r="E791" s="7"/>
    </row>
    <row r="792" spans="5:5" ht="14.25" customHeight="1" x14ac:dyDescent="0.25">
      <c r="E792" s="7"/>
    </row>
    <row r="793" spans="5:5" ht="14.25" customHeight="1" x14ac:dyDescent="0.25">
      <c r="E793" s="7"/>
    </row>
    <row r="794" spans="5:5" ht="14.25" customHeight="1" x14ac:dyDescent="0.25">
      <c r="E794" s="7"/>
    </row>
    <row r="795" spans="5:5" ht="14.25" customHeight="1" x14ac:dyDescent="0.25">
      <c r="E795" s="7"/>
    </row>
    <row r="796" spans="5:5" ht="14.25" customHeight="1" x14ac:dyDescent="0.25">
      <c r="E796" s="7"/>
    </row>
    <row r="797" spans="5:5" ht="14.25" customHeight="1" x14ac:dyDescent="0.25">
      <c r="E797" s="7"/>
    </row>
    <row r="798" spans="5:5" ht="14.25" customHeight="1" x14ac:dyDescent="0.25">
      <c r="E798" s="7"/>
    </row>
    <row r="799" spans="5:5" ht="14.25" customHeight="1" x14ac:dyDescent="0.25">
      <c r="E799" s="7"/>
    </row>
    <row r="800" spans="5:5" ht="14.25" customHeight="1" x14ac:dyDescent="0.25">
      <c r="E800" s="7"/>
    </row>
    <row r="801" spans="5:5" ht="14.25" customHeight="1" x14ac:dyDescent="0.25">
      <c r="E801" s="7"/>
    </row>
    <row r="802" spans="5:5" ht="14.25" customHeight="1" x14ac:dyDescent="0.25">
      <c r="E802" s="7"/>
    </row>
    <row r="803" spans="5:5" ht="14.25" customHeight="1" x14ac:dyDescent="0.25">
      <c r="E803" s="7"/>
    </row>
    <row r="804" spans="5:5" ht="14.25" customHeight="1" x14ac:dyDescent="0.25">
      <c r="E804" s="7"/>
    </row>
    <row r="805" spans="5:5" ht="14.25" customHeight="1" x14ac:dyDescent="0.25">
      <c r="E805" s="7"/>
    </row>
    <row r="806" spans="5:5" ht="14.25" customHeight="1" x14ac:dyDescent="0.25">
      <c r="E806" s="7"/>
    </row>
    <row r="807" spans="5:5" ht="14.25" customHeight="1" x14ac:dyDescent="0.25">
      <c r="E807" s="7"/>
    </row>
    <row r="808" spans="5:5" ht="14.25" customHeight="1" x14ac:dyDescent="0.25">
      <c r="E808" s="7"/>
    </row>
    <row r="809" spans="5:5" ht="14.25" customHeight="1" x14ac:dyDescent="0.25">
      <c r="E809" s="7"/>
    </row>
    <row r="810" spans="5:5" ht="14.25" customHeight="1" x14ac:dyDescent="0.25">
      <c r="E810" s="7"/>
    </row>
    <row r="811" spans="5:5" ht="14.25" customHeight="1" x14ac:dyDescent="0.25">
      <c r="E811" s="7"/>
    </row>
    <row r="812" spans="5:5" ht="14.25" customHeight="1" x14ac:dyDescent="0.25">
      <c r="E812" s="7"/>
    </row>
    <row r="813" spans="5:5" ht="14.25" customHeight="1" x14ac:dyDescent="0.25">
      <c r="E813" s="7"/>
    </row>
    <row r="814" spans="5:5" ht="14.25" customHeight="1" x14ac:dyDescent="0.25">
      <c r="E814" s="7"/>
    </row>
    <row r="815" spans="5:5" ht="14.25" customHeight="1" x14ac:dyDescent="0.25">
      <c r="E815" s="7"/>
    </row>
    <row r="816" spans="5:5" ht="14.25" customHeight="1" x14ac:dyDescent="0.25">
      <c r="E816" s="7"/>
    </row>
    <row r="817" spans="5:5" ht="14.25" customHeight="1" x14ac:dyDescent="0.25">
      <c r="E817" s="7"/>
    </row>
    <row r="818" spans="5:5" ht="14.25" customHeight="1" x14ac:dyDescent="0.25">
      <c r="E818" s="7"/>
    </row>
    <row r="819" spans="5:5" ht="14.25" customHeight="1" x14ac:dyDescent="0.25">
      <c r="E819" s="7"/>
    </row>
    <row r="820" spans="5:5" ht="14.25" customHeight="1" x14ac:dyDescent="0.25">
      <c r="E820" s="7"/>
    </row>
    <row r="821" spans="5:5" ht="14.25" customHeight="1" x14ac:dyDescent="0.25">
      <c r="E821" s="7"/>
    </row>
    <row r="822" spans="5:5" ht="14.25" customHeight="1" x14ac:dyDescent="0.25">
      <c r="E822" s="7"/>
    </row>
    <row r="823" spans="5:5" ht="14.25" customHeight="1" x14ac:dyDescent="0.25">
      <c r="E823" s="7"/>
    </row>
    <row r="824" spans="5:5" ht="14.25" customHeight="1" x14ac:dyDescent="0.25">
      <c r="E824" s="7"/>
    </row>
    <row r="825" spans="5:5" ht="14.25" customHeight="1" x14ac:dyDescent="0.25">
      <c r="E825" s="7"/>
    </row>
    <row r="826" spans="5:5" ht="14.25" customHeight="1" x14ac:dyDescent="0.25">
      <c r="E826" s="7"/>
    </row>
    <row r="827" spans="5:5" ht="14.25" customHeight="1" x14ac:dyDescent="0.25">
      <c r="E827" s="7"/>
    </row>
    <row r="828" spans="5:5" ht="14.25" customHeight="1" x14ac:dyDescent="0.25">
      <c r="E828" s="7"/>
    </row>
    <row r="829" spans="5:5" ht="14.25" customHeight="1" x14ac:dyDescent="0.25">
      <c r="E829" s="7"/>
    </row>
    <row r="830" spans="5:5" ht="14.25" customHeight="1" x14ac:dyDescent="0.25">
      <c r="E830" s="7"/>
    </row>
    <row r="831" spans="5:5" ht="14.25" customHeight="1" x14ac:dyDescent="0.25">
      <c r="E831" s="7"/>
    </row>
    <row r="832" spans="5:5" ht="14.25" customHeight="1" x14ac:dyDescent="0.25">
      <c r="E832" s="7"/>
    </row>
    <row r="833" spans="5:5" ht="14.25" customHeight="1" x14ac:dyDescent="0.25">
      <c r="E833" s="7"/>
    </row>
    <row r="834" spans="5:5" ht="14.25" customHeight="1" x14ac:dyDescent="0.25">
      <c r="E834" s="7"/>
    </row>
    <row r="835" spans="5:5" ht="14.25" customHeight="1" x14ac:dyDescent="0.25">
      <c r="E835" s="7"/>
    </row>
    <row r="836" spans="5:5" ht="14.25" customHeight="1" x14ac:dyDescent="0.25">
      <c r="E836" s="7"/>
    </row>
    <row r="837" spans="5:5" ht="14.25" customHeight="1" x14ac:dyDescent="0.25">
      <c r="E837" s="7"/>
    </row>
    <row r="838" spans="5:5" ht="14.25" customHeight="1" x14ac:dyDescent="0.25">
      <c r="E838" s="7"/>
    </row>
    <row r="839" spans="5:5" ht="14.25" customHeight="1" x14ac:dyDescent="0.25">
      <c r="E839" s="7"/>
    </row>
    <row r="840" spans="5:5" ht="14.25" customHeight="1" x14ac:dyDescent="0.25">
      <c r="E840" s="7"/>
    </row>
    <row r="841" spans="5:5" ht="14.25" customHeight="1" x14ac:dyDescent="0.25">
      <c r="E841" s="7"/>
    </row>
    <row r="842" spans="5:5" ht="14.25" customHeight="1" x14ac:dyDescent="0.25">
      <c r="E842" s="7"/>
    </row>
    <row r="843" spans="5:5" ht="14.25" customHeight="1" x14ac:dyDescent="0.25">
      <c r="E843" s="7"/>
    </row>
    <row r="844" spans="5:5" ht="14.25" customHeight="1" x14ac:dyDescent="0.25">
      <c r="E844" s="7"/>
    </row>
    <row r="845" spans="5:5" ht="14.25" customHeight="1" x14ac:dyDescent="0.25">
      <c r="E845" s="7"/>
    </row>
    <row r="846" spans="5:5" ht="14.25" customHeight="1" x14ac:dyDescent="0.25">
      <c r="E846" s="7"/>
    </row>
    <row r="847" spans="5:5" ht="14.25" customHeight="1" x14ac:dyDescent="0.25">
      <c r="E847" s="7"/>
    </row>
    <row r="848" spans="5:5" ht="14.25" customHeight="1" x14ac:dyDescent="0.25">
      <c r="E848" s="7"/>
    </row>
    <row r="849" spans="5:5" ht="14.25" customHeight="1" x14ac:dyDescent="0.25">
      <c r="E849" s="7"/>
    </row>
    <row r="850" spans="5:5" ht="14.25" customHeight="1" x14ac:dyDescent="0.25">
      <c r="E850" s="7"/>
    </row>
    <row r="851" spans="5:5" ht="14.25" customHeight="1" x14ac:dyDescent="0.25">
      <c r="E851" s="7"/>
    </row>
    <row r="852" spans="5:5" ht="14.25" customHeight="1" x14ac:dyDescent="0.25">
      <c r="E852" s="7"/>
    </row>
    <row r="853" spans="5:5" ht="14.25" customHeight="1" x14ac:dyDescent="0.25">
      <c r="E853" s="7"/>
    </row>
    <row r="854" spans="5:5" ht="14.25" customHeight="1" x14ac:dyDescent="0.25">
      <c r="E854" s="7"/>
    </row>
    <row r="855" spans="5:5" ht="14.25" customHeight="1" x14ac:dyDescent="0.25">
      <c r="E855" s="7"/>
    </row>
    <row r="856" spans="5:5" ht="14.25" customHeight="1" x14ac:dyDescent="0.25">
      <c r="E856" s="7"/>
    </row>
    <row r="857" spans="5:5" ht="14.25" customHeight="1" x14ac:dyDescent="0.25">
      <c r="E857" s="7"/>
    </row>
    <row r="858" spans="5:5" ht="14.25" customHeight="1" x14ac:dyDescent="0.25">
      <c r="E858" s="7"/>
    </row>
    <row r="859" spans="5:5" ht="14.25" customHeight="1" x14ac:dyDescent="0.25">
      <c r="E859" s="7"/>
    </row>
    <row r="860" spans="5:5" ht="14.25" customHeight="1" x14ac:dyDescent="0.25">
      <c r="E860" s="7"/>
    </row>
    <row r="861" spans="5:5" ht="14.25" customHeight="1" x14ac:dyDescent="0.25">
      <c r="E861" s="7"/>
    </row>
    <row r="862" spans="5:5" ht="14.25" customHeight="1" x14ac:dyDescent="0.25">
      <c r="E862" s="7"/>
    </row>
    <row r="863" spans="5:5" ht="14.25" customHeight="1" x14ac:dyDescent="0.25">
      <c r="E863" s="7"/>
    </row>
    <row r="864" spans="5:5" ht="14.25" customHeight="1" x14ac:dyDescent="0.25">
      <c r="E864" s="7"/>
    </row>
    <row r="865" spans="5:5" ht="14.25" customHeight="1" x14ac:dyDescent="0.25">
      <c r="E865" s="7"/>
    </row>
    <row r="866" spans="5:5" ht="14.25" customHeight="1" x14ac:dyDescent="0.25">
      <c r="E866" s="7"/>
    </row>
    <row r="867" spans="5:5" ht="14.25" customHeight="1" x14ac:dyDescent="0.25">
      <c r="E867" s="7"/>
    </row>
    <row r="868" spans="5:5" ht="14.25" customHeight="1" x14ac:dyDescent="0.25">
      <c r="E868" s="7"/>
    </row>
    <row r="869" spans="5:5" ht="14.25" customHeight="1" x14ac:dyDescent="0.25">
      <c r="E869" s="7"/>
    </row>
    <row r="870" spans="5:5" ht="14.25" customHeight="1" x14ac:dyDescent="0.25">
      <c r="E870" s="7"/>
    </row>
    <row r="871" spans="5:5" ht="14.25" customHeight="1" x14ac:dyDescent="0.25">
      <c r="E871" s="7"/>
    </row>
    <row r="872" spans="5:5" ht="14.25" customHeight="1" x14ac:dyDescent="0.25">
      <c r="E872" s="7"/>
    </row>
    <row r="873" spans="5:5" ht="14.25" customHeight="1" x14ac:dyDescent="0.25">
      <c r="E873" s="7"/>
    </row>
    <row r="874" spans="5:5" ht="14.25" customHeight="1" x14ac:dyDescent="0.25">
      <c r="E874" s="7"/>
    </row>
    <row r="875" spans="5:5" ht="14.25" customHeight="1" x14ac:dyDescent="0.25">
      <c r="E875" s="7"/>
    </row>
    <row r="876" spans="5:5" ht="14.25" customHeight="1" x14ac:dyDescent="0.25">
      <c r="E876" s="7"/>
    </row>
    <row r="877" spans="5:5" ht="14.25" customHeight="1" x14ac:dyDescent="0.25">
      <c r="E877" s="7"/>
    </row>
    <row r="878" spans="5:5" ht="14.25" customHeight="1" x14ac:dyDescent="0.25">
      <c r="E878" s="7"/>
    </row>
    <row r="879" spans="5:5" ht="14.25" customHeight="1" x14ac:dyDescent="0.25">
      <c r="E879" s="7"/>
    </row>
    <row r="880" spans="5:5" ht="14.25" customHeight="1" x14ac:dyDescent="0.25">
      <c r="E880" s="7"/>
    </row>
    <row r="881" spans="5:5" ht="14.25" customHeight="1" x14ac:dyDescent="0.25">
      <c r="E881" s="7"/>
    </row>
    <row r="882" spans="5:5" ht="14.25" customHeight="1" x14ac:dyDescent="0.25">
      <c r="E882" s="7"/>
    </row>
    <row r="883" spans="5:5" ht="14.25" customHeight="1" x14ac:dyDescent="0.25">
      <c r="E883" s="7"/>
    </row>
    <row r="884" spans="5:5" ht="14.25" customHeight="1" x14ac:dyDescent="0.25">
      <c r="E884" s="7"/>
    </row>
    <row r="885" spans="5:5" ht="14.25" customHeight="1" x14ac:dyDescent="0.25">
      <c r="E885" s="7"/>
    </row>
    <row r="886" spans="5:5" ht="14.25" customHeight="1" x14ac:dyDescent="0.25">
      <c r="E886" s="7"/>
    </row>
    <row r="887" spans="5:5" ht="14.25" customHeight="1" x14ac:dyDescent="0.25">
      <c r="E887" s="7"/>
    </row>
    <row r="888" spans="5:5" ht="14.25" customHeight="1" x14ac:dyDescent="0.25">
      <c r="E888" s="7"/>
    </row>
    <row r="889" spans="5:5" ht="14.25" customHeight="1" x14ac:dyDescent="0.25">
      <c r="E889" s="7"/>
    </row>
    <row r="890" spans="5:5" ht="14.25" customHeight="1" x14ac:dyDescent="0.25">
      <c r="E890" s="7"/>
    </row>
    <row r="891" spans="5:5" ht="14.25" customHeight="1" x14ac:dyDescent="0.25">
      <c r="E891" s="7"/>
    </row>
    <row r="892" spans="5:5" ht="14.25" customHeight="1" x14ac:dyDescent="0.25">
      <c r="E892" s="7"/>
    </row>
    <row r="893" spans="5:5" ht="14.25" customHeight="1" x14ac:dyDescent="0.25">
      <c r="E893" s="7"/>
    </row>
    <row r="894" spans="5:5" ht="14.25" customHeight="1" x14ac:dyDescent="0.25">
      <c r="E894" s="7"/>
    </row>
    <row r="895" spans="5:5" ht="14.25" customHeight="1" x14ac:dyDescent="0.25">
      <c r="E895" s="7"/>
    </row>
    <row r="896" spans="5:5" ht="14.25" customHeight="1" x14ac:dyDescent="0.25">
      <c r="E896" s="7"/>
    </row>
    <row r="897" spans="5:5" ht="14.25" customHeight="1" x14ac:dyDescent="0.25">
      <c r="E897" s="7"/>
    </row>
    <row r="898" spans="5:5" ht="14.25" customHeight="1" x14ac:dyDescent="0.25">
      <c r="E898" s="7"/>
    </row>
    <row r="899" spans="5:5" ht="14.25" customHeight="1" x14ac:dyDescent="0.25">
      <c r="E899" s="7"/>
    </row>
    <row r="900" spans="5:5" ht="14.25" customHeight="1" x14ac:dyDescent="0.25">
      <c r="E900" s="7"/>
    </row>
    <row r="901" spans="5:5" ht="14.25" customHeight="1" x14ac:dyDescent="0.25">
      <c r="E901" s="7"/>
    </row>
    <row r="902" spans="5:5" ht="14.25" customHeight="1" x14ac:dyDescent="0.25">
      <c r="E902" s="7"/>
    </row>
    <row r="903" spans="5:5" ht="14.25" customHeight="1" x14ac:dyDescent="0.25">
      <c r="E903" s="7"/>
    </row>
    <row r="904" spans="5:5" ht="14.25" customHeight="1" x14ac:dyDescent="0.25">
      <c r="E904" s="7"/>
    </row>
    <row r="905" spans="5:5" ht="14.25" customHeight="1" x14ac:dyDescent="0.25">
      <c r="E905" s="7"/>
    </row>
    <row r="906" spans="5:5" ht="14.25" customHeight="1" x14ac:dyDescent="0.25">
      <c r="E906" s="7"/>
    </row>
    <row r="907" spans="5:5" ht="14.25" customHeight="1" x14ac:dyDescent="0.25">
      <c r="E907" s="7"/>
    </row>
    <row r="908" spans="5:5" ht="14.25" customHeight="1" x14ac:dyDescent="0.25">
      <c r="E908" s="7"/>
    </row>
    <row r="909" spans="5:5" ht="14.25" customHeight="1" x14ac:dyDescent="0.25">
      <c r="E909" s="7"/>
    </row>
    <row r="910" spans="5:5" ht="14.25" customHeight="1" x14ac:dyDescent="0.25">
      <c r="E910" s="7"/>
    </row>
    <row r="911" spans="5:5" ht="14.25" customHeight="1" x14ac:dyDescent="0.25">
      <c r="E911" s="7"/>
    </row>
    <row r="912" spans="5:5" ht="14.25" customHeight="1" x14ac:dyDescent="0.25">
      <c r="E912" s="7"/>
    </row>
    <row r="913" spans="5:5" ht="14.25" customHeight="1" x14ac:dyDescent="0.25">
      <c r="E913" s="7"/>
    </row>
    <row r="914" spans="5:5" ht="14.25" customHeight="1" x14ac:dyDescent="0.25">
      <c r="E914" s="7"/>
    </row>
    <row r="915" spans="5:5" ht="14.25" customHeight="1" x14ac:dyDescent="0.25">
      <c r="E915" s="7"/>
    </row>
    <row r="916" spans="5:5" ht="14.25" customHeight="1" x14ac:dyDescent="0.25">
      <c r="E916" s="7"/>
    </row>
    <row r="917" spans="5:5" ht="14.25" customHeight="1" x14ac:dyDescent="0.25">
      <c r="E917" s="7"/>
    </row>
    <row r="918" spans="5:5" ht="14.25" customHeight="1" x14ac:dyDescent="0.25">
      <c r="E918" s="7"/>
    </row>
    <row r="919" spans="5:5" ht="14.25" customHeight="1" x14ac:dyDescent="0.25">
      <c r="E919" s="7"/>
    </row>
    <row r="920" spans="5:5" ht="14.25" customHeight="1" x14ac:dyDescent="0.25">
      <c r="E920" s="7"/>
    </row>
    <row r="921" spans="5:5" ht="14.25" customHeight="1" x14ac:dyDescent="0.25">
      <c r="E921" s="7"/>
    </row>
    <row r="922" spans="5:5" ht="14.25" customHeight="1" x14ac:dyDescent="0.25">
      <c r="E922" s="7"/>
    </row>
    <row r="923" spans="5:5" ht="14.25" customHeight="1" x14ac:dyDescent="0.25">
      <c r="E923" s="7"/>
    </row>
    <row r="924" spans="5:5" ht="14.25" customHeight="1" x14ac:dyDescent="0.25">
      <c r="E924" s="7"/>
    </row>
    <row r="925" spans="5:5" ht="14.25" customHeight="1" x14ac:dyDescent="0.25">
      <c r="E925" s="7"/>
    </row>
    <row r="926" spans="5:5" ht="14.25" customHeight="1" x14ac:dyDescent="0.25">
      <c r="E926" s="7"/>
    </row>
    <row r="927" spans="5:5" ht="14.25" customHeight="1" x14ac:dyDescent="0.25">
      <c r="E927" s="7"/>
    </row>
    <row r="928" spans="5:5" ht="14.25" customHeight="1" x14ac:dyDescent="0.25">
      <c r="E928" s="7"/>
    </row>
    <row r="929" spans="5:5" ht="14.25" customHeight="1" x14ac:dyDescent="0.25">
      <c r="E929" s="7"/>
    </row>
    <row r="930" spans="5:5" ht="14.25" customHeight="1" x14ac:dyDescent="0.25">
      <c r="E930" s="7"/>
    </row>
    <row r="931" spans="5:5" ht="14.25" customHeight="1" x14ac:dyDescent="0.25">
      <c r="E931" s="7"/>
    </row>
    <row r="932" spans="5:5" ht="14.25" customHeight="1" x14ac:dyDescent="0.25">
      <c r="E932" s="7"/>
    </row>
    <row r="933" spans="5:5" ht="14.25" customHeight="1" x14ac:dyDescent="0.25">
      <c r="E933" s="7"/>
    </row>
    <row r="934" spans="5:5" ht="14.25" customHeight="1" x14ac:dyDescent="0.25">
      <c r="E934" s="7"/>
    </row>
    <row r="935" spans="5:5" ht="14.25" customHeight="1" x14ac:dyDescent="0.25">
      <c r="E935" s="7"/>
    </row>
    <row r="936" spans="5:5" ht="14.25" customHeight="1" x14ac:dyDescent="0.25">
      <c r="E936" s="7"/>
    </row>
    <row r="937" spans="5:5" ht="14.25" customHeight="1" x14ac:dyDescent="0.25">
      <c r="E937" s="7"/>
    </row>
    <row r="938" spans="5:5" ht="14.25" customHeight="1" x14ac:dyDescent="0.25">
      <c r="E938" s="7"/>
    </row>
    <row r="939" spans="5:5" ht="14.25" customHeight="1" x14ac:dyDescent="0.25">
      <c r="E939" s="7"/>
    </row>
    <row r="940" spans="5:5" ht="14.25" customHeight="1" x14ac:dyDescent="0.25">
      <c r="E940" s="7"/>
    </row>
    <row r="941" spans="5:5" ht="14.25" customHeight="1" x14ac:dyDescent="0.25">
      <c r="E941" s="7"/>
    </row>
    <row r="942" spans="5:5" ht="14.25" customHeight="1" x14ac:dyDescent="0.25">
      <c r="E942" s="7"/>
    </row>
    <row r="943" spans="5:5" ht="14.25" customHeight="1" x14ac:dyDescent="0.25">
      <c r="E943" s="7"/>
    </row>
    <row r="944" spans="5:5" ht="14.25" customHeight="1" x14ac:dyDescent="0.25">
      <c r="E944" s="7"/>
    </row>
    <row r="945" spans="5:5" ht="14.25" customHeight="1" x14ac:dyDescent="0.25">
      <c r="E945" s="7"/>
    </row>
    <row r="946" spans="5:5" ht="14.25" customHeight="1" x14ac:dyDescent="0.25">
      <c r="E946" s="7"/>
    </row>
    <row r="947" spans="5:5" ht="14.25" customHeight="1" x14ac:dyDescent="0.25">
      <c r="E947" s="7"/>
    </row>
    <row r="948" spans="5:5" ht="14.25" customHeight="1" x14ac:dyDescent="0.25">
      <c r="E948" s="7"/>
    </row>
    <row r="949" spans="5:5" ht="14.25" customHeight="1" x14ac:dyDescent="0.25">
      <c r="E949" s="7"/>
    </row>
    <row r="950" spans="5:5" ht="14.25" customHeight="1" x14ac:dyDescent="0.25">
      <c r="E950" s="7"/>
    </row>
    <row r="951" spans="5:5" ht="14.25" customHeight="1" x14ac:dyDescent="0.25">
      <c r="E951" s="7"/>
    </row>
    <row r="952" spans="5:5" ht="14.25" customHeight="1" x14ac:dyDescent="0.25">
      <c r="E952" s="7"/>
    </row>
    <row r="953" spans="5:5" ht="14.25" customHeight="1" x14ac:dyDescent="0.25">
      <c r="E953" s="7"/>
    </row>
    <row r="954" spans="5:5" ht="14.25" customHeight="1" x14ac:dyDescent="0.25">
      <c r="E954" s="7"/>
    </row>
    <row r="955" spans="5:5" ht="14.25" customHeight="1" x14ac:dyDescent="0.25">
      <c r="E955" s="7"/>
    </row>
    <row r="956" spans="5:5" ht="14.25" customHeight="1" x14ac:dyDescent="0.25">
      <c r="E956" s="7"/>
    </row>
    <row r="957" spans="5:5" ht="14.25" customHeight="1" x14ac:dyDescent="0.25">
      <c r="E957" s="7"/>
    </row>
    <row r="958" spans="5:5" ht="14.25" customHeight="1" x14ac:dyDescent="0.25">
      <c r="E958" s="7"/>
    </row>
    <row r="959" spans="5:5" ht="14.25" customHeight="1" x14ac:dyDescent="0.25">
      <c r="E959" s="7"/>
    </row>
    <row r="960" spans="5:5" ht="14.25" customHeight="1" x14ac:dyDescent="0.25">
      <c r="E960" s="7"/>
    </row>
    <row r="961" spans="5:5" ht="14.25" customHeight="1" x14ac:dyDescent="0.25">
      <c r="E961" s="7"/>
    </row>
    <row r="962" spans="5:5" ht="14.25" customHeight="1" x14ac:dyDescent="0.25">
      <c r="E962" s="7"/>
    </row>
    <row r="963" spans="5:5" ht="14.25" customHeight="1" x14ac:dyDescent="0.25">
      <c r="E963" s="7"/>
    </row>
    <row r="964" spans="5:5" ht="14.25" customHeight="1" x14ac:dyDescent="0.25">
      <c r="E964" s="7"/>
    </row>
    <row r="965" spans="5:5" ht="14.25" customHeight="1" x14ac:dyDescent="0.25">
      <c r="E965" s="7"/>
    </row>
    <row r="966" spans="5:5" ht="14.25" customHeight="1" x14ac:dyDescent="0.25">
      <c r="E966" s="7"/>
    </row>
    <row r="967" spans="5:5" ht="14.25" customHeight="1" x14ac:dyDescent="0.25">
      <c r="E967" s="7"/>
    </row>
    <row r="968" spans="5:5" ht="14.25" customHeight="1" x14ac:dyDescent="0.25">
      <c r="E968" s="7"/>
    </row>
    <row r="969" spans="5:5" ht="14.25" customHeight="1" x14ac:dyDescent="0.25">
      <c r="E969" s="7"/>
    </row>
    <row r="970" spans="5:5" ht="14.25" customHeight="1" x14ac:dyDescent="0.25">
      <c r="E970" s="7"/>
    </row>
    <row r="971" spans="5:5" ht="14.25" customHeight="1" x14ac:dyDescent="0.25">
      <c r="E971" s="7"/>
    </row>
    <row r="972" spans="5:5" ht="14.25" customHeight="1" x14ac:dyDescent="0.25">
      <c r="E972" s="7"/>
    </row>
    <row r="973" spans="5:5" ht="14.25" customHeight="1" x14ac:dyDescent="0.25">
      <c r="E973" s="7"/>
    </row>
    <row r="974" spans="5:5" ht="14.25" customHeight="1" x14ac:dyDescent="0.25">
      <c r="E974" s="7"/>
    </row>
    <row r="975" spans="5:5" ht="14.25" customHeight="1" x14ac:dyDescent="0.25">
      <c r="E975" s="7"/>
    </row>
    <row r="976" spans="5:5" ht="14.25" customHeight="1" x14ac:dyDescent="0.25">
      <c r="E976" s="7"/>
    </row>
    <row r="977" spans="5:5" ht="14.25" customHeight="1" x14ac:dyDescent="0.25">
      <c r="E977" s="7"/>
    </row>
    <row r="978" spans="5:5" ht="14.25" customHeight="1" x14ac:dyDescent="0.25">
      <c r="E978" s="7"/>
    </row>
    <row r="979" spans="5:5" ht="14.25" customHeight="1" x14ac:dyDescent="0.25">
      <c r="E979" s="7"/>
    </row>
    <row r="980" spans="5:5" ht="14.25" customHeight="1" x14ac:dyDescent="0.25">
      <c r="E980" s="7"/>
    </row>
    <row r="981" spans="5:5" ht="14.25" customHeight="1" x14ac:dyDescent="0.25">
      <c r="E981" s="7"/>
    </row>
    <row r="982" spans="5:5" ht="14.25" customHeight="1" x14ac:dyDescent="0.25">
      <c r="E982" s="7"/>
    </row>
    <row r="983" spans="5:5" ht="14.25" customHeight="1" x14ac:dyDescent="0.25">
      <c r="E983" s="7"/>
    </row>
    <row r="984" spans="5:5" ht="14.25" customHeight="1" x14ac:dyDescent="0.25">
      <c r="E984" s="7"/>
    </row>
    <row r="985" spans="5:5" ht="14.25" customHeight="1" x14ac:dyDescent="0.25">
      <c r="E985" s="7"/>
    </row>
    <row r="986" spans="5:5" ht="14.25" customHeight="1" x14ac:dyDescent="0.25">
      <c r="E986" s="7"/>
    </row>
    <row r="987" spans="5:5" ht="14.25" customHeight="1" x14ac:dyDescent="0.25">
      <c r="E987" s="7"/>
    </row>
    <row r="988" spans="5:5" ht="14.25" customHeight="1" x14ac:dyDescent="0.25">
      <c r="E988" s="7"/>
    </row>
    <row r="989" spans="5:5" ht="14.25" customHeight="1" x14ac:dyDescent="0.25">
      <c r="E989" s="7"/>
    </row>
    <row r="990" spans="5:5" ht="14.25" customHeight="1" x14ac:dyDescent="0.25">
      <c r="E990" s="7"/>
    </row>
    <row r="991" spans="5:5" ht="14.25" customHeight="1" x14ac:dyDescent="0.25">
      <c r="E991" s="7"/>
    </row>
    <row r="992" spans="5:5" ht="14.25" customHeight="1" x14ac:dyDescent="0.25">
      <c r="E992" s="7"/>
    </row>
    <row r="993" spans="5:5" ht="14.25" customHeight="1" x14ac:dyDescent="0.25">
      <c r="E993" s="7"/>
    </row>
    <row r="994" spans="5:5" ht="14.25" customHeight="1" x14ac:dyDescent="0.25">
      <c r="E994" s="7"/>
    </row>
    <row r="995" spans="5:5" ht="14.25" customHeight="1" x14ac:dyDescent="0.25">
      <c r="E995" s="7"/>
    </row>
    <row r="996" spans="5:5" ht="14.25" customHeight="1" x14ac:dyDescent="0.25">
      <c r="E996" s="7"/>
    </row>
    <row r="997" spans="5:5" ht="14.25" customHeight="1" x14ac:dyDescent="0.25">
      <c r="E997" s="7"/>
    </row>
    <row r="998" spans="5:5" ht="14.25" customHeight="1" x14ac:dyDescent="0.25">
      <c r="E998" s="7"/>
    </row>
    <row r="999" spans="5:5" ht="14.25" customHeight="1" x14ac:dyDescent="0.25">
      <c r="E999" s="7"/>
    </row>
    <row r="1000" spans="5:5" ht="14.25" customHeight="1" x14ac:dyDescent="0.25">
      <c r="E1000" s="7"/>
    </row>
    <row r="1001" spans="5:5" ht="14.25" customHeight="1" x14ac:dyDescent="0.25">
      <c r="E1001" s="7"/>
    </row>
    <row r="1002" spans="5:5" ht="14.25" customHeight="1" x14ac:dyDescent="0.25">
      <c r="E1002" s="7"/>
    </row>
    <row r="1003" spans="5:5" ht="14.25" customHeight="1" x14ac:dyDescent="0.25">
      <c r="E1003" s="7"/>
    </row>
  </sheetData>
  <pageMargins left="0.7" right="0.7" top="0.75" bottom="0.75" header="0" footer="0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12443-CEC4-4760-A12A-9062E26AEA45}">
  <dimension ref="A1:E1000"/>
  <sheetViews>
    <sheetView workbookViewId="0">
      <selection activeCell="B5" sqref="B5"/>
    </sheetView>
  </sheetViews>
  <sheetFormatPr defaultColWidth="14.42578125" defaultRowHeight="15" customHeight="1" x14ac:dyDescent="0.25"/>
  <cols>
    <col min="1" max="1" width="15.42578125" customWidth="1"/>
    <col min="2" max="2" width="27.5703125" bestFit="1" customWidth="1"/>
    <col min="3" max="3" width="11.7109375" bestFit="1" customWidth="1"/>
    <col min="4" max="26" width="8.7109375" customWidth="1"/>
  </cols>
  <sheetData>
    <row r="1" spans="1:5" ht="14.25" customHeight="1" x14ac:dyDescent="0.25">
      <c r="A1" s="10" t="s">
        <v>3</v>
      </c>
      <c r="B1" s="10" t="s">
        <v>2329</v>
      </c>
      <c r="C1" s="10" t="s">
        <v>2330</v>
      </c>
      <c r="D1" s="1"/>
      <c r="E1" s="1"/>
    </row>
    <row r="2" spans="1:5" ht="14.25" customHeight="1" x14ac:dyDescent="0.25">
      <c r="A2" s="4" t="s">
        <v>70</v>
      </c>
      <c r="B2" s="4" t="s">
        <v>2347</v>
      </c>
      <c r="C2" s="4" t="s">
        <v>2331</v>
      </c>
    </row>
    <row r="3" spans="1:5" ht="14.25" customHeight="1" x14ac:dyDescent="0.25">
      <c r="A3" s="4" t="s">
        <v>92</v>
      </c>
      <c r="B3" s="4" t="s">
        <v>2348</v>
      </c>
      <c r="C3" s="4" t="s">
        <v>2331</v>
      </c>
    </row>
    <row r="4" spans="1:5" ht="14.25" customHeight="1" x14ac:dyDescent="0.25">
      <c r="A4" s="4" t="s">
        <v>168</v>
      </c>
      <c r="B4" s="4" t="s">
        <v>2349</v>
      </c>
      <c r="C4" s="4" t="s">
        <v>2331</v>
      </c>
    </row>
    <row r="5" spans="1:5" ht="14.25" customHeight="1" x14ac:dyDescent="0.25">
      <c r="A5" s="4" t="s">
        <v>23</v>
      </c>
      <c r="B5" s="4" t="s">
        <v>2350</v>
      </c>
      <c r="C5" s="4" t="s">
        <v>2331</v>
      </c>
    </row>
    <row r="6" spans="1:5" ht="14.25" customHeight="1" x14ac:dyDescent="0.25">
      <c r="A6" s="4" t="s">
        <v>20</v>
      </c>
      <c r="B6" s="4" t="s">
        <v>2351</v>
      </c>
      <c r="C6" s="4" t="s">
        <v>2331</v>
      </c>
    </row>
    <row r="7" spans="1:5" ht="14.25" customHeight="1" x14ac:dyDescent="0.25">
      <c r="A7" s="4" t="s">
        <v>28</v>
      </c>
      <c r="B7" s="4" t="s">
        <v>2352</v>
      </c>
      <c r="C7" s="4" t="s">
        <v>2332</v>
      </c>
    </row>
    <row r="8" spans="1:5" ht="14.25" customHeight="1" x14ac:dyDescent="0.25">
      <c r="A8" s="4" t="s">
        <v>57</v>
      </c>
      <c r="B8" s="4" t="s">
        <v>2353</v>
      </c>
      <c r="C8" s="4" t="s">
        <v>2332</v>
      </c>
    </row>
    <row r="9" spans="1:5" ht="14.25" customHeight="1" x14ac:dyDescent="0.25">
      <c r="A9" s="4" t="s">
        <v>157</v>
      </c>
      <c r="B9" s="4" t="s">
        <v>2354</v>
      </c>
      <c r="C9" s="4" t="s">
        <v>2332</v>
      </c>
    </row>
    <row r="10" spans="1:5" ht="14.25" customHeight="1" x14ac:dyDescent="0.25">
      <c r="A10" s="4" t="s">
        <v>208</v>
      </c>
      <c r="B10" s="4" t="s">
        <v>2355</v>
      </c>
      <c r="C10" s="4" t="s">
        <v>2332</v>
      </c>
    </row>
    <row r="11" spans="1:5" ht="14.25" customHeight="1" x14ac:dyDescent="0.25">
      <c r="A11" s="4" t="s">
        <v>63</v>
      </c>
      <c r="B11" s="4" t="s">
        <v>2356</v>
      </c>
      <c r="C11" s="4" t="s">
        <v>2332</v>
      </c>
    </row>
    <row r="12" spans="1:5" ht="14.25" customHeight="1" x14ac:dyDescent="0.25">
      <c r="A12" s="4" t="s">
        <v>232</v>
      </c>
      <c r="B12" s="4" t="s">
        <v>2357</v>
      </c>
      <c r="C12" s="4" t="s">
        <v>2333</v>
      </c>
    </row>
    <row r="13" spans="1:5" ht="14.25" customHeight="1" x14ac:dyDescent="0.25">
      <c r="A13" s="4" t="s">
        <v>12</v>
      </c>
      <c r="B13" s="4" t="s">
        <v>2358</v>
      </c>
      <c r="C13" s="4" t="s">
        <v>2333</v>
      </c>
    </row>
    <row r="14" spans="1:5" ht="14.25" customHeight="1" x14ac:dyDescent="0.25">
      <c r="A14" s="4" t="s">
        <v>84</v>
      </c>
      <c r="B14" s="4" t="s">
        <v>2359</v>
      </c>
      <c r="C14" s="4" t="s">
        <v>2333</v>
      </c>
    </row>
    <row r="15" spans="1:5" ht="14.25" customHeight="1" x14ac:dyDescent="0.25">
      <c r="A15" s="4" t="s">
        <v>81</v>
      </c>
      <c r="B15" s="4" t="s">
        <v>2360</v>
      </c>
      <c r="C15" s="4" t="s">
        <v>2333</v>
      </c>
    </row>
    <row r="16" spans="1:5" ht="14.25" customHeight="1" x14ac:dyDescent="0.25">
      <c r="A16" s="4" t="s">
        <v>46</v>
      </c>
      <c r="B16" s="4" t="s">
        <v>2361</v>
      </c>
      <c r="C16" s="4" t="s">
        <v>2333</v>
      </c>
    </row>
    <row r="17" spans="1:3" ht="14.25" customHeight="1" x14ac:dyDescent="0.25">
      <c r="A17" s="4" t="s">
        <v>127</v>
      </c>
      <c r="B17" s="4" t="s">
        <v>2362</v>
      </c>
      <c r="C17" s="4" t="s">
        <v>2333</v>
      </c>
    </row>
    <row r="18" spans="1:3" ht="14.25" customHeight="1" x14ac:dyDescent="0.25">
      <c r="A18" s="4" t="s">
        <v>125</v>
      </c>
      <c r="B18" s="4" t="s">
        <v>2363</v>
      </c>
      <c r="C18" s="4" t="s">
        <v>2334</v>
      </c>
    </row>
    <row r="19" spans="1:3" ht="14.25" customHeight="1" x14ac:dyDescent="0.25">
      <c r="A19" s="4" t="s">
        <v>130</v>
      </c>
      <c r="B19" s="4" t="s">
        <v>2364</v>
      </c>
      <c r="C19" s="4" t="s">
        <v>2334</v>
      </c>
    </row>
    <row r="20" spans="1:3" ht="14.25" customHeight="1" x14ac:dyDescent="0.25">
      <c r="A20" s="4" t="s">
        <v>353</v>
      </c>
      <c r="B20" s="4" t="s">
        <v>2365</v>
      </c>
      <c r="C20" s="4" t="s">
        <v>2334</v>
      </c>
    </row>
    <row r="21" spans="1:3" ht="14.25" customHeight="1" x14ac:dyDescent="0.25">
      <c r="A21" s="4" t="s">
        <v>9</v>
      </c>
      <c r="B21" s="4" t="s">
        <v>2366</v>
      </c>
      <c r="C21" s="4" t="s">
        <v>2334</v>
      </c>
    </row>
    <row r="22" spans="1:3" ht="14.25" customHeight="1" x14ac:dyDescent="0.25">
      <c r="A22" s="4" t="s">
        <v>34</v>
      </c>
      <c r="B22" s="4" t="s">
        <v>2367</v>
      </c>
      <c r="C22" s="4" t="s">
        <v>2334</v>
      </c>
    </row>
    <row r="23" spans="1:3" ht="14.25" customHeight="1" x14ac:dyDescent="0.25">
      <c r="A23" s="4" t="s">
        <v>53</v>
      </c>
      <c r="B23" s="4" t="s">
        <v>2368</v>
      </c>
      <c r="C23" s="4" t="s">
        <v>2334</v>
      </c>
    </row>
    <row r="24" spans="1:3" ht="14.25" customHeight="1" x14ac:dyDescent="0.25">
      <c r="A24" s="4" t="s">
        <v>253</v>
      </c>
      <c r="B24" s="4" t="s">
        <v>2369</v>
      </c>
      <c r="C24" s="4" t="s">
        <v>2334</v>
      </c>
    </row>
    <row r="25" spans="1:3" ht="14.25" customHeight="1" x14ac:dyDescent="0.25">
      <c r="A25" s="4" t="s">
        <v>25</v>
      </c>
      <c r="B25" s="4" t="s">
        <v>2370</v>
      </c>
      <c r="C25" s="4" t="s">
        <v>2334</v>
      </c>
    </row>
    <row r="26" spans="1:3" ht="14.25" customHeight="1" x14ac:dyDescent="0.25">
      <c r="A26" s="4" t="s">
        <v>60</v>
      </c>
      <c r="B26" s="4" t="s">
        <v>2371</v>
      </c>
      <c r="C26" s="4" t="s">
        <v>2334</v>
      </c>
    </row>
    <row r="27" spans="1:3" ht="14.25" customHeight="1" x14ac:dyDescent="0.25">
      <c r="A27" s="4" t="s">
        <v>37</v>
      </c>
      <c r="B27" s="4" t="s">
        <v>2372</v>
      </c>
      <c r="C27" s="4" t="s">
        <v>2335</v>
      </c>
    </row>
    <row r="28" spans="1:3" ht="14.25" customHeight="1" x14ac:dyDescent="0.25">
      <c r="A28" s="4" t="s">
        <v>76</v>
      </c>
      <c r="B28" s="4" t="s">
        <v>2373</v>
      </c>
      <c r="C28" s="4" t="s">
        <v>2335</v>
      </c>
    </row>
    <row r="29" spans="1:3" ht="14.25" customHeight="1" x14ac:dyDescent="0.25">
      <c r="A29" s="4" t="s">
        <v>66</v>
      </c>
      <c r="B29" s="4" t="s">
        <v>2374</v>
      </c>
      <c r="C29" s="4" t="s">
        <v>2335</v>
      </c>
    </row>
    <row r="30" spans="1:3" ht="14.25" customHeight="1" x14ac:dyDescent="0.25">
      <c r="A30" s="4" t="s">
        <v>111</v>
      </c>
      <c r="B30" s="4" t="s">
        <v>2375</v>
      </c>
      <c r="C30" s="4" t="s">
        <v>2335</v>
      </c>
    </row>
    <row r="31" spans="1:3" ht="14.25" customHeight="1" x14ac:dyDescent="0.25">
      <c r="A31" s="4" t="s">
        <v>189</v>
      </c>
      <c r="B31" s="4" t="s">
        <v>2376</v>
      </c>
      <c r="C31" s="4" t="s">
        <v>2336</v>
      </c>
    </row>
    <row r="32" spans="1:3" ht="14.25" customHeight="1" x14ac:dyDescent="0.25">
      <c r="A32" s="4" t="s">
        <v>15</v>
      </c>
      <c r="B32" s="4" t="s">
        <v>2377</v>
      </c>
      <c r="C32" s="4" t="s">
        <v>2336</v>
      </c>
    </row>
    <row r="33" spans="1:3" ht="14.25" customHeight="1" x14ac:dyDescent="0.25">
      <c r="A33" s="4" t="s">
        <v>151</v>
      </c>
      <c r="B33" s="4" t="s">
        <v>2378</v>
      </c>
      <c r="C33" s="4" t="s">
        <v>2336</v>
      </c>
    </row>
    <row r="34" spans="1:3" ht="14.25" customHeight="1" x14ac:dyDescent="0.25">
      <c r="A34" s="4" t="s">
        <v>120</v>
      </c>
      <c r="B34" s="4" t="s">
        <v>2379</v>
      </c>
      <c r="C34" s="4" t="s">
        <v>2336</v>
      </c>
    </row>
    <row r="35" spans="1:3" ht="14.25" customHeight="1" x14ac:dyDescent="0.25">
      <c r="A35" s="4" t="s">
        <v>31</v>
      </c>
      <c r="B35" s="4" t="s">
        <v>2380</v>
      </c>
      <c r="C35" s="4" t="s">
        <v>2336</v>
      </c>
    </row>
    <row r="36" spans="1:3" ht="14.25" customHeight="1" x14ac:dyDescent="0.25"/>
    <row r="37" spans="1:3" ht="14.25" customHeight="1" x14ac:dyDescent="0.25"/>
    <row r="38" spans="1:3" ht="14.25" customHeight="1" x14ac:dyDescent="0.25"/>
    <row r="39" spans="1:3" ht="14.25" customHeight="1" x14ac:dyDescent="0.25"/>
    <row r="40" spans="1:3" ht="14.25" customHeight="1" x14ac:dyDescent="0.25"/>
    <row r="41" spans="1:3" ht="14.25" customHeight="1" x14ac:dyDescent="0.25"/>
    <row r="42" spans="1:3" ht="14.25" customHeight="1" x14ac:dyDescent="0.25"/>
    <row r="43" spans="1:3" ht="14.25" customHeight="1" x14ac:dyDescent="0.25"/>
    <row r="44" spans="1:3" ht="14.25" customHeight="1" x14ac:dyDescent="0.25"/>
    <row r="45" spans="1:3" ht="14.25" customHeight="1" x14ac:dyDescent="0.25"/>
    <row r="46" spans="1:3" ht="14.25" customHeight="1" x14ac:dyDescent="0.25"/>
    <row r="47" spans="1:3" ht="14.25" customHeight="1" x14ac:dyDescent="0.25"/>
    <row r="48" spans="1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Amaka Daniels</dc:creator>
  <cp:lastModifiedBy>Oluwatosin Daodu</cp:lastModifiedBy>
  <dcterms:created xsi:type="dcterms:W3CDTF">2026-03-14T02:06:24Z</dcterms:created>
  <dcterms:modified xsi:type="dcterms:W3CDTF">2026-10-15T23:17:48Z</dcterms:modified>
</cp:coreProperties>
</file>